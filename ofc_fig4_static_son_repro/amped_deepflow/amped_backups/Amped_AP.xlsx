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2.xml" ContentType="application/vnd.openxmlformats-officedocument.spreadsheetml.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codeName="ThisWorkbook"/>
  <mc:AlternateContent xmlns:mc="http://schemas.openxmlformats.org/markup-compatibility/2006">
    <mc:Choice Requires="x15">
      <x15ac:absPath xmlns:x15ac="http://schemas.microsoft.com/office/spreadsheetml/2010/11/ac" url="C:\git\Amped\"/>
    </mc:Choice>
  </mc:AlternateContent>
  <xr:revisionPtr revIDLastSave="0" documentId="13_ncr:1_{9E91EE53-CF44-41C9-AB50-DF394BAD38F0}" xr6:coauthVersionLast="47" xr6:coauthVersionMax="47" xr10:uidLastSave="{00000000-0000-0000-0000-000000000000}"/>
  <bookViews>
    <workbookView xWindow="-120" yWindow="-120" windowWidth="29040" windowHeight="15720" xr2:uid="{EEABC45A-389B-403B-95FB-83B19E4D81BC}"/>
  </bookViews>
  <sheets>
    <sheet name="Inputs" sheetId="14" r:id="rId1"/>
    <sheet name="Transformer Network Parameters" sheetId="10" r:id="rId2"/>
    <sheet name="Performance Model" sheetId="9" r:id="rId3"/>
    <sheet name="Data to be transfered" sheetId="29" r:id="rId4"/>
    <sheet name="Scenario Summary" sheetId="13" r:id="rId5"/>
    <sheet name="Communication specs" sheetId="28" r:id="rId6"/>
    <sheet name="HBM3+2d SRAM" sheetId="21" r:id="rId7"/>
    <sheet name="LPDDR6+3d_SRAM" sheetId="20" r:id="rId8"/>
    <sheet name="Validation" sheetId="11" r:id="rId9"/>
    <sheet name="H100-HBM" sheetId="27" r:id="rId10"/>
    <sheet name="HBM3_2d_SRAM" sheetId="24" r:id="rId11"/>
    <sheet name="LPDDR_3d_SRAM" sheetId="23" r:id="rId12"/>
    <sheet name="GPU Model" sheetId="17" r:id="rId13"/>
    <sheet name="Energy Model" sheetId="15" r:id="rId14"/>
    <sheet name="Accelerator specifications" sheetId="12" r:id="rId15"/>
    <sheet name="MoE comments" sheetId="16" r:id="rId16"/>
    <sheet name="Cluster" sheetId="5" r:id="rId17"/>
    <sheet name="CPU Singlecore" sheetId="1" r:id="rId18"/>
    <sheet name="assumptions_and_miss_events" sheetId="7" r:id="rId19"/>
  </sheets>
  <definedNames>
    <definedName name="_xlnm._FilterDatabase" localSheetId="0" hidden="1">Inputs!$A$1:$AY$32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10" l="1"/>
  <c r="L27" i="10"/>
  <c r="K28" i="10"/>
  <c r="L28" i="10"/>
  <c r="K29" i="10"/>
  <c r="L29" i="10"/>
  <c r="K30" i="10"/>
  <c r="L30" i="10"/>
  <c r="K31" i="10"/>
  <c r="L31" i="10"/>
  <c r="K32" i="10"/>
  <c r="L32" i="10"/>
  <c r="K33" i="10"/>
  <c r="L33" i="10"/>
  <c r="K34" i="10"/>
  <c r="L34" i="10"/>
  <c r="K35" i="10"/>
  <c r="L35" i="10"/>
  <c r="K36" i="10"/>
  <c r="L36" i="10"/>
  <c r="K37" i="10"/>
  <c r="L37" i="10"/>
  <c r="K38" i="10"/>
  <c r="L38" i="10"/>
  <c r="J28" i="10"/>
  <c r="J29" i="10"/>
  <c r="J30" i="10"/>
  <c r="J31" i="10"/>
  <c r="J32" i="10"/>
  <c r="J33" i="10"/>
  <c r="J34" i="10"/>
  <c r="J35" i="10"/>
  <c r="J36" i="10"/>
  <c r="J37" i="10"/>
  <c r="J38" i="10"/>
  <c r="J27" i="10"/>
  <c r="I30" i="10"/>
  <c r="I31" i="10"/>
  <c r="I32" i="10"/>
  <c r="I33" i="10"/>
  <c r="I34" i="10"/>
  <c r="I35" i="10"/>
  <c r="I36" i="10"/>
  <c r="I37" i="10"/>
  <c r="I38" i="10"/>
  <c r="I29" i="10"/>
  <c r="I28" i="10"/>
  <c r="I27" i="10"/>
  <c r="G28" i="10"/>
  <c r="M28" i="10" s="1"/>
  <c r="G29" i="10"/>
  <c r="G30" i="10"/>
  <c r="M30" i="10" s="1"/>
  <c r="G31" i="10"/>
  <c r="M31" i="10" s="1"/>
  <c r="G32" i="10"/>
  <c r="G33" i="10"/>
  <c r="M33" i="10" s="1"/>
  <c r="G34" i="10"/>
  <c r="M34" i="10" s="1"/>
  <c r="G35" i="10"/>
  <c r="M35" i="10" s="1"/>
  <c r="G36" i="10"/>
  <c r="G37" i="10"/>
  <c r="G38" i="10"/>
  <c r="G27" i="10"/>
  <c r="M27" i="10" s="1"/>
  <c r="N27" i="10"/>
  <c r="M29" i="10"/>
  <c r="M32" i="10"/>
  <c r="M36" i="10"/>
  <c r="M37" i="10"/>
  <c r="M38" i="10"/>
  <c r="N28" i="10"/>
  <c r="N29" i="10"/>
  <c r="N30" i="10"/>
  <c r="N31" i="10"/>
  <c r="N32" i="10"/>
  <c r="N33" i="10"/>
  <c r="N34" i="10"/>
  <c r="N35" i="10"/>
  <c r="N36" i="10"/>
  <c r="N37" i="10"/>
  <c r="N38" i="10"/>
  <c r="E14" i="14"/>
  <c r="Y19" i="13"/>
  <c r="Y20" i="13"/>
  <c r="Y21" i="13"/>
  <c r="Y18" i="13"/>
  <c r="P17" i="10"/>
  <c r="I2" i="13" l="1"/>
  <c r="X2" i="13"/>
  <c r="M33" i="14"/>
  <c r="M29" i="14" s="1"/>
  <c r="B10" i="28"/>
  <c r="B11" i="28"/>
  <c r="B12" i="28"/>
  <c r="B19" i="28"/>
  <c r="B18" i="28"/>
  <c r="B17" i="28"/>
  <c r="B20" i="28" s="1"/>
  <c r="B16" i="28"/>
  <c r="B15" i="28"/>
  <c r="D23" i="14"/>
  <c r="B9" i="28"/>
  <c r="B8" i="28"/>
  <c r="B7" i="28"/>
  <c r="B6" i="28"/>
  <c r="B5" i="28"/>
  <c r="B4" i="28"/>
  <c r="M5" i="10" l="1"/>
  <c r="L5" i="10"/>
  <c r="K5" i="10"/>
  <c r="M51" i="10"/>
  <c r="L51" i="10"/>
  <c r="K51" i="10"/>
  <c r="BA7" i="14"/>
  <c r="L50" i="10"/>
  <c r="K50" i="10"/>
  <c r="AW9" i="14"/>
  <c r="AW7" i="14" s="1"/>
  <c r="L102" i="11" l="1"/>
  <c r="L103" i="11"/>
  <c r="L104" i="11"/>
  <c r="L105" i="11"/>
  <c r="L106" i="11"/>
  <c r="L107" i="11"/>
  <c r="L108" i="11"/>
  <c r="L109" i="11"/>
  <c r="L110" i="11"/>
  <c r="L111" i="11"/>
  <c r="L112" i="11"/>
  <c r="L113" i="11"/>
  <c r="L114" i="11"/>
  <c r="L115" i="11"/>
  <c r="L116" i="11"/>
  <c r="L117" i="11"/>
  <c r="L118" i="11"/>
  <c r="L119" i="11"/>
  <c r="K102" i="11"/>
  <c r="K103" i="11"/>
  <c r="K104" i="11"/>
  <c r="K105" i="11"/>
  <c r="K106" i="11"/>
  <c r="K107" i="11"/>
  <c r="K108" i="11"/>
  <c r="K109" i="11"/>
  <c r="K110" i="11"/>
  <c r="K111" i="11"/>
  <c r="K112" i="11"/>
  <c r="K113" i="11"/>
  <c r="K114" i="11"/>
  <c r="K115" i="11"/>
  <c r="K116" i="11"/>
  <c r="K117" i="11"/>
  <c r="K118" i="11"/>
  <c r="K119" i="11"/>
  <c r="J102" i="11"/>
  <c r="J103" i="11"/>
  <c r="J104" i="11"/>
  <c r="J105" i="11"/>
  <c r="J106" i="11"/>
  <c r="J107" i="11"/>
  <c r="J108" i="11"/>
  <c r="J109" i="11"/>
  <c r="J110" i="11"/>
  <c r="J111" i="11"/>
  <c r="J112" i="11"/>
  <c r="J113" i="11"/>
  <c r="J114" i="11"/>
  <c r="J115" i="11"/>
  <c r="J116" i="11"/>
  <c r="J117" i="11"/>
  <c r="J118" i="11"/>
  <c r="J119" i="11"/>
  <c r="I102" i="11"/>
  <c r="I103" i="11"/>
  <c r="I104" i="11"/>
  <c r="I105" i="11"/>
  <c r="I106" i="11"/>
  <c r="I107" i="11"/>
  <c r="I108" i="11"/>
  <c r="I109" i="11"/>
  <c r="I110" i="11"/>
  <c r="I111" i="11"/>
  <c r="I112" i="11"/>
  <c r="I113" i="11"/>
  <c r="I114" i="11"/>
  <c r="I115" i="11"/>
  <c r="I116" i="11"/>
  <c r="I117" i="11"/>
  <c r="I118" i="11"/>
  <c r="I119"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K63" i="11"/>
  <c r="J63" i="11"/>
  <c r="I63" i="11"/>
  <c r="F61" i="11"/>
  <c r="N30" i="14"/>
  <c r="C20" i="27"/>
  <c r="O22" i="27" s="1"/>
  <c r="O20" i="27" s="1"/>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83" i="27"/>
  <c r="E58" i="27"/>
  <c r="E59" i="27"/>
  <c r="E60" i="27"/>
  <c r="E61" i="27"/>
  <c r="E62" i="27"/>
  <c r="E63" i="27"/>
  <c r="E64" i="27"/>
  <c r="E65" i="27"/>
  <c r="E66" i="27"/>
  <c r="E67" i="27"/>
  <c r="E68" i="27"/>
  <c r="E69" i="27"/>
  <c r="E70" i="27"/>
  <c r="E71" i="27"/>
  <c r="E72" i="27"/>
  <c r="E73" i="27"/>
  <c r="E74" i="27"/>
  <c r="E75" i="27"/>
  <c r="E76" i="27"/>
  <c r="E77" i="27"/>
  <c r="E78" i="27"/>
  <c r="E79" i="27"/>
  <c r="E80" i="27"/>
  <c r="E81" i="27"/>
  <c r="E57" i="27"/>
  <c r="F58" i="24"/>
  <c r="F59" i="24"/>
  <c r="F60" i="24"/>
  <c r="F61" i="24"/>
  <c r="F62" i="24"/>
  <c r="F63" i="24"/>
  <c r="F64" i="24"/>
  <c r="F65" i="24"/>
  <c r="F66" i="24"/>
  <c r="F67" i="24"/>
  <c r="F68" i="24"/>
  <c r="F69" i="24"/>
  <c r="F70" i="24"/>
  <c r="F71" i="24"/>
  <c r="F72" i="24"/>
  <c r="F73" i="24"/>
  <c r="F74" i="24"/>
  <c r="F75" i="24"/>
  <c r="F76" i="24"/>
  <c r="F77" i="24"/>
  <c r="F78" i="24"/>
  <c r="F79" i="24"/>
  <c r="F57" i="24"/>
  <c r="L56" i="27"/>
  <c r="L57" i="27"/>
  <c r="L58" i="27"/>
  <c r="L59" i="27"/>
  <c r="L60" i="27"/>
  <c r="L61" i="27"/>
  <c r="L62" i="27"/>
  <c r="L63" i="27"/>
  <c r="L64" i="27"/>
  <c r="L65" i="27"/>
  <c r="L66" i="27"/>
  <c r="L67" i="27"/>
  <c r="L68" i="27"/>
  <c r="L69" i="27"/>
  <c r="L70" i="27"/>
  <c r="L72" i="27"/>
  <c r="L73" i="27"/>
  <c r="L74" i="27"/>
  <c r="L75" i="27"/>
  <c r="L76" i="27"/>
  <c r="L77" i="27"/>
  <c r="L78" i="27"/>
  <c r="L79" i="27"/>
  <c r="L80" i="27"/>
  <c r="L81" i="27"/>
  <c r="L82" i="27"/>
  <c r="L83" i="27"/>
  <c r="L84" i="27"/>
  <c r="L85" i="27"/>
  <c r="H47" i="27"/>
  <c r="H38" i="27"/>
  <c r="B29" i="27"/>
  <c r="B40" i="27" s="1"/>
  <c r="B38" i="27" s="1"/>
  <c r="E29" i="27"/>
  <c r="F29" i="27"/>
  <c r="G29" i="27"/>
  <c r="B20" i="27"/>
  <c r="C31" i="27" s="1"/>
  <c r="C29" i="27" s="1"/>
  <c r="D20" i="27"/>
  <c r="E20" i="27"/>
  <c r="G20" i="27"/>
  <c r="H20" i="27"/>
  <c r="J20" i="27"/>
  <c r="K20" i="27"/>
  <c r="P20" i="27"/>
  <c r="Q20" i="27"/>
  <c r="B11" i="27"/>
  <c r="C13" i="27" s="1"/>
  <c r="C11" i="27" s="1"/>
  <c r="G11" i="27"/>
  <c r="H11" i="27"/>
  <c r="I11" i="27"/>
  <c r="J11" i="27"/>
  <c r="B13" i="27"/>
  <c r="G13" i="27"/>
  <c r="H13" i="27"/>
  <c r="I13" i="27"/>
  <c r="J13" i="27"/>
  <c r="L73" i="24"/>
  <c r="L74" i="24"/>
  <c r="L75" i="24"/>
  <c r="L76" i="24"/>
  <c r="L77" i="24"/>
  <c r="L78" i="24"/>
  <c r="L79" i="24"/>
  <c r="L80" i="24"/>
  <c r="L81" i="24"/>
  <c r="L82" i="24"/>
  <c r="L83" i="24"/>
  <c r="L84" i="24"/>
  <c r="L85" i="24"/>
  <c r="L72" i="24"/>
  <c r="L57" i="24"/>
  <c r="L58" i="24"/>
  <c r="L59" i="24"/>
  <c r="L60" i="24"/>
  <c r="L61" i="24"/>
  <c r="L62" i="24"/>
  <c r="L63" i="24"/>
  <c r="L64" i="24"/>
  <c r="L65" i="24"/>
  <c r="L66" i="24"/>
  <c r="L67" i="24"/>
  <c r="L68" i="24"/>
  <c r="L69" i="24"/>
  <c r="L70" i="24"/>
  <c r="L56" i="24"/>
  <c r="P20" i="24"/>
  <c r="Q20" i="24"/>
  <c r="P20" i="23"/>
  <c r="Q20" i="23"/>
  <c r="H47" i="24"/>
  <c r="H38" i="24"/>
  <c r="G29" i="24"/>
  <c r="F29" i="24"/>
  <c r="E29" i="24"/>
  <c r="B29" i="24"/>
  <c r="B40" i="24" s="1"/>
  <c r="B38" i="24" s="1"/>
  <c r="O20" i="24"/>
  <c r="K20" i="24"/>
  <c r="I20" i="24"/>
  <c r="H20" i="24"/>
  <c r="E20" i="24"/>
  <c r="D20" i="24"/>
  <c r="C20" i="24"/>
  <c r="B20" i="24"/>
  <c r="C31" i="24" s="1"/>
  <c r="C29" i="24" s="1"/>
  <c r="J13" i="24"/>
  <c r="I13" i="24"/>
  <c r="H13" i="24"/>
  <c r="G13" i="24"/>
  <c r="B13" i="24"/>
  <c r="J11" i="24"/>
  <c r="I11" i="24"/>
  <c r="H11" i="24"/>
  <c r="G11" i="24"/>
  <c r="B11" i="24"/>
  <c r="J13" i="23"/>
  <c r="I13" i="23"/>
  <c r="G13" i="23"/>
  <c r="H13" i="23"/>
  <c r="J11" i="23"/>
  <c r="I11" i="23"/>
  <c r="H11" i="23"/>
  <c r="G11" i="23"/>
  <c r="O20" i="23"/>
  <c r="H47" i="23"/>
  <c r="H38" i="23"/>
  <c r="G29" i="23"/>
  <c r="F29" i="23"/>
  <c r="E29" i="23"/>
  <c r="B29" i="23"/>
  <c r="B40" i="23" s="1"/>
  <c r="B38" i="23" s="1"/>
  <c r="K20" i="23"/>
  <c r="I20" i="23"/>
  <c r="H20" i="23"/>
  <c r="E20" i="23"/>
  <c r="D20" i="23"/>
  <c r="C20" i="23"/>
  <c r="B20" i="23"/>
  <c r="C31" i="23" s="1"/>
  <c r="C29" i="23" s="1"/>
  <c r="B13" i="23"/>
  <c r="B11" i="23"/>
  <c r="C13" i="23" s="1"/>
  <c r="C11" i="23" s="1"/>
  <c r="C21" i="21"/>
  <c r="L48" i="21"/>
  <c r="K48" i="21"/>
  <c r="H48" i="21"/>
  <c r="G30" i="21"/>
  <c r="F30" i="21"/>
  <c r="E30" i="21"/>
  <c r="B30" i="21"/>
  <c r="B50" i="21" s="1"/>
  <c r="B48" i="21" s="1"/>
  <c r="M21" i="21"/>
  <c r="H21" i="21"/>
  <c r="G21" i="21"/>
  <c r="F21" i="21"/>
  <c r="E21" i="21"/>
  <c r="D21" i="21"/>
  <c r="B21" i="21"/>
  <c r="C32" i="21" s="1"/>
  <c r="C30" i="21" s="1"/>
  <c r="B14" i="21"/>
  <c r="B12" i="21"/>
  <c r="M21" i="20"/>
  <c r="L48" i="20"/>
  <c r="K48" i="20"/>
  <c r="H48" i="20"/>
  <c r="G30" i="20"/>
  <c r="F30" i="20"/>
  <c r="E30" i="20"/>
  <c r="B30" i="20"/>
  <c r="H21" i="20"/>
  <c r="G21" i="20"/>
  <c r="F21" i="20"/>
  <c r="E21" i="20"/>
  <c r="D21" i="20"/>
  <c r="C21" i="20"/>
  <c r="B21" i="20"/>
  <c r="C32" i="20" s="1"/>
  <c r="C30" i="20" s="1"/>
  <c r="B14" i="20"/>
  <c r="B12" i="20"/>
  <c r="C14" i="20" s="1"/>
  <c r="C12" i="20" s="1"/>
  <c r="H56" i="17"/>
  <c r="F56" i="17"/>
  <c r="H47" i="17"/>
  <c r="F47" i="17"/>
  <c r="E38" i="17"/>
  <c r="G38" i="17"/>
  <c r="F38" i="17"/>
  <c r="B38" i="17"/>
  <c r="B49" i="17" s="1"/>
  <c r="B47" i="17" s="1"/>
  <c r="K29" i="17"/>
  <c r="J29" i="17"/>
  <c r="I29" i="17"/>
  <c r="H29" i="17"/>
  <c r="G29" i="17"/>
  <c r="F29" i="17"/>
  <c r="E29" i="17"/>
  <c r="D29" i="17"/>
  <c r="B22" i="17"/>
  <c r="B20" i="17"/>
  <c r="C22" i="17" s="1"/>
  <c r="C20" i="17" s="1"/>
  <c r="D22" i="17" s="1"/>
  <c r="D20" i="17" s="1"/>
  <c r="C29" i="17"/>
  <c r="B29" i="17"/>
  <c r="N8" i="17"/>
  <c r="N6" i="17" s="1"/>
  <c r="J8" i="17"/>
  <c r="J6" i="17" s="1"/>
  <c r="K8" i="17"/>
  <c r="K6" i="17" s="1"/>
  <c r="P8" i="17"/>
  <c r="P6" i="17" s="1"/>
  <c r="O8" i="17"/>
  <c r="O6" i="17" s="1"/>
  <c r="M8" i="17"/>
  <c r="M6" i="17" s="1"/>
  <c r="L8" i="17"/>
  <c r="L6" i="17" s="1"/>
  <c r="I8" i="17"/>
  <c r="I6" i="17" s="1"/>
  <c r="H8" i="17"/>
  <c r="H6" i="17" s="1"/>
  <c r="B8" i="17"/>
  <c r="B6" i="17" s="1"/>
  <c r="P35" i="15"/>
  <c r="Q32" i="15"/>
  <c r="N32" i="15"/>
  <c r="L32" i="15"/>
  <c r="M32" i="15"/>
  <c r="J22" i="24" l="1"/>
  <c r="J20" i="24" s="1"/>
  <c r="J22" i="23"/>
  <c r="J20" i="23" s="1"/>
  <c r="M22" i="27"/>
  <c r="M20" i="27" s="1"/>
  <c r="N22" i="27" s="1"/>
  <c r="N20" i="27" s="1"/>
  <c r="I49" i="27" s="1"/>
  <c r="I47" i="27" s="1"/>
  <c r="I22" i="27"/>
  <c r="I20" i="27" s="1"/>
  <c r="F22" i="27"/>
  <c r="F20" i="27" s="1"/>
  <c r="D31" i="27"/>
  <c r="D29" i="27" s="1"/>
  <c r="H31" i="27" s="1"/>
  <c r="H29" i="27" s="1"/>
  <c r="G22" i="27"/>
  <c r="G22" i="23"/>
  <c r="G20" i="23" s="1"/>
  <c r="F40" i="23"/>
  <c r="F38" i="23" s="1"/>
  <c r="G40" i="23" s="1"/>
  <c r="G38" i="23" s="1"/>
  <c r="D40" i="23" s="1"/>
  <c r="D38" i="23" s="1"/>
  <c r="B49" i="27"/>
  <c r="B47" i="27" s="1"/>
  <c r="F49" i="27" s="1"/>
  <c r="F47" i="27" s="1"/>
  <c r="E40" i="27"/>
  <c r="E38" i="27" s="1"/>
  <c r="F40" i="27"/>
  <c r="F38" i="27" s="1"/>
  <c r="D13" i="27"/>
  <c r="D11" i="27" s="1"/>
  <c r="E13" i="27" s="1"/>
  <c r="E11" i="27" s="1"/>
  <c r="D31" i="24"/>
  <c r="D29" i="24" s="1"/>
  <c r="E40" i="24"/>
  <c r="E38" i="24" s="1"/>
  <c r="G22" i="24"/>
  <c r="G20" i="24" s="1"/>
  <c r="M22" i="24"/>
  <c r="M20" i="24" s="1"/>
  <c r="N22" i="24" s="1"/>
  <c r="N20" i="24" s="1"/>
  <c r="I49" i="24" s="1"/>
  <c r="I47" i="24" s="1"/>
  <c r="B49" i="24"/>
  <c r="B47" i="24" s="1"/>
  <c r="F49" i="24" s="1"/>
  <c r="F47" i="24" s="1"/>
  <c r="F22" i="23"/>
  <c r="F20" i="23" s="1"/>
  <c r="F22" i="24"/>
  <c r="F20" i="24" s="1"/>
  <c r="F40" i="24"/>
  <c r="C13" i="24"/>
  <c r="C11" i="24" s="1"/>
  <c r="E40" i="23"/>
  <c r="E38" i="23" s="1"/>
  <c r="D31" i="23"/>
  <c r="D29" i="23" s="1"/>
  <c r="H31" i="23" s="1"/>
  <c r="H29" i="23" s="1"/>
  <c r="M22" i="23"/>
  <c r="M20" i="23" s="1"/>
  <c r="N22" i="23" s="1"/>
  <c r="N20" i="23" s="1"/>
  <c r="I49" i="23" s="1"/>
  <c r="I47" i="23" s="1"/>
  <c r="D13" i="23"/>
  <c r="D11" i="23" s="1"/>
  <c r="E13" i="23" s="1"/>
  <c r="E11" i="23" s="1"/>
  <c r="B49" i="23"/>
  <c r="B47" i="23" s="1"/>
  <c r="F49" i="23" s="1"/>
  <c r="F47" i="23" s="1"/>
  <c r="D32" i="21"/>
  <c r="D30" i="21" s="1"/>
  <c r="F50" i="21"/>
  <c r="F48" i="21" s="1"/>
  <c r="G50" i="21" s="1"/>
  <c r="G48" i="21" s="1"/>
  <c r="N50" i="21" s="1"/>
  <c r="N48" i="21" s="1"/>
  <c r="C41" i="21"/>
  <c r="C39" i="21" s="1"/>
  <c r="L23" i="20"/>
  <c r="L21" i="20" s="1"/>
  <c r="L23" i="21"/>
  <c r="L21" i="21" s="1"/>
  <c r="J23" i="21"/>
  <c r="J21" i="21" s="1"/>
  <c r="K23" i="21" s="1"/>
  <c r="K21" i="21" s="1"/>
  <c r="I50" i="21" s="1"/>
  <c r="I48" i="21" s="1"/>
  <c r="C14" i="21"/>
  <c r="C12" i="21" s="1"/>
  <c r="C41" i="20"/>
  <c r="C39" i="20" s="1"/>
  <c r="D32" i="20"/>
  <c r="D30" i="20" s="1"/>
  <c r="H32" i="20" s="1"/>
  <c r="H30" i="20" s="1"/>
  <c r="B50" i="20"/>
  <c r="B48" i="20" s="1"/>
  <c r="J23" i="20"/>
  <c r="J21" i="20" s="1"/>
  <c r="K23" i="20" s="1"/>
  <c r="K21" i="20" s="1"/>
  <c r="I50" i="20" s="1"/>
  <c r="I48" i="20" s="1"/>
  <c r="D14" i="20"/>
  <c r="D12" i="20" s="1"/>
  <c r="E14" i="20" s="1"/>
  <c r="E12" i="20" s="1"/>
  <c r="B41" i="20" s="1"/>
  <c r="B39" i="20" s="1"/>
  <c r="B58" i="17"/>
  <c r="B56" i="17" s="1"/>
  <c r="E49" i="17"/>
  <c r="E47" i="17" s="1"/>
  <c r="M31" i="17"/>
  <c r="M29" i="17" s="1"/>
  <c r="N31" i="17" s="1"/>
  <c r="N29" i="17" s="1"/>
  <c r="I58" i="17" s="1"/>
  <c r="I56" i="17" s="1"/>
  <c r="D40" i="17"/>
  <c r="D38" i="17" s="1"/>
  <c r="H40" i="17" s="1"/>
  <c r="H38" i="17" s="1"/>
  <c r="C40" i="17"/>
  <c r="C38" i="17" s="1"/>
  <c r="G49" i="17" s="1"/>
  <c r="G47" i="17" s="1"/>
  <c r="D49" i="17" s="1"/>
  <c r="D47" i="17" s="1"/>
  <c r="E22" i="17"/>
  <c r="E20" i="17" s="1"/>
  <c r="C49" i="17" s="1"/>
  <c r="C8" i="17"/>
  <c r="C6" i="17" s="1"/>
  <c r="D8" i="17" s="1"/>
  <c r="D6" i="17" s="1"/>
  <c r="P34" i="15"/>
  <c r="P32" i="15" s="1"/>
  <c r="K34" i="15" s="1"/>
  <c r="O34" i="15"/>
  <c r="O32" i="15" s="1"/>
  <c r="O35" i="15"/>
  <c r="E49" i="27" l="1"/>
  <c r="E47" i="27" s="1"/>
  <c r="C40" i="27"/>
  <c r="C38" i="27" s="1"/>
  <c r="F13" i="27"/>
  <c r="F11" i="27" s="1"/>
  <c r="C49" i="27" s="1"/>
  <c r="C47" i="27" s="1"/>
  <c r="I54" i="27"/>
  <c r="I31" i="27"/>
  <c r="I29" i="27" s="1"/>
  <c r="C54" i="27"/>
  <c r="G49" i="27"/>
  <c r="G47" i="27" s="1"/>
  <c r="D49" i="27" s="1"/>
  <c r="D47" i="27" s="1"/>
  <c r="G40" i="27"/>
  <c r="G38" i="27" s="1"/>
  <c r="D40" i="27" s="1"/>
  <c r="D38" i="27" s="1"/>
  <c r="F50" i="20"/>
  <c r="F48" i="20" s="1"/>
  <c r="G50" i="20" s="1"/>
  <c r="G48" i="20" s="1"/>
  <c r="D50" i="20" s="1"/>
  <c r="D48" i="20" s="1"/>
  <c r="C53" i="23"/>
  <c r="E49" i="24"/>
  <c r="E47" i="24" s="1"/>
  <c r="F38" i="24"/>
  <c r="G40" i="24" s="1"/>
  <c r="G38" i="24" s="1"/>
  <c r="I31" i="23"/>
  <c r="I29" i="23" s="1"/>
  <c r="G49" i="24"/>
  <c r="G47" i="24" s="1"/>
  <c r="H31" i="24"/>
  <c r="H29" i="24" s="1"/>
  <c r="D13" i="24"/>
  <c r="D11" i="24" s="1"/>
  <c r="E13" i="24" s="1"/>
  <c r="E11" i="24" s="1"/>
  <c r="E49" i="23"/>
  <c r="E47" i="23" s="1"/>
  <c r="G49" i="23"/>
  <c r="G47" i="23" s="1"/>
  <c r="C40" i="23"/>
  <c r="C38" i="23" s="1"/>
  <c r="I40" i="23" s="1"/>
  <c r="I38" i="23" s="1"/>
  <c r="F13" i="23"/>
  <c r="F11" i="23" s="1"/>
  <c r="C49" i="23" s="1"/>
  <c r="C47" i="23" s="1"/>
  <c r="I32" i="20"/>
  <c r="I30" i="20" s="1"/>
  <c r="E50" i="21"/>
  <c r="E48" i="21" s="1"/>
  <c r="D50" i="21"/>
  <c r="D48" i="21" s="1"/>
  <c r="E58" i="17"/>
  <c r="E56" i="17" s="1"/>
  <c r="D14" i="21"/>
  <c r="D12" i="21" s="1"/>
  <c r="E14" i="21" s="1"/>
  <c r="E12" i="21" s="1"/>
  <c r="H32" i="21"/>
  <c r="H30" i="21" s="1"/>
  <c r="E50" i="20"/>
  <c r="E48" i="20" s="1"/>
  <c r="F14" i="20"/>
  <c r="F12" i="20" s="1"/>
  <c r="C50" i="20" s="1"/>
  <c r="C48" i="20" s="1"/>
  <c r="G58" i="17"/>
  <c r="G56" i="17" s="1"/>
  <c r="D58" i="17" s="1"/>
  <c r="D56" i="17" s="1"/>
  <c r="F22" i="17"/>
  <c r="F20" i="17" s="1"/>
  <c r="C58" i="17" s="1"/>
  <c r="C56" i="17" s="1"/>
  <c r="C47" i="17"/>
  <c r="I49" i="17" s="1"/>
  <c r="I47" i="17" s="1"/>
  <c r="I32" i="15"/>
  <c r="F32" i="15"/>
  <c r="AF7" i="13"/>
  <c r="AG7" i="13"/>
  <c r="AH7" i="13"/>
  <c r="AI7" i="13"/>
  <c r="AJ7" i="13"/>
  <c r="AK7" i="13"/>
  <c r="AL7" i="13"/>
  <c r="AM7" i="13"/>
  <c r="AN7" i="13"/>
  <c r="AO7" i="13"/>
  <c r="AE7" i="13"/>
  <c r="AF2" i="13"/>
  <c r="AG2" i="13"/>
  <c r="AH2" i="13"/>
  <c r="AI2" i="13"/>
  <c r="AJ2" i="13"/>
  <c r="AK2" i="13"/>
  <c r="AL2" i="13"/>
  <c r="AM2" i="13"/>
  <c r="AN2" i="13"/>
  <c r="AO2" i="13"/>
  <c r="AE2" i="13"/>
  <c r="D71" i="15"/>
  <c r="D69" i="15" s="1"/>
  <c r="C42" i="15"/>
  <c r="B42" i="15"/>
  <c r="P30" i="14"/>
  <c r="P28" i="14" s="1"/>
  <c r="D34" i="15" s="1"/>
  <c r="D32" i="15" s="1"/>
  <c r="B32" i="15"/>
  <c r="B13" i="15"/>
  <c r="J49" i="27" l="1"/>
  <c r="J47" i="27" s="1"/>
  <c r="I40" i="27"/>
  <c r="I38" i="27" s="1"/>
  <c r="C54" i="24"/>
  <c r="I54" i="24"/>
  <c r="J40" i="23"/>
  <c r="J38" i="23" s="1"/>
  <c r="B53" i="23"/>
  <c r="D49" i="23"/>
  <c r="D47" i="23" s="1"/>
  <c r="J49" i="23" s="1"/>
  <c r="J47" i="23" s="1"/>
  <c r="F50" i="23"/>
  <c r="D40" i="24"/>
  <c r="D38" i="24" s="1"/>
  <c r="D49" i="24"/>
  <c r="D47" i="24" s="1"/>
  <c r="F13" i="24"/>
  <c r="F11" i="24" s="1"/>
  <c r="C49" i="24" s="1"/>
  <c r="C47" i="24" s="1"/>
  <c r="C40" i="24"/>
  <c r="C38" i="24" s="1"/>
  <c r="I31" i="24"/>
  <c r="I29" i="24" s="1"/>
  <c r="I32" i="21"/>
  <c r="I30" i="21" s="1"/>
  <c r="B41" i="21"/>
  <c r="B39" i="21" s="1"/>
  <c r="F14" i="21"/>
  <c r="F12" i="21" s="1"/>
  <c r="C50" i="21" s="1"/>
  <c r="C48" i="21" s="1"/>
  <c r="J50" i="21" s="1"/>
  <c r="J48" i="21" s="1"/>
  <c r="M50" i="21" s="1"/>
  <c r="M48" i="21" s="1"/>
  <c r="J50" i="20"/>
  <c r="J48" i="20" s="1"/>
  <c r="J58" i="17"/>
  <c r="J56" i="17" s="1"/>
  <c r="B12" i="17" s="1"/>
  <c r="H34" i="15"/>
  <c r="H32" i="15" s="1"/>
  <c r="K32" i="15"/>
  <c r="H35" i="15"/>
  <c r="H36" i="15"/>
  <c r="B38" i="15"/>
  <c r="F25" i="15" s="1"/>
  <c r="F23" i="15" s="1"/>
  <c r="B51" i="15"/>
  <c r="B96" i="15"/>
  <c r="D141" i="15"/>
  <c r="O30" i="14"/>
  <c r="O28" i="14" s="1"/>
  <c r="C34" i="15" s="1"/>
  <c r="C32" i="15" s="1"/>
  <c r="AQ9" i="14"/>
  <c r="AQ7" i="14" s="1"/>
  <c r="N28" i="14"/>
  <c r="B54" i="27" l="1"/>
  <c r="J40" i="27"/>
  <c r="J38" i="27" s="1"/>
  <c r="H54" i="27"/>
  <c r="B3" i="27"/>
  <c r="A54" i="27"/>
  <c r="K49" i="27"/>
  <c r="K47" i="27" s="1"/>
  <c r="G54" i="27"/>
  <c r="A53" i="23"/>
  <c r="I40" i="24"/>
  <c r="I38" i="24" s="1"/>
  <c r="J49" i="24"/>
  <c r="J47" i="24" s="1"/>
  <c r="B3" i="23"/>
  <c r="K49" i="23"/>
  <c r="K47" i="23" s="1"/>
  <c r="O50" i="21"/>
  <c r="O48" i="21" s="1"/>
  <c r="M50" i="20"/>
  <c r="M48" i="20" s="1"/>
  <c r="B4" i="20"/>
  <c r="B4" i="21"/>
  <c r="AP9" i="14"/>
  <c r="AP7" i="14" s="1"/>
  <c r="N39" i="10"/>
  <c r="M39" i="10"/>
  <c r="H54" i="24" l="1"/>
  <c r="G54" i="24"/>
  <c r="J54" i="27"/>
  <c r="D54" i="27"/>
  <c r="K54" i="24"/>
  <c r="K54" i="27"/>
  <c r="F54" i="27"/>
  <c r="J40" i="24"/>
  <c r="J38" i="24" s="1"/>
  <c r="B54" i="24"/>
  <c r="F51" i="23"/>
  <c r="E54" i="24"/>
  <c r="K49" i="24"/>
  <c r="K47" i="24" s="1"/>
  <c r="A54" i="24"/>
  <c r="B3" i="24"/>
  <c r="D34" i="20"/>
  <c r="F51" i="20"/>
  <c r="D34" i="21"/>
  <c r="F51" i="21"/>
  <c r="AN7" i="14"/>
  <c r="E7" i="14"/>
  <c r="B7" i="14"/>
  <c r="C7" i="14"/>
  <c r="D7" i="14"/>
  <c r="C14" i="14"/>
  <c r="D14" i="14"/>
  <c r="G14" i="14"/>
  <c r="H14" i="14"/>
  <c r="I14" i="14"/>
  <c r="B21" i="14"/>
  <c r="D21" i="14"/>
  <c r="F21" i="14"/>
  <c r="G21" i="14"/>
  <c r="I21" i="14"/>
  <c r="J21" i="14"/>
  <c r="G28" i="14"/>
  <c r="I29" i="14"/>
  <c r="B30" i="14"/>
  <c r="B28" i="14" s="1"/>
  <c r="E34" i="15" s="1"/>
  <c r="E32" i="15" s="1"/>
  <c r="B28" i="15" s="1"/>
  <c r="C30" i="14"/>
  <c r="C28" i="14" s="1"/>
  <c r="D30" i="14"/>
  <c r="D28" i="14" s="1"/>
  <c r="E30" i="14"/>
  <c r="E28" i="14" s="1"/>
  <c r="J30" i="14"/>
  <c r="J28" i="14" s="1"/>
  <c r="L30" i="14"/>
  <c r="L28" i="14" s="1"/>
  <c r="I5" i="12"/>
  <c r="M30" i="14" s="1"/>
  <c r="M28" i="14" s="1"/>
  <c r="D107" i="15" l="1"/>
  <c r="D105" i="15" s="1"/>
  <c r="C61" i="11"/>
  <c r="C116" i="15"/>
  <c r="C114" i="15" s="1"/>
  <c r="E61" i="11"/>
  <c r="D125" i="15"/>
  <c r="D123" i="15" s="1"/>
  <c r="A61" i="11"/>
  <c r="E62" i="15"/>
  <c r="E60" i="15" s="1"/>
  <c r="D61" i="11"/>
  <c r="E80" i="15"/>
  <c r="E78" i="15" s="1"/>
  <c r="B61" i="11"/>
  <c r="F54" i="24"/>
  <c r="D54" i="24"/>
  <c r="J54" i="24"/>
  <c r="F283" i="9"/>
  <c r="F281" i="9" s="1"/>
  <c r="H80" i="15"/>
  <c r="H78" i="15" s="1"/>
  <c r="G125" i="15"/>
  <c r="G123" i="15" s="1"/>
  <c r="G274" i="9"/>
  <c r="G272" i="9" s="1"/>
  <c r="F71" i="15"/>
  <c r="F69" i="15" s="1"/>
  <c r="G62" i="15"/>
  <c r="G60" i="15" s="1"/>
  <c r="D25" i="15"/>
  <c r="D23" i="15" s="1"/>
  <c r="B274" i="9"/>
  <c r="B272" i="9" s="1"/>
  <c r="B283" i="9"/>
  <c r="B281" i="9" s="1"/>
  <c r="E274" i="9"/>
  <c r="E272" i="9" s="1"/>
  <c r="E283" i="9"/>
  <c r="E281" i="9" s="1"/>
  <c r="D274" i="9"/>
  <c r="D272" i="9" s="1"/>
  <c r="D283" i="9"/>
  <c r="D281" i="9" s="1"/>
  <c r="J16" i="14"/>
  <c r="K23" i="14"/>
  <c r="K21" i="14" s="1"/>
  <c r="K16" i="14"/>
  <c r="K14" i="14" s="1"/>
  <c r="F16" i="14"/>
  <c r="F14" i="14" s="1"/>
  <c r="H23" i="14"/>
  <c r="H21" i="14" s="1"/>
  <c r="L16" i="14"/>
  <c r="L14" i="14" s="1"/>
  <c r="F30" i="14"/>
  <c r="F28" i="14" s="1"/>
  <c r="H30" i="14" s="1"/>
  <c r="H28" i="14" s="1"/>
  <c r="F5" i="12"/>
  <c r="B32" i="9"/>
  <c r="B230" i="9"/>
  <c r="AD7" i="13"/>
  <c r="AD2" i="13"/>
  <c r="D7" i="13"/>
  <c r="E7" i="13"/>
  <c r="F7" i="13"/>
  <c r="G7" i="13"/>
  <c r="H7" i="13"/>
  <c r="I7" i="13"/>
  <c r="J7" i="13"/>
  <c r="K7" i="13"/>
  <c r="L7" i="13"/>
  <c r="M7" i="13"/>
  <c r="N7" i="13"/>
  <c r="O7" i="13"/>
  <c r="P7" i="13"/>
  <c r="Q7" i="13"/>
  <c r="R7" i="13"/>
  <c r="S7" i="13"/>
  <c r="T7" i="13"/>
  <c r="U7" i="13"/>
  <c r="V7" i="13"/>
  <c r="X7" i="13"/>
  <c r="Y7" i="13"/>
  <c r="Z7" i="13"/>
  <c r="AA7" i="13"/>
  <c r="AB7" i="13"/>
  <c r="AC7" i="13"/>
  <c r="C7" i="13"/>
  <c r="AC2" i="13"/>
  <c r="AA2" i="13"/>
  <c r="AB2" i="13"/>
  <c r="U2" i="13"/>
  <c r="V2" i="13"/>
  <c r="Y2" i="13"/>
  <c r="Z2" i="13"/>
  <c r="D2" i="13"/>
  <c r="E2" i="13"/>
  <c r="F2" i="13"/>
  <c r="G2" i="13"/>
  <c r="H2" i="13"/>
  <c r="J2" i="13"/>
  <c r="K2" i="13"/>
  <c r="L2" i="13"/>
  <c r="M2" i="13"/>
  <c r="N2" i="13"/>
  <c r="O2" i="13"/>
  <c r="P2" i="13"/>
  <c r="Q2" i="13"/>
  <c r="R2" i="13"/>
  <c r="S2" i="13"/>
  <c r="T2" i="13"/>
  <c r="C2" i="13"/>
  <c r="F8" i="12"/>
  <c r="F6" i="12"/>
  <c r="F7" i="12"/>
  <c r="C22" i="14" l="1"/>
  <c r="C21" i="14" s="1"/>
  <c r="E23" i="14" s="1"/>
  <c r="E21" i="14" s="1"/>
  <c r="B16" i="14"/>
  <c r="B14" i="14" s="1"/>
  <c r="I30" i="14"/>
  <c r="I28" i="14" s="1"/>
  <c r="K30" i="14" s="1"/>
  <c r="K28" i="14" s="1"/>
  <c r="J14" i="14"/>
  <c r="E8" i="17"/>
  <c r="E6" i="17" s="1"/>
  <c r="F8" i="17"/>
  <c r="F6" i="17" s="1"/>
  <c r="G89" i="15"/>
  <c r="G87" i="15" s="1"/>
  <c r="G134" i="15"/>
  <c r="G132" i="15" s="1"/>
  <c r="I134" i="15"/>
  <c r="I132" i="15" s="1"/>
  <c r="I89" i="15"/>
  <c r="I87" i="15" s="1"/>
  <c r="E240" i="9"/>
  <c r="F9" i="14" l="1"/>
  <c r="F7" i="14" s="1"/>
  <c r="G9" i="14" s="1"/>
  <c r="G7" i="14" s="1"/>
  <c r="E177" i="9"/>
  <c r="C283" i="9"/>
  <c r="C281" i="9" s="1"/>
  <c r="E134" i="9"/>
  <c r="C274" i="9"/>
  <c r="C272" i="9" s="1"/>
  <c r="E197" i="9"/>
  <c r="E114" i="9"/>
  <c r="M16" i="14"/>
  <c r="M14" i="14" s="1"/>
  <c r="H61" i="11" s="1"/>
  <c r="G8" i="17"/>
  <c r="G6" i="17" s="1"/>
  <c r="D240" i="9"/>
  <c r="D238" i="9" s="1"/>
  <c r="L25" i="9"/>
  <c r="J41" i="9"/>
  <c r="F154" i="9"/>
  <c r="F85" i="9"/>
  <c r="D187" i="9"/>
  <c r="D124" i="9"/>
  <c r="F75" i="9"/>
  <c r="F177" i="9"/>
  <c r="C75" i="9"/>
  <c r="D75" i="9"/>
  <c r="F55" i="9"/>
  <c r="F53" i="9" s="1"/>
  <c r="D55" i="9"/>
  <c r="C55" i="9"/>
  <c r="B55" i="9"/>
  <c r="N16" i="14" l="1"/>
  <c r="N14" i="14" s="1"/>
  <c r="K274" i="9"/>
  <c r="K272" i="9" s="1"/>
  <c r="B143" i="15"/>
  <c r="B141" i="15" s="1"/>
  <c r="D62" i="15" s="1"/>
  <c r="D60" i="15" s="1"/>
  <c r="B25" i="15"/>
  <c r="B23" i="15" s="1"/>
  <c r="F104" i="9"/>
  <c r="F167" i="9"/>
  <c r="F114" i="9"/>
  <c r="E250" i="9"/>
  <c r="E248" i="9" s="1"/>
  <c r="E125" i="15" s="1"/>
  <c r="E123" i="15" s="1"/>
  <c r="D250" i="9"/>
  <c r="D248" i="9" s="1"/>
  <c r="B124" i="9"/>
  <c r="B240" i="9"/>
  <c r="B114" i="9"/>
  <c r="B250" i="9"/>
  <c r="B248" i="9" s="1"/>
  <c r="K43" i="9"/>
  <c r="K41" i="9" s="1"/>
  <c r="L43" i="9"/>
  <c r="L41" i="9" s="1"/>
  <c r="H43" i="9"/>
  <c r="H41" i="9" s="1"/>
  <c r="I43" i="9"/>
  <c r="I41" i="9" s="1"/>
  <c r="D197" i="9"/>
  <c r="B177" i="9"/>
  <c r="B187" i="9"/>
  <c r="D167" i="9"/>
  <c r="B197" i="9"/>
  <c r="D177" i="9"/>
  <c r="B167" i="9"/>
  <c r="G55" i="9"/>
  <c r="H55" i="9"/>
  <c r="J55" i="9"/>
  <c r="K55" i="9"/>
  <c r="E75" i="9"/>
  <c r="B134" i="9"/>
  <c r="D134" i="9"/>
  <c r="D114" i="9"/>
  <c r="D104" i="9"/>
  <c r="B75" i="9"/>
  <c r="B104" i="9"/>
  <c r="AB6" i="9"/>
  <c r="AB4" i="9" s="1"/>
  <c r="AD3" i="13" s="1"/>
  <c r="C240" i="9"/>
  <c r="J274" i="9" l="1"/>
  <c r="J272" i="9" s="1"/>
  <c r="C71" i="15"/>
  <c r="C69" i="15" s="1"/>
  <c r="D89" i="15"/>
  <c r="D87" i="15" s="1"/>
  <c r="D134" i="15"/>
  <c r="D132" i="15" s="1"/>
  <c r="D80" i="15"/>
  <c r="D78" i="15" s="1"/>
  <c r="C250" i="9"/>
  <c r="C248" i="9" s="1"/>
  <c r="E167" i="9"/>
  <c r="E187" i="9"/>
  <c r="E104" i="9"/>
  <c r="E124" i="9"/>
  <c r="E89" i="15" l="1"/>
  <c r="E87" i="15" s="1"/>
  <c r="E134" i="15"/>
  <c r="E132" i="15" s="1"/>
  <c r="M25" i="9"/>
  <c r="M23" i="9" s="1"/>
  <c r="B195" i="9"/>
  <c r="D195" i="9"/>
  <c r="G116" i="15" s="1"/>
  <c r="G114" i="15" s="1"/>
  <c r="E195" i="9"/>
  <c r="B185" i="9"/>
  <c r="D185" i="9"/>
  <c r="E185" i="9"/>
  <c r="B175" i="9"/>
  <c r="D175" i="9"/>
  <c r="I107" i="15" s="1"/>
  <c r="I105" i="15" s="1"/>
  <c r="E175" i="9"/>
  <c r="B165" i="9"/>
  <c r="D165" i="9"/>
  <c r="E165" i="9"/>
  <c r="B132" i="9"/>
  <c r="D132" i="9"/>
  <c r="E116" i="15" s="1"/>
  <c r="E114" i="15" s="1"/>
  <c r="E132" i="9"/>
  <c r="D122" i="9"/>
  <c r="E122" i="9"/>
  <c r="B122" i="9"/>
  <c r="B112" i="9"/>
  <c r="E112" i="9"/>
  <c r="D112" i="9"/>
  <c r="F107" i="15" s="1"/>
  <c r="F105" i="15" s="1"/>
  <c r="E102" i="9"/>
  <c r="D102" i="9"/>
  <c r="B102" i="9"/>
  <c r="E73" i="9"/>
  <c r="J53" i="9"/>
  <c r="G53" i="9"/>
  <c r="L23" i="9"/>
  <c r="N26" i="10"/>
  <c r="M26" i="10"/>
  <c r="L26" i="10"/>
  <c r="K26" i="10"/>
  <c r="I26" i="10"/>
  <c r="N25" i="10"/>
  <c r="M25" i="10"/>
  <c r="L25" i="10"/>
  <c r="K25" i="10"/>
  <c r="I25" i="10"/>
  <c r="M24" i="10"/>
  <c r="L24" i="10"/>
  <c r="K24" i="10"/>
  <c r="M23" i="10"/>
  <c r="L23" i="10"/>
  <c r="K23" i="10"/>
  <c r="N22" i="10"/>
  <c r="O9" i="14" s="1"/>
  <c r="O7" i="14" s="1"/>
  <c r="J22" i="10"/>
  <c r="Q9" i="14" s="1"/>
  <c r="Q7" i="14" s="1"/>
  <c r="I22" i="10"/>
  <c r="N9" i="14" s="1"/>
  <c r="N7" i="14" s="1"/>
  <c r="H22" i="10"/>
  <c r="H9" i="14" s="1"/>
  <c r="H7" i="14" s="1"/>
  <c r="G22" i="10"/>
  <c r="R9" i="14" s="1"/>
  <c r="R7" i="14" s="1"/>
  <c r="AZ9" i="14" s="1"/>
  <c r="M21" i="10"/>
  <c r="L21" i="10"/>
  <c r="K21" i="10"/>
  <c r="M20" i="10"/>
  <c r="L20" i="10"/>
  <c r="K20" i="10"/>
  <c r="M19" i="10"/>
  <c r="L19" i="10"/>
  <c r="K19" i="10"/>
  <c r="M18" i="10"/>
  <c r="L18" i="10"/>
  <c r="K18" i="10"/>
  <c r="M17" i="10"/>
  <c r="L17" i="10"/>
  <c r="K17" i="10"/>
  <c r="M16" i="10"/>
  <c r="L16" i="10"/>
  <c r="K16" i="10"/>
  <c r="M15" i="10"/>
  <c r="L15" i="10"/>
  <c r="K15" i="10"/>
  <c r="M14" i="10"/>
  <c r="L14" i="10"/>
  <c r="K14" i="10"/>
  <c r="M13" i="10"/>
  <c r="M12" i="10"/>
  <c r="L12" i="10"/>
  <c r="K12" i="10"/>
  <c r="M11" i="10"/>
  <c r="L11" i="10"/>
  <c r="K11" i="10"/>
  <c r="M10" i="10"/>
  <c r="L10" i="10"/>
  <c r="K10" i="10"/>
  <c r="M9" i="10"/>
  <c r="L9" i="10"/>
  <c r="K9" i="10"/>
  <c r="M8" i="10"/>
  <c r="L8" i="10"/>
  <c r="K8" i="10"/>
  <c r="M7" i="10"/>
  <c r="L7" i="10"/>
  <c r="K7" i="10"/>
  <c r="M6" i="10"/>
  <c r="L6" i="10"/>
  <c r="K6" i="10"/>
  <c r="AX9" i="14" l="1"/>
  <c r="AZ7" i="14"/>
  <c r="P9" i="14"/>
  <c r="P7" i="14" s="1"/>
  <c r="M9" i="14" s="1"/>
  <c r="M7" i="14" s="1"/>
  <c r="C62" i="15" s="1"/>
  <c r="C60" i="15" s="1"/>
  <c r="B107" i="15"/>
  <c r="B105" i="15" s="1"/>
  <c r="B125" i="15" s="1"/>
  <c r="B123" i="15" s="1"/>
  <c r="AO9" i="14"/>
  <c r="AO7" i="14" s="1"/>
  <c r="AT9" i="14" s="1"/>
  <c r="AT7" i="14" s="1"/>
  <c r="B62" i="15"/>
  <c r="B60" i="15" s="1"/>
  <c r="K9" i="14"/>
  <c r="K7" i="14" s="1"/>
  <c r="I9" i="14"/>
  <c r="I7" i="14" s="1"/>
  <c r="V9" i="14" s="1"/>
  <c r="V7" i="14" s="1"/>
  <c r="AJ9" i="14"/>
  <c r="AJ7" i="14" s="1"/>
  <c r="AD9" i="14"/>
  <c r="AD7" i="14" s="1"/>
  <c r="AF9" i="14"/>
  <c r="AF7" i="14" s="1"/>
  <c r="AH9" i="14"/>
  <c r="AH7" i="14" s="1"/>
  <c r="J9" i="14"/>
  <c r="J7" i="14" s="1"/>
  <c r="AG9" i="14"/>
  <c r="AG7" i="14" s="1"/>
  <c r="AI9" i="14"/>
  <c r="AI7" i="14" s="1"/>
  <c r="AE9" i="14"/>
  <c r="AE7" i="14" s="1"/>
  <c r="AK9" i="14"/>
  <c r="AK7" i="14" s="1"/>
  <c r="X9" i="14"/>
  <c r="X7" i="14" s="1"/>
  <c r="J62" i="15"/>
  <c r="J60" i="15" s="1"/>
  <c r="H71" i="15"/>
  <c r="H69" i="15" s="1"/>
  <c r="M22" i="10"/>
  <c r="I25" i="9"/>
  <c r="E238" i="9"/>
  <c r="F80" i="15" s="1"/>
  <c r="F78" i="15" s="1"/>
  <c r="F112" i="9"/>
  <c r="F175" i="9"/>
  <c r="J107" i="15" s="1"/>
  <c r="J105" i="15" s="1"/>
  <c r="F102" i="9"/>
  <c r="F165" i="9"/>
  <c r="K62" i="15" s="1"/>
  <c r="K60" i="15" s="1"/>
  <c r="N25" i="9"/>
  <c r="N23" i="9" s="1"/>
  <c r="L22" i="10"/>
  <c r="K22" i="10"/>
  <c r="AV9" i="14" s="1"/>
  <c r="AV7" i="14" s="1"/>
  <c r="H62" i="15" l="1"/>
  <c r="H60" i="15" s="1"/>
  <c r="G107" i="15"/>
  <c r="G105" i="15" s="1"/>
  <c r="L9" i="14"/>
  <c r="L7" i="14" s="1"/>
  <c r="N43" i="9"/>
  <c r="N41" i="9" s="1"/>
  <c r="I145" i="9"/>
  <c r="I143" i="9" s="1"/>
  <c r="AX7" i="14"/>
  <c r="AL9" i="14" s="1"/>
  <c r="AL7" i="14" s="1"/>
  <c r="F250" i="9" s="1"/>
  <c r="AR9" i="14"/>
  <c r="AR7" i="14" s="1"/>
  <c r="B71" i="15"/>
  <c r="B69" i="15" s="1"/>
  <c r="C107" i="15"/>
  <c r="C105" i="15" s="1"/>
  <c r="B116" i="15" s="1"/>
  <c r="B114" i="15" s="1"/>
  <c r="M43" i="9"/>
  <c r="M41" i="9" s="1"/>
  <c r="H145" i="9"/>
  <c r="H143" i="9" s="1"/>
  <c r="S9" i="14"/>
  <c r="S7" i="14" s="1"/>
  <c r="B134" i="15"/>
  <c r="B132" i="15" s="1"/>
  <c r="B80" i="15"/>
  <c r="B78" i="15" s="1"/>
  <c r="B89" i="15"/>
  <c r="B87" i="15" s="1"/>
  <c r="T9" i="14"/>
  <c r="T7" i="14" s="1"/>
  <c r="AC9" i="14"/>
  <c r="AC7" i="14" s="1"/>
  <c r="C177" i="9" s="1"/>
  <c r="AA9" i="14"/>
  <c r="AA7" i="14" s="1"/>
  <c r="U9" i="14"/>
  <c r="U7" i="14" s="1"/>
  <c r="C80" i="15"/>
  <c r="C78" i="15" s="1"/>
  <c r="C134" i="15"/>
  <c r="C132" i="15" s="1"/>
  <c r="C89" i="15"/>
  <c r="C87" i="15" s="1"/>
  <c r="Z9" i="14"/>
  <c r="Z7" i="14" s="1"/>
  <c r="AS9" i="14"/>
  <c r="AS7" i="14" s="1"/>
  <c r="AB9" i="14"/>
  <c r="AB7" i="14" s="1"/>
  <c r="B65" i="9"/>
  <c r="B63" i="9" s="1"/>
  <c r="C65" i="9" s="1"/>
  <c r="C63" i="9" s="1"/>
  <c r="B59" i="9" s="1"/>
  <c r="H219" i="9"/>
  <c r="G219" i="9"/>
  <c r="P16" i="14" l="1"/>
  <c r="F43" i="9"/>
  <c r="F41" i="9" s="1"/>
  <c r="E145" i="9" s="1"/>
  <c r="E143" i="9" s="1"/>
  <c r="BA9" i="14"/>
  <c r="F274" i="9"/>
  <c r="F272" i="9" s="1"/>
  <c r="C114" i="9"/>
  <c r="C112" i="9" s="1"/>
  <c r="C125" i="15"/>
  <c r="C123" i="15" s="1"/>
  <c r="C104" i="9"/>
  <c r="C102" i="9" s="1"/>
  <c r="W9" i="14"/>
  <c r="Y9" i="14" s="1"/>
  <c r="Y7" i="14" s="1"/>
  <c r="C209" i="9" s="1"/>
  <c r="AU9" i="14"/>
  <c r="AY9" i="14" s="1"/>
  <c r="AM9" i="14"/>
  <c r="AM7" i="14" s="1"/>
  <c r="G43" i="9"/>
  <c r="C124" i="9"/>
  <c r="C122" i="9" s="1"/>
  <c r="F240" i="9"/>
  <c r="F248" i="9"/>
  <c r="C134" i="9"/>
  <c r="C132" i="9" s="1"/>
  <c r="E55" i="9"/>
  <c r="E53" i="9" s="1"/>
  <c r="B25" i="9"/>
  <c r="B23" i="9" s="1"/>
  <c r="I220" i="9"/>
  <c r="I219" i="9" s="1"/>
  <c r="D261" i="9"/>
  <c r="D259" i="9" s="1"/>
  <c r="H260" i="9"/>
  <c r="H259" i="9" s="1"/>
  <c r="E260" i="9"/>
  <c r="E259" i="9" s="1"/>
  <c r="I259" i="9"/>
  <c r="G259" i="9"/>
  <c r="F259" i="9"/>
  <c r="C238" i="9"/>
  <c r="B238" i="9"/>
  <c r="B215" i="9"/>
  <c r="I23" i="9" s="1"/>
  <c r="F219" i="9"/>
  <c r="E219" i="9"/>
  <c r="D53" i="9"/>
  <c r="C53" i="9"/>
  <c r="B53" i="9"/>
  <c r="G73" i="9"/>
  <c r="F73" i="9"/>
  <c r="K53" i="9"/>
  <c r="I53" i="9"/>
  <c r="H53" i="9"/>
  <c r="C13" i="9"/>
  <c r="G6" i="1"/>
  <c r="F6" i="1"/>
  <c r="B77" i="1"/>
  <c r="B54" i="1"/>
  <c r="B55" i="1" s="1"/>
  <c r="B52" i="1"/>
  <c r="B53" i="1" s="1"/>
  <c r="B51" i="1"/>
  <c r="B50" i="1"/>
  <c r="F62" i="15" l="1"/>
  <c r="F60" i="15" s="1"/>
  <c r="A4" i="29"/>
  <c r="B98" i="9"/>
  <c r="B87" i="9" s="1"/>
  <c r="B85" i="9" s="1"/>
  <c r="C261" i="9" s="1"/>
  <c r="C259" i="9" s="1"/>
  <c r="E107" i="15"/>
  <c r="E105" i="15" s="1"/>
  <c r="C4" i="29"/>
  <c r="P14" i="14"/>
  <c r="AU7" i="14"/>
  <c r="AY7" i="14"/>
  <c r="H89" i="15"/>
  <c r="H87" i="15" s="1"/>
  <c r="B108" i="9"/>
  <c r="C87" i="9" s="1"/>
  <c r="C85" i="9" s="1"/>
  <c r="H274" i="9"/>
  <c r="H272" i="9" s="1"/>
  <c r="I274" i="9"/>
  <c r="I272" i="9" s="1"/>
  <c r="W7" i="14"/>
  <c r="F89" i="15"/>
  <c r="F87" i="15" s="1"/>
  <c r="H134" i="15"/>
  <c r="H132" i="15" s="1"/>
  <c r="F134" i="15"/>
  <c r="F132" i="15" s="1"/>
  <c r="B128" i="9"/>
  <c r="E87" i="9" s="1"/>
  <c r="E85" i="9" s="1"/>
  <c r="D116" i="15"/>
  <c r="D114" i="15" s="1"/>
  <c r="B244" i="9"/>
  <c r="F125" i="15"/>
  <c r="F123" i="15" s="1"/>
  <c r="B119" i="15" s="1"/>
  <c r="E98" i="15" s="1"/>
  <c r="E96" i="15" s="1"/>
  <c r="B118" i="9"/>
  <c r="D87" i="9" s="1"/>
  <c r="D85" i="9" s="1"/>
  <c r="E71" i="15"/>
  <c r="E69" i="15" s="1"/>
  <c r="C43" i="9"/>
  <c r="C41" i="9" s="1"/>
  <c r="D145" i="9"/>
  <c r="D43" i="9"/>
  <c r="D41" i="9" s="1"/>
  <c r="B49" i="9"/>
  <c r="B209" i="9" s="1"/>
  <c r="C25" i="9"/>
  <c r="C23" i="9" s="1"/>
  <c r="B73" i="9"/>
  <c r="C145" i="9"/>
  <c r="C73" i="9"/>
  <c r="G41" i="9"/>
  <c r="F145" i="9" s="1"/>
  <c r="F143" i="9" s="1"/>
  <c r="F109" i="5"/>
  <c r="D109" i="5"/>
  <c r="E109" i="5"/>
  <c r="J30" i="5"/>
  <c r="K30" i="5"/>
  <c r="J87" i="5"/>
  <c r="I87" i="5"/>
  <c r="F87" i="5"/>
  <c r="G87" i="5"/>
  <c r="H87" i="5"/>
  <c r="I30" i="5"/>
  <c r="H30" i="5"/>
  <c r="G30" i="5"/>
  <c r="D147" i="5"/>
  <c r="D145" i="5" s="1"/>
  <c r="C41" i="5"/>
  <c r="B41" i="5"/>
  <c r="B37" i="5" s="1"/>
  <c r="B54" i="5" s="1"/>
  <c r="B52" i="5" s="1"/>
  <c r="B123" i="5"/>
  <c r="B121" i="5" s="1"/>
  <c r="B117" i="5" s="1"/>
  <c r="J20" i="5" s="1"/>
  <c r="J18" i="5" s="1"/>
  <c r="F32" i="5"/>
  <c r="F30" i="5" s="1"/>
  <c r="F7" i="5"/>
  <c r="E63" i="5"/>
  <c r="F63" i="5"/>
  <c r="G63" i="5"/>
  <c r="G133" i="5"/>
  <c r="G145" i="5"/>
  <c r="I145" i="5"/>
  <c r="C158" i="5"/>
  <c r="D158" i="5"/>
  <c r="E158" i="5"/>
  <c r="F158" i="5"/>
  <c r="F145" i="5"/>
  <c r="B133" i="5"/>
  <c r="C133" i="5"/>
  <c r="D133" i="5"/>
  <c r="E133" i="5"/>
  <c r="F133" i="5"/>
  <c r="C121" i="5"/>
  <c r="D121" i="5"/>
  <c r="E121" i="5"/>
  <c r="F121" i="5"/>
  <c r="D99" i="5"/>
  <c r="G74" i="5"/>
  <c r="H74" i="5"/>
  <c r="H101" i="5" s="1"/>
  <c r="H99" i="5" s="1"/>
  <c r="B74" i="5"/>
  <c r="B101" i="5" s="1"/>
  <c r="C74" i="5"/>
  <c r="D74" i="5"/>
  <c r="E74" i="5"/>
  <c r="E101" i="5" s="1"/>
  <c r="E99" i="5" s="1"/>
  <c r="F74" i="5"/>
  <c r="F101" i="5" s="1"/>
  <c r="F99" i="5" s="1"/>
  <c r="B63" i="5"/>
  <c r="C63" i="5"/>
  <c r="D63" i="5"/>
  <c r="I18" i="5"/>
  <c r="K18" i="5"/>
  <c r="B18" i="5"/>
  <c r="C18" i="5"/>
  <c r="B147" i="5" s="1"/>
  <c r="B145" i="5" s="1"/>
  <c r="C8" i="5"/>
  <c r="E146" i="5"/>
  <c r="E145" i="5" s="1"/>
  <c r="H146" i="5"/>
  <c r="H145" i="5" s="1"/>
  <c r="K20" i="5"/>
  <c r="B50" i="7"/>
  <c r="B49" i="7"/>
  <c r="B48" i="7"/>
  <c r="B46" i="7"/>
  <c r="B45" i="7"/>
  <c r="B43" i="7"/>
  <c r="B42" i="7"/>
  <c r="B35" i="7"/>
  <c r="B34" i="7"/>
  <c r="B26" i="1"/>
  <c r="B25" i="1"/>
  <c r="B27" i="1"/>
  <c r="J6" i="1" a="1"/>
  <c r="O16" i="14" l="1"/>
  <c r="Q16" i="14" s="1"/>
  <c r="Q14" i="14" s="1"/>
  <c r="S16" i="14"/>
  <c r="T16" i="14"/>
  <c r="R16" i="14"/>
  <c r="R14" i="14" s="1"/>
  <c r="B83" i="15"/>
  <c r="F53" i="15" s="1"/>
  <c r="F51" i="15" s="1"/>
  <c r="B277" i="9"/>
  <c r="AD6" i="9" s="1"/>
  <c r="AD4" i="9" s="1"/>
  <c r="B268" i="9"/>
  <c r="B81" i="9" s="1"/>
  <c r="E25" i="9" s="1"/>
  <c r="E23" i="9" s="1"/>
  <c r="B128" i="15"/>
  <c r="C207" i="9"/>
  <c r="K6" i="9"/>
  <c r="K4" i="9" s="1"/>
  <c r="L3" i="13" s="1"/>
  <c r="B261" i="9"/>
  <c r="B259" i="9" s="1"/>
  <c r="B255" i="9" s="1"/>
  <c r="J6" i="9"/>
  <c r="J4" i="9" s="1"/>
  <c r="K3" i="13" s="1"/>
  <c r="I6" i="9"/>
  <c r="L6" i="9"/>
  <c r="L4" i="9" s="1"/>
  <c r="M3" i="13" s="1"/>
  <c r="T6" i="9"/>
  <c r="T4" i="9" s="1"/>
  <c r="U3" i="13" s="1"/>
  <c r="C197" i="9"/>
  <c r="C195" i="9" s="1"/>
  <c r="C187" i="9"/>
  <c r="C185" i="9" s="1"/>
  <c r="C167" i="9"/>
  <c r="C165" i="9" s="1"/>
  <c r="I62" i="15" s="1"/>
  <c r="I60" i="15" s="1"/>
  <c r="B56" i="15" s="1"/>
  <c r="C53" i="15" s="1"/>
  <c r="C51" i="15" s="1"/>
  <c r="F238" i="9"/>
  <c r="G80" i="15" s="1"/>
  <c r="G78" i="15" s="1"/>
  <c r="B74" i="15" s="1"/>
  <c r="E53" i="15" s="1"/>
  <c r="E51" i="15" s="1"/>
  <c r="C175" i="9"/>
  <c r="H107" i="15" s="1"/>
  <c r="H105" i="15" s="1"/>
  <c r="B101" i="15" s="1"/>
  <c r="C98" i="15" s="1"/>
  <c r="C96" i="15" s="1"/>
  <c r="C143" i="9"/>
  <c r="D73" i="9"/>
  <c r="B69" i="9" s="1"/>
  <c r="B43" i="9"/>
  <c r="B41" i="9" s="1"/>
  <c r="C49" i="9"/>
  <c r="D143" i="9"/>
  <c r="G101" i="5"/>
  <c r="G99" i="5" s="1"/>
  <c r="E32" i="5"/>
  <c r="E30" i="5" s="1"/>
  <c r="B48" i="5"/>
  <c r="B59" i="5"/>
  <c r="D59" i="5" s="1"/>
  <c r="N20" i="5"/>
  <c r="B99" i="5"/>
  <c r="B70" i="5"/>
  <c r="E20" i="5" s="1"/>
  <c r="E18" i="5" s="1"/>
  <c r="N15" i="5" s="1"/>
  <c r="C147" i="5"/>
  <c r="C145" i="5" s="1"/>
  <c r="B141" i="5" s="1"/>
  <c r="J6" i="1"/>
  <c r="T14" i="14" l="1"/>
  <c r="V16" i="14"/>
  <c r="V14" i="14" s="1"/>
  <c r="U16" i="14"/>
  <c r="U14" i="14" s="1"/>
  <c r="S14" i="14"/>
  <c r="W16" i="14"/>
  <c r="W14" i="14" s="1"/>
  <c r="O14" i="14"/>
  <c r="AE6" i="9"/>
  <c r="AE4" i="9" s="1"/>
  <c r="AC6" i="9"/>
  <c r="AC4" i="9" s="1"/>
  <c r="AF6" i="9" s="1"/>
  <c r="AF4" i="9" s="1"/>
  <c r="W3" i="13" s="1"/>
  <c r="B181" i="9"/>
  <c r="D156" i="9" s="1"/>
  <c r="D154" i="9" s="1"/>
  <c r="G71" i="15"/>
  <c r="G69" i="15" s="1"/>
  <c r="B65" i="15" s="1"/>
  <c r="D53" i="15" s="1"/>
  <c r="D51" i="15" s="1"/>
  <c r="B47" i="15" s="1"/>
  <c r="B191" i="9"/>
  <c r="E156" i="9" s="1"/>
  <c r="E154" i="9" s="1"/>
  <c r="F116" i="15"/>
  <c r="F114" i="15" s="1"/>
  <c r="B110" i="15" s="1"/>
  <c r="D98" i="15" s="1"/>
  <c r="D96" i="15" s="1"/>
  <c r="B92" i="15" s="1"/>
  <c r="B234" i="9"/>
  <c r="B226" i="9" s="1"/>
  <c r="J25" i="9" s="1"/>
  <c r="J23" i="9" s="1"/>
  <c r="B171" i="9"/>
  <c r="O6" i="9" s="1"/>
  <c r="O4" i="9" s="1"/>
  <c r="P3" i="13" s="1"/>
  <c r="B161" i="9"/>
  <c r="B156" i="9" s="1"/>
  <c r="B154" i="9" s="1"/>
  <c r="X6" i="9"/>
  <c r="I4" i="9"/>
  <c r="E43" i="9"/>
  <c r="E41" i="9" s="1"/>
  <c r="B37" i="9" s="1"/>
  <c r="G145" i="9"/>
  <c r="D13" i="9"/>
  <c r="B207" i="9"/>
  <c r="B203" i="9" s="1"/>
  <c r="H25" i="9" s="1"/>
  <c r="H23" i="9" s="1"/>
  <c r="B145" i="9"/>
  <c r="B143" i="9" s="1"/>
  <c r="C32" i="5"/>
  <c r="C30" i="5" s="1"/>
  <c r="D89" i="5"/>
  <c r="D87" i="5" s="1"/>
  <c r="C101" i="5" s="1"/>
  <c r="C99" i="5" s="1"/>
  <c r="B95" i="5" s="1"/>
  <c r="G20" i="5" s="1"/>
  <c r="G18" i="5" s="1"/>
  <c r="N17" i="5" s="1"/>
  <c r="B32" i="5"/>
  <c r="B30" i="5" s="1"/>
  <c r="B89" i="5" s="1"/>
  <c r="B87" i="5" s="1"/>
  <c r="D10" i="5"/>
  <c r="D8" i="5" s="1"/>
  <c r="N19" i="5"/>
  <c r="B28" i="1"/>
  <c r="B29" i="1" s="1"/>
  <c r="C64" i="1"/>
  <c r="B66" i="1" s="1"/>
  <c r="K6" i="1" s="1"/>
  <c r="M6" i="9" l="1"/>
  <c r="M4" i="9" s="1"/>
  <c r="S6" i="9"/>
  <c r="S4" i="9" s="1"/>
  <c r="U6" i="9" s="1"/>
  <c r="U4" i="9" s="1"/>
  <c r="V3" i="13" s="1"/>
  <c r="P6" i="9"/>
  <c r="P4" i="9" s="1"/>
  <c r="Q3" i="13" s="1"/>
  <c r="N6" i="9"/>
  <c r="N4" i="9" s="1"/>
  <c r="O3" i="13" s="1"/>
  <c r="Q6" i="9"/>
  <c r="Q4" i="9" s="1"/>
  <c r="R3" i="13" s="1"/>
  <c r="E15" i="15"/>
  <c r="E13" i="15" s="1"/>
  <c r="K6" i="15" s="1"/>
  <c r="K4" i="15" s="1"/>
  <c r="AM3" i="13" s="1"/>
  <c r="D15" i="15"/>
  <c r="D13" i="15" s="1"/>
  <c r="J6" i="15" s="1"/>
  <c r="J4" i="15" s="1"/>
  <c r="AL3" i="13" s="1"/>
  <c r="C156" i="9"/>
  <c r="C154" i="9" s="1"/>
  <c r="B150" i="9" s="1"/>
  <c r="G25" i="9" s="1"/>
  <c r="G23" i="9" s="1"/>
  <c r="J3" i="13"/>
  <c r="G6" i="9"/>
  <c r="G4" i="9" s="1"/>
  <c r="H3" i="13" s="1"/>
  <c r="Y6" i="9"/>
  <c r="Y4" i="9" s="1"/>
  <c r="AA3" i="13" s="1"/>
  <c r="X4" i="9"/>
  <c r="G143" i="9"/>
  <c r="B139" i="9" s="1"/>
  <c r="D25" i="9"/>
  <c r="D23" i="9" s="1"/>
  <c r="C89" i="5"/>
  <c r="C87" i="5" s="1"/>
  <c r="C111" i="5"/>
  <c r="C109" i="5" s="1"/>
  <c r="D32" i="5"/>
  <c r="D30" i="5" s="1"/>
  <c r="B26" i="5" s="1"/>
  <c r="D20" i="5" s="1"/>
  <c r="D18" i="5" s="1"/>
  <c r="N14" i="5" s="1"/>
  <c r="B111" i="5"/>
  <c r="B109" i="5" s="1"/>
  <c r="Z3" i="13" l="1"/>
  <c r="T3" i="13"/>
  <c r="R6" i="9"/>
  <c r="N3" i="13"/>
  <c r="E6" i="9"/>
  <c r="E4" i="9" s="1"/>
  <c r="F3" i="13" s="1"/>
  <c r="F25" i="9"/>
  <c r="F23" i="9" s="1"/>
  <c r="B105" i="5"/>
  <c r="H20" i="5" s="1"/>
  <c r="H18" i="5" s="1"/>
  <c r="N18" i="5" s="1"/>
  <c r="E89" i="5"/>
  <c r="E87" i="5" s="1"/>
  <c r="B83" i="5" s="1"/>
  <c r="F20" i="5" s="1"/>
  <c r="F18" i="5" s="1"/>
  <c r="N16" i="5" s="1"/>
  <c r="B28" i="9" l="1"/>
  <c r="W6" i="9" s="1"/>
  <c r="F6" i="9"/>
  <c r="N21" i="5"/>
  <c r="B14" i="5"/>
  <c r="B10" i="5" s="1"/>
  <c r="B8" i="5" s="1"/>
  <c r="B4" i="5" s="1"/>
  <c r="D4" i="5" s="1"/>
  <c r="F4" i="5" s="1"/>
  <c r="W4" i="9" l="1"/>
  <c r="Y3" i="13" s="1"/>
  <c r="K25" i="9"/>
  <c r="K23" i="9" s="1"/>
  <c r="B19" i="9" s="1"/>
  <c r="Z6" i="9" s="1"/>
  <c r="Z4" i="9" s="1"/>
  <c r="AB3" i="13" s="1"/>
  <c r="F4" i="9"/>
  <c r="B15" i="9" l="1"/>
  <c r="B13" i="9" s="1"/>
  <c r="B9" i="9" s="1"/>
  <c r="AA6" i="9"/>
  <c r="AA4" i="9" s="1"/>
  <c r="AC3" i="13" s="1"/>
  <c r="H6" i="9"/>
  <c r="H4" i="9" s="1"/>
  <c r="G3" i="13"/>
  <c r="B6" i="9" l="1"/>
  <c r="B4" i="9" s="1"/>
  <c r="I3" i="13"/>
  <c r="C25" i="15"/>
  <c r="C23" i="15" s="1"/>
  <c r="H6" i="15" s="1"/>
  <c r="H4" i="15" s="1"/>
  <c r="AJ3" i="13" s="1"/>
  <c r="R4" i="9"/>
  <c r="V6" i="9" s="1"/>
  <c r="B6" i="15" l="1"/>
  <c r="B4" i="15" s="1"/>
  <c r="C3" i="13"/>
  <c r="W4" i="13" s="1"/>
  <c r="C143" i="15"/>
  <c r="C141" i="15" s="1"/>
  <c r="B137" i="15" s="1"/>
  <c r="F15" i="15" s="1"/>
  <c r="F13" i="15" s="1"/>
  <c r="L6" i="15" s="1"/>
  <c r="L4" i="15" s="1"/>
  <c r="AN3" i="13" s="1"/>
  <c r="C6" i="9"/>
  <c r="C4" i="9" s="1"/>
  <c r="S3" i="13"/>
  <c r="D3" i="13" l="1"/>
  <c r="G61" i="11"/>
  <c r="F4" i="13"/>
  <c r="I4" i="13"/>
  <c r="Y4" i="13"/>
  <c r="J4" i="13"/>
  <c r="M4" i="13"/>
  <c r="L4" i="13"/>
  <c r="S4" i="13"/>
  <c r="G4" i="13"/>
  <c r="V4" i="13"/>
  <c r="H4" i="13"/>
  <c r="R4" i="13"/>
  <c r="P4" i="13"/>
  <c r="O4" i="13"/>
  <c r="N4" i="13"/>
  <c r="D6" i="9"/>
  <c r="D4" i="9" s="1"/>
  <c r="E3" i="13" s="1"/>
  <c r="K4" i="13"/>
  <c r="Q4" i="13"/>
  <c r="T4" i="13"/>
  <c r="U4" i="13"/>
  <c r="V4" i="9"/>
  <c r="X3" i="13" l="1"/>
  <c r="X4" i="13" s="1"/>
  <c r="E25" i="15"/>
  <c r="E23" i="15" s="1"/>
  <c r="B19" i="15" s="1"/>
  <c r="C15" i="15" s="1"/>
  <c r="C13" i="15" s="1"/>
  <c r="I6" i="15" l="1"/>
  <c r="I4" i="15" s="1"/>
  <c r="AK3" i="13" s="1"/>
  <c r="B9" i="15"/>
  <c r="C6" i="15" s="1"/>
  <c r="M6" i="15"/>
  <c r="M4" i="15" s="1"/>
  <c r="AO3" i="13" s="1"/>
  <c r="D6" i="15" l="1"/>
  <c r="E7" i="15" s="1"/>
  <c r="C4" i="15"/>
  <c r="AE3" i="13" s="1"/>
  <c r="AO4" i="13" s="1"/>
  <c r="E6" i="15"/>
  <c r="E4" i="15" s="1"/>
  <c r="AG3" i="13" s="1"/>
  <c r="AJ4" i="13" l="1"/>
  <c r="AL4" i="13"/>
  <c r="AM4" i="13"/>
  <c r="AN4" i="13"/>
  <c r="AK4" i="13"/>
  <c r="D4" i="15"/>
  <c r="AF3" i="13" s="1"/>
  <c r="F6" i="15"/>
  <c r="F4" i="15" s="1"/>
  <c r="AH3" i="13" s="1"/>
  <c r="G6" i="15"/>
  <c r="G4" i="15" s="1"/>
  <c r="AI3"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tc={7CF20D25-D227-49E7-8BAF-EE2F609DDBF9}</author>
    <author>Peter Vrancx (imec)</author>
  </authors>
  <commentList>
    <comment ref="K13" authorId="0" shapeId="0" xr:uid="{7CF20D25-D227-49E7-8BAF-EE2F609DDBF9}">
      <text>
        <t>[Threaded comment]
Your version of Excel allows you to read this threaded comment; however, any edits to it will get removed if the file is opened in a newer version of Excel. Learn more: https://go.microsoft.com/fwlink/?linkid=870924
Comment:
    Table in paper says 128 but is likley wrong -&gt; gives &gt;&gt; 1.3B weights (which is also reported in the paper)</t>
      </text>
    </comment>
    <comment ref="E39" authorId="1" shapeId="0" xr:uid="{99EB4AB6-0EFA-47F9-842A-0EAB21FA0174}">
      <text>
        <r>
          <rPr>
            <b/>
            <sz val="9"/>
            <color indexed="81"/>
            <rFont val="Tahoma"/>
            <family val="2"/>
          </rPr>
          <t>Peter Vrancx (imec):</t>
        </r>
        <r>
          <rPr>
            <sz val="9"/>
            <color indexed="81"/>
            <rFont val="Tahoma"/>
            <family val="2"/>
          </rPr>
          <t xml:space="preserve">
deepspeed MoE models
</t>
        </r>
      </text>
    </comment>
    <comment ref="E41" authorId="1" shapeId="0" xr:uid="{6E319477-9AC9-4CA4-AD06-C3CC7A107568}">
      <text>
        <r>
          <rPr>
            <b/>
            <sz val="9"/>
            <color indexed="81"/>
            <rFont val="Tahoma"/>
            <family val="2"/>
          </rPr>
          <t>Peter Vrancx (imec):</t>
        </r>
        <r>
          <rPr>
            <sz val="9"/>
            <color indexed="81"/>
            <rFont val="Tahoma"/>
            <family val="2"/>
          </rPr>
          <t xml:space="preserve">
Glam models</t>
        </r>
      </text>
    </comment>
    <comment ref="E43" authorId="1" shapeId="0" xr:uid="{BBDCD4D0-8D93-49A0-8EDC-BBB8C5636F3B}">
      <text>
        <r>
          <rPr>
            <b/>
            <sz val="9"/>
            <color indexed="81"/>
            <rFont val="Tahoma"/>
            <family val="2"/>
          </rPr>
          <t>Peter Vrancx (imec):</t>
        </r>
        <r>
          <rPr>
            <sz val="9"/>
            <color indexed="81"/>
            <rFont val="Tahoma"/>
            <family val="2"/>
          </rPr>
          <t xml:space="preserve">
Meta MoE Models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<sst xmlns="http://schemas.openxmlformats.org/spreadsheetml/2006/main" count="3075" uniqueCount="1105">
  <si>
    <t>dont touch:</t>
  </si>
  <si>
    <t>user input</t>
  </si>
  <si>
    <t>calculated</t>
  </si>
  <si>
    <t>log bugs on our JIRA board -&gt;</t>
  </si>
  <si>
    <t>https://imec.atlassian.net/jira/software/c/projects/AM/boards/222?quickFilter=822</t>
  </si>
  <si>
    <t>Create -&gt; type: Bug, label: analytical_modeling</t>
  </si>
  <si>
    <t>Neural network training parameters</t>
  </si>
  <si>
    <t>config in calculated row:</t>
  </si>
  <si>
    <t>MoE-GPT-1024</t>
  </si>
  <si>
    <t>Parameter</t>
  </si>
  <si>
    <t>Weight precision (bits)</t>
  </si>
  <si>
    <t>Activation precision (bits)</t>
  </si>
  <si>
    <t>gradient precision (bits)</t>
  </si>
  <si>
    <t>Batch size [B]</t>
  </si>
  <si>
    <t>minibatch size [mb]</t>
  </si>
  <si>
    <t>microbatch size [ub]</t>
  </si>
  <si>
    <t>sequence length aka context [s]</t>
  </si>
  <si>
    <t>hidden layer dimension for attention sublayers [h]</t>
  </si>
  <si>
    <t>hidden layer dimension for the 1st MLP sublayer [h_MLP1]</t>
  </si>
  <si>
    <t>hidden layer dimension for the 2nd MLP sublayer [h_MLP2]</t>
  </si>
  <si>
    <t>activations volume per layer per batch [N_act]</t>
  </si>
  <si>
    <t>number of batches [N_batch]</t>
  </si>
  <si>
    <t>number of layers [N_L]</t>
  </si>
  <si>
    <t xml:space="preserve">number of tokens to train </t>
  </si>
  <si>
    <t>number of sequences to train aka samples</t>
  </si>
  <si>
    <t>number of attention heads</t>
  </si>
  <si>
    <t>dimensionality</t>
  </si>
  <si>
    <t>Query MAC operations</t>
  </si>
  <si>
    <t>Key MAC operations</t>
  </si>
  <si>
    <t>Value MAC operations</t>
  </si>
  <si>
    <t>self-attention MAC operations</t>
  </si>
  <si>
    <t>Multihead MAC operations</t>
  </si>
  <si>
    <t>Attention sublayer output MAC operations</t>
  </si>
  <si>
    <t>total attention sublayer MAC operations</t>
  </si>
  <si>
    <t>total MLP sublayer MAC operations</t>
  </si>
  <si>
    <t>non linear operations for attention sublayer</t>
  </si>
  <si>
    <t>non linear operations for MLP sublayer</t>
  </si>
  <si>
    <t>error volume per layer per batch [N_err]</t>
  </si>
  <si>
    <t>Dim Query weight (Wq)</t>
  </si>
  <si>
    <t>Dim key weight (Wk)</t>
  </si>
  <si>
    <t>Dim value weight (Wv)</t>
  </si>
  <si>
    <t>projection weight (Wo)</t>
  </si>
  <si>
    <t xml:space="preserve"> feedforward bias1</t>
  </si>
  <si>
    <t>feedforward bias2</t>
  </si>
  <si>
    <t xml:space="preserve"> feedforward scale 1</t>
  </si>
  <si>
    <t>feedforward scale 2</t>
  </si>
  <si>
    <t>Number of parameters per layer</t>
  </si>
  <si>
    <t>Number of parameters per Expert</t>
  </si>
  <si>
    <t>Optimizer state precision</t>
  </si>
  <si>
    <t>No. of MoE Layers</t>
  </si>
  <si>
    <t>Expert Flag</t>
  </si>
  <si>
    <t>No of Experts</t>
  </si>
  <si>
    <t>No of Gating parameters</t>
  </si>
  <si>
    <t>No of Expert parameters</t>
  </si>
  <si>
    <t>Gating MAC operations</t>
  </si>
  <si>
    <t>Key/Query/Value length</t>
  </si>
  <si>
    <t>use calculation or override with user input</t>
  </si>
  <si>
    <t>Value used in formula</t>
  </si>
  <si>
    <t>user input value</t>
  </si>
  <si>
    <t>Calculated from more detail or defined earlier</t>
  </si>
  <si>
    <t>N/A</t>
  </si>
  <si>
    <t>comments</t>
  </si>
  <si>
    <t>Put 3E11 in O8</t>
  </si>
  <si>
    <t>No of tokens (O9) goes up by 3 orders of magnitidue for MoE models</t>
  </si>
  <si>
    <t>Mapping parameters</t>
  </si>
  <si>
    <t>number of microbatches per minibatch [N_ubatch]</t>
  </si>
  <si>
    <t>intra node Data parallel degree [N_DP_intra]</t>
  </si>
  <si>
    <t>intra node Tensor parallel degree [N_TP_intra]</t>
  </si>
  <si>
    <t>intra node Pipeline parallel degree [N_PP_intra]</t>
  </si>
  <si>
    <t>accelerators per node required [R_acc_node]</t>
  </si>
  <si>
    <t>inter node Data parallel degree [N_DP_inter]</t>
  </si>
  <si>
    <t>inter node Tensor parallel degree [N_TP_inter]</t>
  </si>
  <si>
    <t>inter node Pipeline parallel degree [N_PP_inter]</t>
  </si>
  <si>
    <t>Data parallel degree [N_DP]</t>
  </si>
  <si>
    <t>Tensor parallel degree [N_TP]</t>
  </si>
  <si>
    <t>Pipeline parallel degree [N_PP]</t>
  </si>
  <si>
    <t>Number of accelerators required [R_acc_total]</t>
  </si>
  <si>
    <t>Number of nodes required [R_nodes_total]</t>
  </si>
  <si>
    <t>Nvlink</t>
  </si>
  <si>
    <t>System architecture parameters</t>
  </si>
  <si>
    <t>Inter node latency (s) [C_inter]</t>
  </si>
  <si>
    <t>number of network cards per node</t>
  </si>
  <si>
    <t>bandwidth per network card (bits/s)</t>
  </si>
  <si>
    <t>Inter node bandwidth (bits/s) [BW_inter]</t>
  </si>
  <si>
    <t>inter node topology factor</t>
  </si>
  <si>
    <t>number of accelerators per node [N_acc_node]</t>
  </si>
  <si>
    <t>total intra node bandwidth</t>
  </si>
  <si>
    <t>intra node topology factor</t>
  </si>
  <si>
    <t>Number of nodes</t>
  </si>
  <si>
    <t>Total number of accelerators [N_acc_total]</t>
  </si>
  <si>
    <t>assume infiniband between nodes</t>
  </si>
  <si>
    <t>not used atm</t>
  </si>
  <si>
    <t>move this to accelerator specs tab</t>
  </si>
  <si>
    <t>Accelerator architecture parameters</t>
  </si>
  <si>
    <t>configuration in calculated row</t>
  </si>
  <si>
    <t>V100</t>
  </si>
  <si>
    <t>frequency (cycles/s) [f]</t>
  </si>
  <si>
    <t>number of cores [N_cores]</t>
  </si>
  <si>
    <t>number of functional units per core [N_FU]</t>
  </si>
  <si>
    <t>functional unit hardware 8-bit MAC/cycle [W_FU]</t>
  </si>
  <si>
    <t>peak compute 8-bit MACs (MAC/s)</t>
  </si>
  <si>
    <t>OPS/MAC</t>
  </si>
  <si>
    <t>peak compute 8-bit (OPS/s)</t>
  </si>
  <si>
    <t>number of non-linear functional units per core</t>
  </si>
  <si>
    <t>non linear functional unit hardware 8-bit NLIN/cycle</t>
  </si>
  <si>
    <t>peak compute 8-bit non-linear function (NLIN/s)</t>
  </si>
  <si>
    <t>inter accelerator latency [C_intra]</t>
  </si>
  <si>
    <t>inter accelerator bandwidth (bits/s) [BW_intra]</t>
  </si>
  <si>
    <t>Memory capacity per accelerator (Bytes)</t>
  </si>
  <si>
    <t>Accelerator TDP</t>
  </si>
  <si>
    <t>Accelerator frequency at TDP (cycles/s)</t>
  </si>
  <si>
    <t>people count 2 ops/MAC typically</t>
  </si>
  <si>
    <t>MoE Overhead</t>
  </si>
  <si>
    <t>Breakdown</t>
  </si>
  <si>
    <t>Total MoE communication overhead</t>
  </si>
  <si>
    <t>Current configuration:</t>
  </si>
  <si>
    <t>relative:</t>
  </si>
  <si>
    <t>Copy values over in below table to create multiple data points to plot</t>
  </si>
  <si>
    <t>Configuration</t>
  </si>
  <si>
    <t>Test config 1</t>
  </si>
  <si>
    <t>Test config 2</t>
  </si>
  <si>
    <t>Test config 3</t>
  </si>
  <si>
    <t>Time spent (data traffic)</t>
  </si>
  <si>
    <t>T_mem (in sec)</t>
  </si>
  <si>
    <t>Application/Mapping specific parameters</t>
  </si>
  <si>
    <t>Assumptions</t>
  </si>
  <si>
    <t>Linear dimension of the compute block (N_x)</t>
  </si>
  <si>
    <t># of computation points that we wish to parallelize</t>
  </si>
  <si>
    <t>#threads required as per the application</t>
  </si>
  <si>
    <t># thread blocks</t>
  </si>
  <si>
    <t># groups</t>
  </si>
  <si>
    <t>Hardware specs</t>
  </si>
  <si>
    <t>Number of threads per SM</t>
  </si>
  <si>
    <t>Number of SMs</t>
  </si>
  <si>
    <t># threads per block</t>
  </si>
  <si>
    <t>Clock rate (R) in GHz</t>
  </si>
  <si>
    <t>BW per SM (GB/s)</t>
  </si>
  <si>
    <t>BW_GM (GB/s)</t>
  </si>
  <si>
    <t>on-SM storage (KB)</t>
  </si>
  <si>
    <t>occupancy</t>
  </si>
  <si>
    <t># thread blocks per SM</t>
  </si>
  <si>
    <t># thread blocks per group</t>
  </si>
  <si>
    <t>Total BW_SM (GB/s)</t>
  </si>
  <si>
    <t>SM-cache-line-size (B)</t>
  </si>
  <si>
    <t>On SM to thread private registers</t>
  </si>
  <si>
    <t>Precesion (byte)</t>
  </si>
  <si>
    <t>number of loads per thread from the on-SM storage to  registers</t>
  </si>
  <si>
    <t>number of corresponding stores per thread</t>
  </si>
  <si>
    <t xml:space="preserve">no of algined (with L1 cache-line of 128B) loads </t>
  </si>
  <si>
    <t xml:space="preserve">no of miss-algined  loads </t>
  </si>
  <si>
    <t>traffic volume between SM and registers (V_SM) in GB</t>
  </si>
  <si>
    <t>time</t>
  </si>
  <si>
    <t>Assumption</t>
  </si>
  <si>
    <t xml:space="preserve"> assuming that the CUDA thread blocks are scheduled to the SMXs in a cyclic order; thus, the thread blocks designated to the same SMX do not share data in the on-SMX storage</t>
  </si>
  <si>
    <t>Number of threads blocks</t>
  </si>
  <si>
    <t>number of data values stored per thread block</t>
  </si>
  <si>
    <t>delta is a HW specific fitting parameter that connects the capacity miss ratio with the total data volume needed by the active thread blocks in the same SMX</t>
  </si>
  <si>
    <t>Global memory (GM) to SM</t>
  </si>
  <si>
    <t>the basic granularity here is an entire group of simultaneously active thread blocks. L2 cache is shared across all active thread blocks. We assume that the whole computation is divided into several such groups. Since</t>
  </si>
  <si>
    <t>Precesion</t>
  </si>
  <si>
    <t>Number of threads block groups</t>
  </si>
  <si>
    <t>number of data values loads per group from global memory to SM</t>
  </si>
  <si>
    <t>number of data values stored per group</t>
  </si>
  <si>
    <t xml:space="preserve">no of mandatory values loaded per group </t>
  </si>
  <si>
    <t>SM miss ratio</t>
  </si>
  <si>
    <t>epsilon</t>
  </si>
  <si>
    <t>traffic volume between GM and SM (V_GM) in GB</t>
  </si>
  <si>
    <t>width_y</t>
  </si>
  <si>
    <t>height_z</t>
  </si>
  <si>
    <t>test_time</t>
  </si>
  <si>
    <t>reuse</t>
  </si>
  <si>
    <t>traffic ration: SM/GM</t>
  </si>
  <si>
    <t>epslion is another prescribed small constant, similar to delta</t>
  </si>
  <si>
    <t># loads /thread from SM</t>
  </si>
  <si>
    <t>#loads per G from GM</t>
  </si>
  <si>
    <t>Time: HBM3+2d SRAM</t>
  </si>
  <si>
    <t>Time: LPDDR+3d SRAM</t>
  </si>
  <si>
    <t>read only data cache size per SM (KB)</t>
  </si>
  <si>
    <t>number of data values loads per group from global memory to L2 cache</t>
  </si>
  <si>
    <t>traffic volume between GM and L2 (V_GM) in GB</t>
  </si>
  <si>
    <t>Training time breakdown</t>
  </si>
  <si>
    <t>Total time to train (s)</t>
  </si>
  <si>
    <t>Total time to train (days)</t>
  </si>
  <si>
    <t>Total time to train (years)</t>
  </si>
  <si>
    <t>Computation time forward pass (s)</t>
  </si>
  <si>
    <t>Computation time backward pass (s)</t>
  </si>
  <si>
    <t>Computation time weight updates (s)</t>
  </si>
  <si>
    <t>Total computation time (s)</t>
  </si>
  <si>
    <t>Communication time forward pass: tensor parallellism intra node (s)</t>
  </si>
  <si>
    <t>Communication time forward pass: tensor parallellism inter node (s)</t>
  </si>
  <si>
    <t>Communication time forward pass: pipeline parallellism (s)</t>
  </si>
  <si>
    <t>Communication time forward pass: Zero-DP (ad-hoc model gathering) (s)</t>
  </si>
  <si>
    <t>Total communication time forward pass (s)</t>
  </si>
  <si>
    <t>Communication time backward pass: tensor parallellism intra node (s)</t>
  </si>
  <si>
    <t>Communication time backward pass: tensor parallellism inter node (s)</t>
  </si>
  <si>
    <t>Communication time backward pass: pipeline parallellism (s)</t>
  </si>
  <si>
    <t>Communication time backward pass: Zero-DP (ad-hoc model gathering) (s)</t>
  </si>
  <si>
    <t>Total communication time backward pass (s)</t>
  </si>
  <si>
    <t>Communication time: all-reduce gradients for DP intra node (s)</t>
  </si>
  <si>
    <t>Communication time: all-reduce gradients for DP inter node (s)</t>
  </si>
  <si>
    <t>Communication time: all-reduce gradients for DP total (s)</t>
  </si>
  <si>
    <t>Total communication time (s)</t>
  </si>
  <si>
    <t>Waiting Time due to pipeline bubbles (s)</t>
  </si>
  <si>
    <t>total MACs</t>
  </si>
  <si>
    <t>TFLOPS</t>
  </si>
  <si>
    <t>total TFLOPS/sec</t>
  </si>
  <si>
    <t>TFLOP/sec/GPU</t>
  </si>
  <si>
    <t>TFLOP/sec/GPU (peak)</t>
  </si>
  <si>
    <t>MoE FW pass communication overhead time (s)</t>
  </si>
  <si>
    <t>MoE BW pass communication overhead time (s)</t>
  </si>
  <si>
    <t>MoE Gating netowrk: compute overhead time (s)</t>
  </si>
  <si>
    <t>Total MoE communication overhead time</t>
  </si>
  <si>
    <t>Top Level</t>
  </si>
  <si>
    <t>Total Time to train (s)</t>
  </si>
  <si>
    <t>assume it's known how instructions, operations, ... are split across accelerators and cpu cores up front (either by algorithm implementation, or by nature of said instructions and operations (seq, parallel, memory pattern , ...)</t>
  </si>
  <si>
    <t>Time estimated for all accelerator instructions (s) [T_multi_accel]</t>
  </si>
  <si>
    <t>Time estimated for all CPU instructions (s) [T_multi_cpu]</t>
  </si>
  <si>
    <t>Extra time lost because of dependencies between CPUs and accelerators (s) [D_cpu2accel]</t>
  </si>
  <si>
    <t>Calculated from more detail</t>
  </si>
  <si>
    <t>insert cpu model</t>
  </si>
  <si>
    <t>insert dependency model</t>
  </si>
  <si>
    <t>cpu model is not needed as we assume time is dominated by accelerator</t>
  </si>
  <si>
    <t>Time spent in Multi GPU (s)</t>
  </si>
  <si>
    <t>C_multi_accel (s)</t>
  </si>
  <si>
    <t>layers are assumed uniform based on the average layer size and average connectivity between neurons (easy to extend in the formula, but not in excel)</t>
  </si>
  <si>
    <t>number of layers [L]</t>
  </si>
  <si>
    <t>Compute time forward pass (s) [U_f]</t>
  </si>
  <si>
    <t>Communication time forward pass (s) [M_f]</t>
  </si>
  <si>
    <t>Compute time backward pass (s) [U_b]</t>
  </si>
  <si>
    <t>Communication time backward pass (s) [M_b]</t>
  </si>
  <si>
    <t>Weight update time (s) [U_w]</t>
  </si>
  <si>
    <t>data parallellism degree [N_DP] (how many copies of the model)</t>
  </si>
  <si>
    <t>Communication time spent in allreduce (s) [M_all]</t>
  </si>
  <si>
    <t>Waiting time due to pipeline bubbles (s) [T_wait]</t>
  </si>
  <si>
    <t>Microbatches (N_microbatch)</t>
  </si>
  <si>
    <t xml:space="preserve">Degree of pipeline parallelism (N_PP) </t>
  </si>
  <si>
    <t xml:space="preserve">Degree of tensor parallelism (N_TP) </t>
  </si>
  <si>
    <t>Waiting time due to pipeline bubbles per batch (s)</t>
  </si>
  <si>
    <t>T_wait (s)</t>
  </si>
  <si>
    <t>assuming naive pipeline, but you can scale it down with the non overlapping factor</t>
  </si>
  <si>
    <t>non_overlapping pipeline bubbles [R_non_overlapping]</t>
  </si>
  <si>
    <t>Compute time forward pass (s) (full batch, as we scale with parallellism steps above already to model minibatch/microbatch)</t>
  </si>
  <si>
    <t>U_f (s)</t>
  </si>
  <si>
    <t xml:space="preserve"> reciprocal of throughput of MAC ops (s/OP) [C_MAC]</t>
  </si>
  <si>
    <t>Number of MACs performed in layer l, sublayer i [N_MAC(l,i)] for attention sublayer</t>
  </si>
  <si>
    <t>Number of MACs performed in layer l, sublayer i [N_MAC(l,i)] for fullyconnected sublayer</t>
  </si>
  <si>
    <t>reciprocal of throughput of nonlinear function calculation (s/ACT) [C_nonlin]</t>
  </si>
  <si>
    <t>Number of  nonlinear operations in layer l, sublayer i (N_nonlin(l,i)) for attention sublayer</t>
  </si>
  <si>
    <t>Number of  nonlinear operations in layer l, sublayer i (N_nonlin(l,i)) for fullyconnected sublayer</t>
  </si>
  <si>
    <t>Precision of weights in layer l, sublayer i (S_param (l,i)) for attention sublayer</t>
  </si>
  <si>
    <t>Precision of weights in layer l, sublayer i (S_param (l,i)) for fullyconnected sublayer</t>
  </si>
  <si>
    <t>MAC_bitwidth  (W_FU_MAC)</t>
  </si>
  <si>
    <t>Precision of activations in layer l, sublayer i  (S_activation(l,i)) for attention sublayer</t>
  </si>
  <si>
    <t>Precision of activations in layer l, sublayer i  (S_activation(l,i)) for fully connected sublayer</t>
  </si>
  <si>
    <t>Number of Gating MACs per layer</t>
  </si>
  <si>
    <t>(C41+D41) --&gt; (C41+D41+M41/2) due to additional gating flops</t>
  </si>
  <si>
    <t>Reciprocal of OPS (average time per OP)</t>
  </si>
  <si>
    <t>C_MAC (s/OP)</t>
  </si>
  <si>
    <t>efficiency aka occupancy of GPUs (eff(b))</t>
  </si>
  <si>
    <t>functional unit hardware MACs/cycle in 8-bit precision [W_FU]</t>
  </si>
  <si>
    <t>please keep fixed at 8 bit for now, use weight/act/error precison to scale</t>
  </si>
  <si>
    <t>eff (ub)  Efficiency as a function of ubatch size</t>
  </si>
  <si>
    <t xml:space="preserve">eff (ub) </t>
  </si>
  <si>
    <t>efficiency factor to play with some microarchitectural miss factors instead of pure peak compute value, experimentally from paper based on ubatch size</t>
  </si>
  <si>
    <t>ubatch size (ub)</t>
  </si>
  <si>
    <t>C_NONLIN</t>
  </si>
  <si>
    <t>C_nonlin (s/nonlin)</t>
  </si>
  <si>
    <t>number of nonlinear units [N_FU_nonlin]</t>
  </si>
  <si>
    <t>functional unit hardware NLIN/cycle [W_FU_nonlin]</t>
  </si>
  <si>
    <t>Precision of nonlinear data  (S_nonlin(l,i)) for attention sublayer</t>
  </si>
  <si>
    <t>Precision of nonlinear data (S_nonlin(l,i)) for fullyconnected sublayer</t>
  </si>
  <si>
    <t xml:space="preserve"> non-linear function unit width (W_FU_nonlin)</t>
  </si>
  <si>
    <t>same as activiation precision for now</t>
  </si>
  <si>
    <t>same as activation precision for now</t>
  </si>
  <si>
    <t>Communication time forward pass (s)</t>
  </si>
  <si>
    <t>M_f (s)</t>
  </si>
  <si>
    <t>full batch, single layer</t>
  </si>
  <si>
    <t>assuming hierarchical all-reduces (first reduce inside node, then reduce across nodes with less data)</t>
  </si>
  <si>
    <t>communication time for intra node tensor parallelism (M_f_TP_intra (l))</t>
  </si>
  <si>
    <t>communication time for inERa node tensor parallelism (M_f_TP_inter (l))</t>
  </si>
  <si>
    <t>communication time for intra node pipeline parallelism (M_f_PP_intra (l))</t>
  </si>
  <si>
    <t>communication time for inter node pipeline parallelism (M_f_PP_inter (l))</t>
  </si>
  <si>
    <t>overhead communication time for zero DP parallelism for weights (M_f_DP (l))</t>
  </si>
  <si>
    <t>MoE overhead in communication (all-to-all despatch+combine)</t>
  </si>
  <si>
    <t>Broadcast</t>
  </si>
  <si>
    <t>Reduction</t>
  </si>
  <si>
    <t>One to All</t>
  </si>
  <si>
    <t>All to All</t>
  </si>
  <si>
    <t>Personalized (One to One)</t>
  </si>
  <si>
    <t>All to One</t>
  </si>
  <si>
    <t>placeholder until we model in more detail</t>
  </si>
  <si>
    <t>Chain</t>
  </si>
  <si>
    <t>Bus</t>
  </si>
  <si>
    <t>Communication Topology (Broadcast)</t>
  </si>
  <si>
    <t>Ring</t>
  </si>
  <si>
    <t>only ring implemented for now</t>
  </si>
  <si>
    <t>2(P-1)</t>
  </si>
  <si>
    <t>Communication Topology (Reduce)</t>
  </si>
  <si>
    <t>Mesh</t>
  </si>
  <si>
    <t>steps to execute all-reduce algorithm on ring topology</t>
  </si>
  <si>
    <t>2(N-1)/N</t>
  </si>
  <si>
    <t>captured in N_topo  (comm_type), the number of communication steps required for this type of communication on this type of topology, divided by N</t>
  </si>
  <si>
    <t>Torus</t>
  </si>
  <si>
    <t>steps to execute broadcast algorithm on ring topology</t>
  </si>
  <si>
    <t>steps to execute broadcast algorithm on tree topology</t>
  </si>
  <si>
    <t>log (N)/N</t>
  </si>
  <si>
    <t>Tree</t>
  </si>
  <si>
    <t>naive data level parallellism</t>
  </si>
  <si>
    <t>no communication in forward pass</t>
  </si>
  <si>
    <t>Butterfly</t>
  </si>
  <si>
    <t>zero powered DP</t>
  </si>
  <si>
    <t>model param are communicated ad-hoc just in time (broadcasts) and discarded afterwards (should be in total 1 time the model size extra)</t>
  </si>
  <si>
    <t>Dragonfly</t>
  </si>
  <si>
    <t>Communication time forward pass (s): Tensor model intra (M_f_TP_intra)</t>
  </si>
  <si>
    <t>M_f_TP_intra (s)</t>
  </si>
  <si>
    <t xml:space="preserve"> assuming a ring topology</t>
  </si>
  <si>
    <t>Intra-node latency (s) [C_intra]</t>
  </si>
  <si>
    <t>Number of intra-node communications from layer L -1 to layer L with comm_type all-reduce  [N_act_intra (l,comm_type)]</t>
  </si>
  <si>
    <r>
      <t>Size of each activation (bits) [S</t>
    </r>
    <r>
      <rPr>
        <vertAlign val="subscript"/>
        <sz val="11"/>
        <color rgb="FF3F3F76"/>
        <rFont val="Gill Sans MT"/>
        <family val="2"/>
      </rPr>
      <t>activation</t>
    </r>
    <r>
      <rPr>
        <sz val="11"/>
        <color rgb="FF3F3F76"/>
        <rFont val="Gill Sans MT"/>
        <family val="2"/>
      </rPr>
      <t>]</t>
    </r>
  </si>
  <si>
    <t>Network Bandwidth (bits/s) [Bw_intra]</t>
  </si>
  <si>
    <t>communication steps for all-reduce comm type (N_topo_intra (comm_type))</t>
  </si>
  <si>
    <t>MLP : allreduce Zi (g), self attention: same, so N_act is 2*b*s*h for all-reduce</t>
  </si>
  <si>
    <t>fixed at ring- all-reduce for now</t>
  </si>
  <si>
    <t>Communication time forward pass (s): tensor parallel inter (M_f_TP_inter)</t>
  </si>
  <si>
    <t>M_f_TP_inter (s)</t>
  </si>
  <si>
    <t>ring topology</t>
  </si>
  <si>
    <t>Inter-node latency (s) [C_inter]</t>
  </si>
  <si>
    <t>Number of inter-node communications from layer L -1 to layer L with comm_type all-reduce  [N_act_inter (l,comm_type)]</t>
  </si>
  <si>
    <t>Network Bandwidth (bits/s) [Bw_inter]</t>
  </si>
  <si>
    <t>communication steps for all-reduce comm type (N_topo (comm_type))</t>
  </si>
  <si>
    <t>Communication time forward pass (s): Pipeline parallel intra (M_f_PP_intra)</t>
  </si>
  <si>
    <t>M_f_PP_intra (s)</t>
  </si>
  <si>
    <t>if not using PP, communication is 0, if using PP, every accelerator has to communicate only once B*s*h (even if a lot of the layers are mapped to it). All accelerators communicate in parallel. The factor L in the denominator is because we model the communication time per layer, while PP commincation time in realitiy is independent of number of layers</t>
  </si>
  <si>
    <t>Number of intra-node communications from layer L -1 to layer L  [N_act_intra (l)]</t>
  </si>
  <si>
    <t>N_act is b*s*h for pipeline</t>
  </si>
  <si>
    <t>Communication time forward pass (s): Pipeline parallel inter (M_f_PP_inter)</t>
  </si>
  <si>
    <t>M_f_PP_inter (s)</t>
  </si>
  <si>
    <t xml:space="preserve">if inter node PP, </t>
  </si>
  <si>
    <t>Number of inter-node communications from layer L -1 to layer L  [N_act_inter (l)]</t>
  </si>
  <si>
    <t>Compute time backward pass (s)</t>
  </si>
  <si>
    <t>U_b (s)</t>
  </si>
  <si>
    <t xml:space="preserve"> reciprocal of throughput of MAC ops/s (s/OP) [C_MAC]</t>
  </si>
  <si>
    <t>number of error terms in layer l, sublayer i [N_nonlin(l,i)] for attention sublayer</t>
  </si>
  <si>
    <t>number of error terms in layer l, sublayer i [N_nonlin(l,i)] for fullyconnected sublayer</t>
  </si>
  <si>
    <t>reciprocal of throughput of error calculation (s/ERR) [C_err]</t>
  </si>
  <si>
    <t>added H143/2 due to gating</t>
  </si>
  <si>
    <t>Backward pass has twice the MACs of the forward pass but the other half is considered separately in the weight update term</t>
  </si>
  <si>
    <t>Communication time backward pass (s)</t>
  </si>
  <si>
    <t>M_b (s)</t>
  </si>
  <si>
    <t>communication time for intra node tensor parallelism (M_b_TP_intra (l))</t>
  </si>
  <si>
    <t>communication time for inter node tensor parallelism (M_b_TP_inter (l))</t>
  </si>
  <si>
    <t>communication time for intra node pipeline parallelism (M_b_PP_intra (l))</t>
  </si>
  <si>
    <t>communication time for inter node pipeline parallelism (M_b_PP_inter (l))</t>
  </si>
  <si>
    <t>Communication time backward pass (s): Tensor model intra (M_b_TP_intra)</t>
  </si>
  <si>
    <t>M_b_TP_intra (s)</t>
  </si>
  <si>
    <t>Number of intra-node communications from layer L -1 to layer L with comm_type all-reduce  [N_err_intra (l,comm_type)]</t>
  </si>
  <si>
    <r>
      <t>Size of each error (bits) [S</t>
    </r>
    <r>
      <rPr>
        <vertAlign val="subscript"/>
        <sz val="11"/>
        <color rgb="FF3F3F76"/>
        <rFont val="Gill Sans MT"/>
        <family val="2"/>
      </rPr>
      <t>err</t>
    </r>
    <r>
      <rPr>
        <sz val="11"/>
        <color rgb="FF3F3F76"/>
        <rFont val="Gill Sans MT"/>
        <family val="2"/>
      </rPr>
      <t>]</t>
    </r>
  </si>
  <si>
    <t>Communication time backward pass (s): tensor parallel inter (M_b_TP_inter)</t>
  </si>
  <si>
    <t>Number of inter-node communications from layer L -1 to layer L with comm_type all-reduce  [N_err_inter (l,comm_type)]</t>
  </si>
  <si>
    <t>Communication time backward pass (s): Pipeline parallel intra (M_b_PP_intra)</t>
  </si>
  <si>
    <t>M_b_PP_intra (s)</t>
  </si>
  <si>
    <t>Number of intra-node communications from layer L +1 to layer L  [N_err_intra (l,comm_type)]</t>
  </si>
  <si>
    <t>Communication time backward pass (s): Pipeline parallel inter (M_b_PP_inter)</t>
  </si>
  <si>
    <t>M_b_PP_inter (s)</t>
  </si>
  <si>
    <t>Number of inter-node communications from layer L +1 to layer L  [N_err_inter (l,comm_type)]</t>
  </si>
  <si>
    <t>Weight update time (s)</t>
  </si>
  <si>
    <t>U_w (s)</t>
  </si>
  <si>
    <t>Number of MACs performed in layer l [N_MAC(l)]</t>
  </si>
  <si>
    <t>Added the gating Flops here as well: +AT9</t>
  </si>
  <si>
    <t>Data transfer overhead (s)</t>
  </si>
  <si>
    <t>D_comm</t>
  </si>
  <si>
    <r>
      <t>Total Data to be loaded from a SW PoV; includes OS/libraries/input Data/Models etc [D</t>
    </r>
    <r>
      <rPr>
        <vertAlign val="subscript"/>
        <sz val="11"/>
        <color rgb="FF3F3F76"/>
        <rFont val="Gill Sans MT"/>
        <family val="2"/>
      </rPr>
      <t>SW_total</t>
    </r>
    <r>
      <rPr>
        <sz val="11"/>
        <color rgb="FF3F3F76"/>
        <rFont val="Gill Sans MT"/>
        <family val="2"/>
      </rPr>
      <t>]</t>
    </r>
  </si>
  <si>
    <r>
      <t>Total Data that can be loaded to the full compute stack; includes OS/libraries/input Data/Models etc [D</t>
    </r>
    <r>
      <rPr>
        <vertAlign val="subscript"/>
        <sz val="11"/>
        <color rgb="FF3F3F76"/>
        <rFont val="Gill Sans MT"/>
        <family val="2"/>
      </rPr>
      <t>HW_total</t>
    </r>
    <r>
      <rPr>
        <sz val="11"/>
        <color rgb="FF3F3F76"/>
        <rFont val="Gill Sans MT"/>
        <family val="2"/>
      </rPr>
      <t>]</t>
    </r>
  </si>
  <si>
    <r>
      <t>Bandwidth to transfer D</t>
    </r>
    <r>
      <rPr>
        <vertAlign val="subscript"/>
        <sz val="11"/>
        <color rgb="FF3F3F76"/>
        <rFont val="Gill Sans MT"/>
        <family val="2"/>
      </rPr>
      <t>SW_total</t>
    </r>
    <r>
      <rPr>
        <sz val="11"/>
        <color rgb="FF3F3F76"/>
        <rFont val="Gill Sans MT"/>
        <family val="2"/>
      </rPr>
      <t xml:space="preserve"> (in storage POD) to D</t>
    </r>
    <r>
      <rPr>
        <vertAlign val="subscript"/>
        <sz val="11"/>
        <color rgb="FF3F3F76"/>
        <rFont val="Gill Sans MT"/>
        <family val="2"/>
      </rPr>
      <t>HW_total</t>
    </r>
    <r>
      <rPr>
        <sz val="11"/>
        <color rgb="FF3F3F76"/>
        <rFont val="Gill Sans MT"/>
        <family val="2"/>
      </rPr>
      <t xml:space="preserve"> (in compute POD) [BW</t>
    </r>
    <r>
      <rPr>
        <vertAlign val="subscript"/>
        <sz val="11"/>
        <color rgb="FF3F3F76"/>
        <rFont val="Gill Sans MT"/>
        <family val="2"/>
      </rPr>
      <t>storage2compute</t>
    </r>
    <r>
      <rPr>
        <sz val="11"/>
        <color rgb="FF3F3F76"/>
        <rFont val="Gill Sans MT"/>
        <family val="2"/>
      </rPr>
      <t>]</t>
    </r>
  </si>
  <si>
    <r>
      <t>Total Data to be loaded from a SW PoV; includes OS/libraries/input Data/Models etc [D</t>
    </r>
    <r>
      <rPr>
        <vertAlign val="subscript"/>
        <sz val="11"/>
        <color rgb="FF3F3F76"/>
        <rFont val="Gill Sans MT"/>
        <family val="2"/>
      </rPr>
      <t>SW</t>
    </r>
    <r>
      <rPr>
        <sz val="11"/>
        <color rgb="FF3F3F76"/>
        <rFont val="Gill Sans MT"/>
        <family val="2"/>
      </rPr>
      <t>(i)]</t>
    </r>
  </si>
  <si>
    <r>
      <t>Total Data that can be loaded to the full compute stack; includes OS/libraries/input Data/Models etc [D</t>
    </r>
    <r>
      <rPr>
        <vertAlign val="subscript"/>
        <sz val="11"/>
        <color rgb="FF3F3F76"/>
        <rFont val="Gill Sans MT"/>
        <family val="2"/>
      </rPr>
      <t>HW</t>
    </r>
    <r>
      <rPr>
        <sz val="11"/>
        <color rgb="FF3F3F76"/>
        <rFont val="Gill Sans MT"/>
        <family val="2"/>
      </rPr>
      <t>(i)]</t>
    </r>
  </si>
  <si>
    <r>
      <t>Bandwidth to transfer D</t>
    </r>
    <r>
      <rPr>
        <vertAlign val="subscript"/>
        <sz val="11"/>
        <color rgb="FF3F3F76"/>
        <rFont val="Gill Sans MT"/>
        <family val="2"/>
      </rPr>
      <t>SW</t>
    </r>
    <r>
      <rPr>
        <sz val="11"/>
        <color rgb="FF3F3F76"/>
        <rFont val="Gill Sans MT"/>
        <family val="2"/>
      </rPr>
      <t>(i) (</t>
    </r>
    <r>
      <rPr>
        <i/>
        <sz val="11"/>
        <color rgb="FF3F3F76"/>
        <rFont val="Gill Sans MT"/>
        <family val="2"/>
      </rPr>
      <t>All mapped to compute hierarchy i</t>
    </r>
    <r>
      <rPr>
        <sz val="11"/>
        <color rgb="FF3F3F76"/>
        <rFont val="Gill Sans MT"/>
        <family val="2"/>
      </rPr>
      <t>) to D</t>
    </r>
    <r>
      <rPr>
        <vertAlign val="subscript"/>
        <sz val="11"/>
        <color rgb="FF3F3F76"/>
        <rFont val="Gill Sans MT"/>
        <family val="2"/>
      </rPr>
      <t>HW</t>
    </r>
    <r>
      <rPr>
        <sz val="11"/>
        <color rgb="FF3F3F76"/>
        <rFont val="Gill Sans MT"/>
        <family val="2"/>
      </rPr>
      <t>(i) (</t>
    </r>
    <r>
      <rPr>
        <i/>
        <sz val="11"/>
        <color rgb="FF3F3F76"/>
        <rFont val="Gill Sans MT"/>
        <family val="2"/>
      </rPr>
      <t>Max that can be stored@compute hierarchy i</t>
    </r>
    <r>
      <rPr>
        <sz val="11"/>
        <color rgb="FF3F3F76"/>
        <rFont val="Gill Sans MT"/>
        <family val="2"/>
      </rPr>
      <t>) [BW(i)]</t>
    </r>
  </si>
  <si>
    <r>
      <t>Degree of Data Paralellism (@compute hierarchy i) [Paralellism</t>
    </r>
    <r>
      <rPr>
        <vertAlign val="subscript"/>
        <sz val="11"/>
        <color rgb="FF3F3F76"/>
        <rFont val="Gill Sans MT"/>
        <family val="2"/>
      </rPr>
      <t>DATA</t>
    </r>
    <r>
      <rPr>
        <sz val="11"/>
        <color rgb="FF3F3F76"/>
        <rFont val="Gill Sans MT"/>
        <family val="2"/>
      </rPr>
      <t>(i)]</t>
    </r>
  </si>
  <si>
    <t>Hierarchy_Depth</t>
  </si>
  <si>
    <t>data parallel all-reduce gradients after backward pass</t>
  </si>
  <si>
    <t>Communication time spent in backward DP allreduce (M_b_DP)</t>
  </si>
  <si>
    <t>ratio of non-overlapping communication [R_nonoverlapping]</t>
  </si>
  <si>
    <t>data parallel all-reduce gradients after backward pass intra node (s)</t>
  </si>
  <si>
    <t>[C_intra]</t>
  </si>
  <si>
    <t>[BW_intra]</t>
  </si>
  <si>
    <t>N_DP_intra</t>
  </si>
  <si>
    <t>Number of intra-node communications from layer L +1 to layer L  [N_gradients_intra (l,comm_type)]</t>
  </si>
  <si>
    <t>data parallel all-reduce gradients after backward pass inter node (s)</t>
  </si>
  <si>
    <t>[C_inter]</t>
  </si>
  <si>
    <t>[BW_inter]</t>
  </si>
  <si>
    <t>N_DP_inter</t>
  </si>
  <si>
    <t>communication steps for all-reduce comm type (N_topo_inter (comm_type))</t>
  </si>
  <si>
    <t>Number of inter-node communications from layer L +1 to layer L  [N_gradients_inter (l,comm_type)]</t>
  </si>
  <si>
    <t>inter node network is not bidirectional, so number of network cards per node /2</t>
  </si>
  <si>
    <t>Dependency overhead CPUs and accelerators (s)</t>
  </si>
  <si>
    <t>need to explain this equation better</t>
  </si>
  <si>
    <t>D_cpu2accel (s)</t>
  </si>
  <si>
    <t>Weight update cycles are already accounted for in U_w. this is for reading weights from the parameter server (CPU + host memory). Maybe input data would be useful to model here too</t>
  </si>
  <si>
    <t>number of layers (L)</t>
  </si>
  <si>
    <t>cpu to accelerator latency (s) [C_cpu2accel]</t>
  </si>
  <si>
    <t>Number of model replicas [N_MR]</t>
  </si>
  <si>
    <t>Total size of weights in layer l (bits) (S_weights(l))</t>
  </si>
  <si>
    <t>cpu to accelerator bandwidth (bits/s) [BW_cpu2accel]</t>
  </si>
  <si>
    <t>Number of parameter servers (N_PS)</t>
  </si>
  <si>
    <t>number of samples (N_samples)</t>
  </si>
  <si>
    <t>Minibatch size (samples) (S_minibatch)</t>
  </si>
  <si>
    <t>MoE communication overhead per layer; FW pass</t>
  </si>
  <si>
    <t>M_f_MoE (s)</t>
  </si>
  <si>
    <t>all-to-all communications (dispatch and combine) are naively modeled by a pairwise exchange algorithm with (P-1) steps</t>
  </si>
  <si>
    <t>parameters</t>
  </si>
  <si>
    <t>N_act to be communicated on a average</t>
  </si>
  <si>
    <t>N_act_intra</t>
  </si>
  <si>
    <t>N_act_inter</t>
  </si>
  <si>
    <t>N_topo</t>
  </si>
  <si>
    <t>MoE communication overhead per layer; BW pass</t>
  </si>
  <si>
    <t>all-to-all communications are naively modeled by a number of scatters.</t>
  </si>
  <si>
    <r>
      <t>Size of each gardient (bits) [S</t>
    </r>
    <r>
      <rPr>
        <vertAlign val="subscript"/>
        <sz val="11"/>
        <color rgb="FF3F3F76"/>
        <rFont val="Gill Sans MT"/>
        <family val="2"/>
      </rPr>
      <t>err</t>
    </r>
    <r>
      <rPr>
        <sz val="11"/>
        <color rgb="FF3F3F76"/>
        <rFont val="Gill Sans MT"/>
        <family val="2"/>
      </rPr>
      <t>]</t>
    </r>
  </si>
  <si>
    <t>List with model extensions planned</t>
  </si>
  <si>
    <t>backlog (Joyjit)</t>
  </si>
  <si>
    <t>all_reduce time of the gradients</t>
  </si>
  <si>
    <t>backlog (Diksha)</t>
  </si>
  <si>
    <t>include memory hierarchy in U_f and U_b estimations (or make it seperate term, U, M + memory_hirearchy_cycles) and multicore estimation</t>
  </si>
  <si>
    <t>(backlog) Joyjit</t>
  </si>
  <si>
    <t>Mixture of experts parallelism next to data and model parallellism</t>
  </si>
  <si>
    <t>backlog</t>
  </si>
  <si>
    <t>Consider overlapping communication and computation (make assumption clear when it is possible, inlcude term if it is not possible)</t>
  </si>
  <si>
    <t>noise distribution on top of syncronisation moments (not all accelerators finish at the same time)</t>
  </si>
  <si>
    <t>resource contention of multiple jobs (for later)</t>
  </si>
  <si>
    <t>Joyjit</t>
  </si>
  <si>
    <t>zero DP</t>
  </si>
  <si>
    <t>rewrite in the language of transformers: batches of samples (sequence of tokens), so total is batches * tokens</t>
  </si>
  <si>
    <t>include memory capacity tradeoff automatically based on batch size/parallellism choices</t>
  </si>
  <si>
    <t>First release requirements</t>
  </si>
  <si>
    <t xml:space="preserve"> documentation + logically named parameters + make it prettier/user friendly</t>
  </si>
  <si>
    <t>split communication time overhead in different parrallellism</t>
  </si>
  <si>
    <t>validation experiments, some exploration, some comparison to papers reported numbers</t>
  </si>
  <si>
    <t>get some input numbers from datasheets/papers..etc both for transformer and hardware stuff</t>
  </si>
  <si>
    <t>A100, nvlink, infiniband</t>
  </si>
  <si>
    <t>fill in number of MACS required per layer</t>
  </si>
  <si>
    <t>fill in number of error calculations per layer</t>
  </si>
  <si>
    <t>fill in number of non linear calculations per layer</t>
  </si>
  <si>
    <t>deciding what is in scope for the first release: chopping off the out-of scope things:</t>
  </si>
  <si>
    <t>not CPU, not unsure formulas</t>
  </si>
  <si>
    <t>feedback</t>
  </si>
  <si>
    <t>can we extend it to graph neural networks?</t>
  </si>
  <si>
    <t>express 2 things in a way</t>
  </si>
  <si>
    <t>mapped on the hardware</t>
  </si>
  <si>
    <t>software computations</t>
  </si>
  <si>
    <t>separate these two to do algo/arch exploration</t>
  </si>
  <si>
    <t>co-design</t>
  </si>
  <si>
    <t>when both hw/sw are open, it should be easy to express algo/arch, how would you explore?</t>
  </si>
  <si>
    <t>algorithm/arch search space exploration</t>
  </si>
  <si>
    <t>aspect oriented framework</t>
  </si>
  <si>
    <t>input should be flexible</t>
  </si>
  <si>
    <t>take a high level software  model and map</t>
  </si>
  <si>
    <t>abstract away the low level details</t>
  </si>
  <si>
    <t>make parameters temporal -&gt; they can evolve over time</t>
  </si>
  <si>
    <t>one level of refinement needed, this is too high levedl</t>
  </si>
  <si>
    <t>From BAGUALU Paper</t>
  </si>
  <si>
    <t>Feedforward: FP16</t>
  </si>
  <si>
    <t>All multiplications in FP16</t>
  </si>
  <si>
    <t>Weight updates in FP32</t>
  </si>
  <si>
    <t>Embedding in FP32</t>
  </si>
  <si>
    <t>Missing bits</t>
  </si>
  <si>
    <t>1. Fixing the factor of pipeline parallelism: (m+p-1)/mp per layer, express in terms of microbatch number and size.</t>
  </si>
  <si>
    <t>2. The communication overhead for ZeRO DP: factor of 1.5 before communication time</t>
  </si>
  <si>
    <t>3. eff(B) term and a caution of the memory footprint per node while mapping. Please use the following: 0.28 B^{0.34}-0.001 B^{1.3}</t>
  </si>
  <si>
    <t>4. Need to have degree of all types of parallelisms: PP, TP, DP</t>
  </si>
  <si>
    <t>5. Transfering the parameters due to parameter partitioning.</t>
  </si>
  <si>
    <t>GPT-3: 13B</t>
  </si>
  <si>
    <t xml:space="preserve">N_MAC (attention) </t>
  </si>
  <si>
    <t xml:space="preserve">N_MAC (FFW) </t>
  </si>
  <si>
    <t>N_MAC (per layer)</t>
  </si>
  <si>
    <t>B</t>
  </si>
  <si>
    <t>S</t>
  </si>
  <si>
    <t>H</t>
  </si>
  <si>
    <t>m</t>
  </si>
  <si>
    <t>B/N_DP/b</t>
  </si>
  <si>
    <t>N_GPUs</t>
  </si>
  <si>
    <t>N_DP x N_TP x N_PP</t>
  </si>
  <si>
    <t>N_Layres</t>
  </si>
  <si>
    <t>Bx</t>
  </si>
  <si>
    <t>By</t>
  </si>
  <si>
    <t>Bz</t>
  </si>
  <si>
    <t>halo_width</t>
  </si>
  <si>
    <t>BW_SM (GB/s)</t>
  </si>
  <si>
    <t>BW_L2 (GB/s)</t>
  </si>
  <si>
    <t>L2 cache size (KB)</t>
  </si>
  <si>
    <t>L2 cache-line size (B)</t>
  </si>
  <si>
    <t>SM cache-line size (B)</t>
  </si>
  <si>
    <t>BW per L2 (GB/s)</t>
  </si>
  <si>
    <t>L2 cache to On SM storage</t>
  </si>
  <si>
    <t>number of data values loads per thread block from L2 into SM storage</t>
  </si>
  <si>
    <t xml:space="preserve">no of mandatory values loaded per thread block </t>
  </si>
  <si>
    <t>delta</t>
  </si>
  <si>
    <t>traffic volume between L2 and SM (V_L2) in GB</t>
  </si>
  <si>
    <t>Global memory (GM) to L2 cache</t>
  </si>
  <si>
    <t>L2 miss ratio</t>
  </si>
  <si>
    <t>V_GM_2d</t>
  </si>
  <si>
    <t>V_L2</t>
  </si>
  <si>
    <t>V_SM</t>
  </si>
  <si>
    <t>t (H100_144 CCs)</t>
  </si>
  <si>
    <t>OnChip/OffChip</t>
  </si>
  <si>
    <t>V_GM</t>
  </si>
  <si>
    <t>t (HBM3_2d SRAM)</t>
  </si>
  <si>
    <t>t (LPDDR_3d SRAM)</t>
  </si>
  <si>
    <t>BW per SM, L2 = 63, 8 GBPs</t>
  </si>
  <si>
    <t>H100-144 CC</t>
  </si>
  <si>
    <t>number of loads per thread from the on-SM storage to registers</t>
  </si>
  <si>
    <t>512 CCs</t>
  </si>
  <si>
    <t>Mand_loads_GM</t>
  </si>
  <si>
    <t>Mand_loads_L2</t>
  </si>
  <si>
    <t>Mand_loads_SM</t>
  </si>
  <si>
    <t>Python Inputs</t>
  </si>
  <si>
    <t>3rd point</t>
  </si>
  <si>
    <t>GPU Model (*incomplete)</t>
  </si>
  <si>
    <t>Number of warps per block (N_w)</t>
  </si>
  <si>
    <t>Number of threads per warp (N_t)</t>
  </si>
  <si>
    <t>Pipeline depth of a core (D)</t>
  </si>
  <si>
    <t>Number of cores per SM (N_c)</t>
  </si>
  <si>
    <t>ILP</t>
  </si>
  <si>
    <t>No of cycles per global memory access by a thread</t>
  </si>
  <si>
    <t>No of cycles per shared memory access by a thread</t>
  </si>
  <si>
    <t xml:space="preserve"> Cycles required for computation in a thread (N_comp)</t>
  </si>
  <si>
    <t>No of bank conflicts</t>
  </si>
  <si>
    <t>Stride (controls the no of threads in a warp benefitted from a coalesced access)</t>
  </si>
  <si>
    <t xml:space="preserve"> cycles required for all the memory accesses by a thread (N_mem)</t>
  </si>
  <si>
    <t>Degree of latency hiding or impact of scheduling</t>
  </si>
  <si>
    <t xml:space="preserve"> total ycles required by a thread (C)</t>
  </si>
  <si>
    <t>cycles required
for a kernel K, C_K = N_B * N_w * N_t * C /N_C/ D</t>
  </si>
  <si>
    <t>Time required in sec T_K = C_K/R</t>
  </si>
  <si>
    <t>?</t>
  </si>
  <si>
    <t>L2 cache-line size (KB)</t>
  </si>
  <si>
    <t>Energy breakdown</t>
  </si>
  <si>
    <t>Total energy to train (J)</t>
  </si>
  <si>
    <t>Average overall power (W)</t>
  </si>
  <si>
    <t>Energy efficiency (ops/s/W or ops/J) ) aka inverse of power delay product</t>
  </si>
  <si>
    <t>(ops/s)^2/W aka inverse of energy-delay product</t>
  </si>
  <si>
    <t>(ops/s)^3/W aka inverse of energy-delay-square prodct</t>
  </si>
  <si>
    <t>Energy due to accelerators computing</t>
  </si>
  <si>
    <t>Energy due to accelerators idling</t>
  </si>
  <si>
    <t>Energy due to intra node communication</t>
  </si>
  <si>
    <t>Energy due to inter node communication</t>
  </si>
  <si>
    <t>Energy due to overhead of nodes</t>
  </si>
  <si>
    <t>Energy due to overhead of datacenter</t>
  </si>
  <si>
    <t>Top level</t>
  </si>
  <si>
    <t>Total Energy to train the model (J)</t>
  </si>
  <si>
    <t>PUE</t>
  </si>
  <si>
    <t>Energy for accelerators [E_acc] (J)</t>
  </si>
  <si>
    <t>Intra node communication energy [E_intracomm] (J)</t>
  </si>
  <si>
    <t>Inter node communication energy [E_intercomm] (J)</t>
  </si>
  <si>
    <t>Energy for nodes, excluding accelerators [E_nodes] (J)</t>
  </si>
  <si>
    <t>typical number quoted for datacenter efficiency</t>
  </si>
  <si>
    <t>Multi accelerator energy</t>
  </si>
  <si>
    <t>assume idle when communicating or waiting</t>
  </si>
  <si>
    <t>Number of accelerators</t>
  </si>
  <si>
    <t>Active compute time (s)</t>
  </si>
  <si>
    <t>active power accelerator (W)</t>
  </si>
  <si>
    <t>Idle time (s)</t>
  </si>
  <si>
    <t>Idle power (w)</t>
  </si>
  <si>
    <t>includes memory active power</t>
  </si>
  <si>
    <t>Active Accelerator power</t>
  </si>
  <si>
    <t>Active power per accelerator (W)</t>
  </si>
  <si>
    <t>y = 1E10x2 - 1E10x + 3E09, till 3GHz</t>
  </si>
  <si>
    <t>y = -1E10x2 + 2E10x - 9E09 after 3GHz</t>
  </si>
  <si>
    <t>assumes frequency scales linearly with voltage</t>
  </si>
  <si>
    <t>P = C*V^2*f*a</t>
  </si>
  <si>
    <t>between 0.4V and 1.8V</t>
  </si>
  <si>
    <t>P_act = U*(P_tdp -P_intraconnect) * (V^2*f)/(V_TDP^2*f_TDP)</t>
  </si>
  <si>
    <t>active utilization power scaling factor [U]</t>
  </si>
  <si>
    <t>accelerator TDP [P_TDP]</t>
  </si>
  <si>
    <t>frequency @TDP [F_TDP]</t>
  </si>
  <si>
    <t>frequency</t>
  </si>
  <si>
    <t>power intra node connection</t>
  </si>
  <si>
    <t>frequency in function of voltage formula by Manu fitted on range of parallel architectures</t>
  </si>
  <si>
    <t>voltage</t>
  </si>
  <si>
    <t>power scaling factor (P/P_TDP)</t>
  </si>
  <si>
    <t>voltage TDP</t>
  </si>
  <si>
    <t>frequency TDP</t>
  </si>
  <si>
    <t>chosen voltage</t>
  </si>
  <si>
    <t>resulting frequency when choosing voltage</t>
  </si>
  <si>
    <t>resulting voltage when choosing frequency</t>
  </si>
  <si>
    <t>chosen frequency</t>
  </si>
  <si>
    <t>how much of TDP is used in active time</t>
  </si>
  <si>
    <t>A100 1.41 at 0.7V</t>
  </si>
  <si>
    <t>keep range to 0.5 - 2 here? Limit choices in V</t>
  </si>
  <si>
    <t>H100 1.81</t>
  </si>
  <si>
    <t>Idle Accelerator power</t>
  </si>
  <si>
    <t>Idle power per accelerator (W)</t>
  </si>
  <si>
    <t>educated guesses, could be better based on tech node, die sizes and memory  config</t>
  </si>
  <si>
    <t>Idle power (W)</t>
  </si>
  <si>
    <t>Memory idle power (W)</t>
  </si>
  <si>
    <t>Intra node comm energy</t>
  </si>
  <si>
    <t>Communication intra node energy</t>
  </si>
  <si>
    <t>Communication energy per bit intra node (J/bit)</t>
  </si>
  <si>
    <t>Tensor parallel Intra comm volume (bits) [V_TP_intra]</t>
  </si>
  <si>
    <t>pipeline parallel Intra comm volume (bits) [V_PP_intra]</t>
  </si>
  <si>
    <t>data parallel intra comm volume (bits) [V_DP_intra]</t>
  </si>
  <si>
    <t>MoE comm volume intra</t>
  </si>
  <si>
    <t>Nvlink estimated 2pJ/bit but hop through switches (8x)</t>
  </si>
  <si>
    <t>Tensor parallel Intra node comm volume</t>
  </si>
  <si>
    <t>Tensor parallel Intra comm volume (bits)</t>
  </si>
  <si>
    <t>both backward and forward pass</t>
  </si>
  <si>
    <t>Layers [L]</t>
  </si>
  <si>
    <t>number of nodes [N_nodes]</t>
  </si>
  <si>
    <t>Tensor parallel degree within node</t>
  </si>
  <si>
    <t>S_activation</t>
  </si>
  <si>
    <t>N_topo_intra</t>
  </si>
  <si>
    <t>N_err_intra</t>
  </si>
  <si>
    <t>S_err</t>
  </si>
  <si>
    <t>pipeline parallel Intra node comm volume</t>
  </si>
  <si>
    <t>pipeline parallel Intra comm volume (bits)</t>
  </si>
  <si>
    <t>pipeline parallel degree within node</t>
  </si>
  <si>
    <t>data parallel Intra node comm volume</t>
  </si>
  <si>
    <t>data parallel Intra comm volume (bits)</t>
  </si>
  <si>
    <t>backward pass all reduce gradients</t>
  </si>
  <si>
    <t>N_gradients_intra</t>
  </si>
  <si>
    <t>S_Err</t>
  </si>
  <si>
    <t>MoE Intra node comm volume</t>
  </si>
  <si>
    <t>N_Act</t>
  </si>
  <si>
    <t>N_Err</t>
  </si>
  <si>
    <t>Inter node comm energy</t>
  </si>
  <si>
    <t>Communication inter node energy</t>
  </si>
  <si>
    <t>Communication energy per bit inter node (J/bit)</t>
  </si>
  <si>
    <t>Tensor parallel inter comm volume (bits)</t>
  </si>
  <si>
    <t>pipeline parallel inter comm volume (bits)</t>
  </si>
  <si>
    <t>data parallel inter comm volume (bits)</t>
  </si>
  <si>
    <t>MoE comm volume inter</t>
  </si>
  <si>
    <t>HDR infiniband estimated at 200pj/bit but should include hops through switches (8x) so will be higher!</t>
  </si>
  <si>
    <t>Tensor parallel inter node comm volume</t>
  </si>
  <si>
    <t>N_TP_inter</t>
  </si>
  <si>
    <t>N_topo_inter</t>
  </si>
  <si>
    <t>N_err_inter</t>
  </si>
  <si>
    <t>pipeline parallel inter node comm volume</t>
  </si>
  <si>
    <t>pipeline parallel degree between nodes [N_PP_inter]</t>
  </si>
  <si>
    <t>data parallel inter node comm volume</t>
  </si>
  <si>
    <t>N_gradients_inter</t>
  </si>
  <si>
    <t>MoE inter node comm volume</t>
  </si>
  <si>
    <t>Nodes overhead energy</t>
  </si>
  <si>
    <t>Total training time (s)</t>
  </si>
  <si>
    <t>power of node without accelerators (W)</t>
  </si>
  <si>
    <t>includes controllers (CPU), but also e.g. PCIe swtiches, power supply, DRAM, Storage, fans, voltage regulators, BMCs, ...) no NICS or Nvlink switches as they are already accounted for</t>
  </si>
  <si>
    <t>Accelerator</t>
  </si>
  <si>
    <t>inter accelerator latency (intra node) (s)</t>
  </si>
  <si>
    <t>intra accelerator BW (Gb/s)</t>
  </si>
  <si>
    <t>TDP (W)</t>
  </si>
  <si>
    <t>Die size (mm2)</t>
  </si>
  <si>
    <t>Node</t>
  </si>
  <si>
    <t>Local Memory</t>
  </si>
  <si>
    <t>Node Level Memory</t>
  </si>
  <si>
    <t>Cluster Level Memory</t>
  </si>
  <si>
    <t>TSMC 12nm</t>
  </si>
  <si>
    <t>A100</t>
  </si>
  <si>
    <t>TSMC 7nm</t>
  </si>
  <si>
    <t>H100 SXM5</t>
  </si>
  <si>
    <t>TSMC 4nm</t>
  </si>
  <si>
    <t>H100 PCIe</t>
  </si>
  <si>
    <t>SC (Gen 1) - A100 [manu test]</t>
  </si>
  <si>
    <t>TBD</t>
  </si>
  <si>
    <t>Main params</t>
  </si>
  <si>
    <t>Derived params by rules of thumb</t>
  </si>
  <si>
    <t>Network</t>
  </si>
  <si>
    <t>Tokens</t>
  </si>
  <si>
    <t>Dimensionality</t>
  </si>
  <si>
    <t>Context</t>
  </si>
  <si>
    <t>Layers</t>
  </si>
  <si>
    <t>Attention Heads</t>
  </si>
  <si>
    <t>query/key length</t>
  </si>
  <si>
    <t>value length</t>
  </si>
  <si>
    <t>hidden layer size</t>
  </si>
  <si>
    <t>Tokens to train</t>
  </si>
  <si>
    <t>Experts</t>
  </si>
  <si>
    <t>GPT-2:</t>
  </si>
  <si>
    <t>https://openai.com/blog/better-language-models/</t>
  </si>
  <si>
    <t>GPT-2 small</t>
  </si>
  <si>
    <t>GPT-3:</t>
  </si>
  <si>
    <t>https://arxiv.org/abs/2005.14165</t>
  </si>
  <si>
    <t>GPT-2 medium</t>
  </si>
  <si>
    <t>Megatron-LM</t>
  </si>
  <si>
    <t>https://github.com/NVIDIA/Megatron-LM</t>
  </si>
  <si>
    <t>GPT-2 large</t>
  </si>
  <si>
    <t>GPT-2 extralarge</t>
  </si>
  <si>
    <t>GPT-3 Small</t>
  </si>
  <si>
    <t>GPT-3 Medium</t>
  </si>
  <si>
    <t>GPT-3 Large</t>
  </si>
  <si>
    <t>GPT-3 XL</t>
  </si>
  <si>
    <t>GPT-3 2.7B</t>
  </si>
  <si>
    <t>GPT-3 6.7</t>
  </si>
  <si>
    <t>GPT-3 13B</t>
  </si>
  <si>
    <t>GPT-3 175B aka "GPT-3"</t>
  </si>
  <si>
    <t>Megatron 145B</t>
  </si>
  <si>
    <t>Megatron 310B</t>
  </si>
  <si>
    <t>Megatron 530B</t>
  </si>
  <si>
    <t>Megatron 1T</t>
  </si>
  <si>
    <t>QPM</t>
  </si>
  <si>
    <t>DeepNet/OPUS-100</t>
  </si>
  <si>
    <t>DeepNet/M2M</t>
  </si>
  <si>
    <t>DeepNet/QPM</t>
  </si>
  <si>
    <t>DeepNet/QPM narrow</t>
  </si>
  <si>
    <t>MoE-350M-128</t>
  </si>
  <si>
    <t>MoE-1.3B-128</t>
  </si>
  <si>
    <t>MoE-8B-64</t>
  </si>
  <si>
    <t>MoE-64B-64</t>
  </si>
  <si>
    <t>MoE-500M-512</t>
  </si>
  <si>
    <t>note: paper does not list #heads or lengths</t>
  </si>
  <si>
    <t>MoE-6B-512</t>
  </si>
  <si>
    <t>MoE-QPM-expert-scaling</t>
  </si>
  <si>
    <t>MoE-QPM-layer-scaling</t>
  </si>
  <si>
    <t>MoE-QPM-dim-scaling</t>
  </si>
  <si>
    <t>MoE-QPM-Mixed</t>
  </si>
  <si>
    <t>COMPUTE:</t>
  </si>
  <si>
    <t>layer = multi-head attention + shared output layers (including FFN)</t>
  </si>
  <si>
    <t>FLOPs per layer for usual transformer = FLOPs per layer for equivalent MoE</t>
  </si>
  <si>
    <t xml:space="preserve">No. of parameters due to MoE  = (linear1+linear2) x # of experts x N_L/2 (=MoE layers) </t>
  </si>
  <si>
    <t>Gating overhead Flops = Bx (N_E x D x S)</t>
  </si>
  <si>
    <t>Gating layer # parameters = N_E x D x N_L/2</t>
  </si>
  <si>
    <r>
      <rPr>
        <b/>
        <i/>
        <sz val="11"/>
        <color rgb="FFFF0000"/>
        <rFont val="Calibri"/>
        <family val="2"/>
        <scheme val="minor"/>
      </rPr>
      <t>COMMUNICATION</t>
    </r>
    <r>
      <rPr>
        <b/>
        <sz val="11"/>
        <color rgb="FFFF0000"/>
        <rFont val="Calibri"/>
        <family val="2"/>
        <scheme val="minor"/>
      </rPr>
      <t>:</t>
    </r>
  </si>
  <si>
    <t>Two All-to-All communications per fwd and bwd pass</t>
  </si>
  <si>
    <t>Total data (B x S x  h) have to be transferred accross the entire network</t>
  </si>
  <si>
    <t>one all-reduce of FFN is replaced by one all-to-all despatch and one all-to-all combine; thus one extra all-to-all comunication</t>
  </si>
  <si>
    <t xml:space="preserve">Note now this can be inter-node as well; where us if we keep tensor model parallel in a node, the all-reduce communication for FFN stays within a node. </t>
  </si>
  <si>
    <t>Data dispatched/gather by workers holding MHA via experts</t>
  </si>
  <si>
    <t>t_MoE  ~ C_ Lat x (N_E-1) + (B s h) x (N_E-1) x [1/Nnodes/BW_intra + (Nnodes-NaccPNode)/Nnodes/BW_inter] /N_E</t>
  </si>
  <si>
    <t>Megatron 18.4B</t>
  </si>
  <si>
    <t>Megatron 7.5B</t>
  </si>
  <si>
    <t>Validation_results</t>
  </si>
  <si>
    <t>Model size</t>
  </si>
  <si>
    <t>modeled</t>
  </si>
  <si>
    <t>paper</t>
  </si>
  <si>
    <t>model 7.2B</t>
  </si>
  <si>
    <t>model 145B</t>
  </si>
  <si>
    <t>model 310B</t>
  </si>
  <si>
    <t>model 530B</t>
  </si>
  <si>
    <t>model 1T</t>
  </si>
  <si>
    <t>batchsize</t>
  </si>
  <si>
    <t>GPT(3), 2.2-2.5 B</t>
  </si>
  <si>
    <t>Paper (MS, PipeDream'21)</t>
  </si>
  <si>
    <t>Comments</t>
  </si>
  <si>
    <t>Performance (seq/s/GPU)</t>
  </si>
  <si>
    <t>32 ubatchs, B=2048, 8x8 V100</t>
  </si>
  <si>
    <t>TFLOP/S/GPU</t>
  </si>
  <si>
    <t>Megatron 145B - A100</t>
  </si>
  <si>
    <t>Megatron 145B - V100</t>
  </si>
  <si>
    <t>Megatron 5.9B-tp-dp-batch128</t>
  </si>
  <si>
    <t>tp2-dp32</t>
  </si>
  <si>
    <t>tp4-dp16</t>
  </si>
  <si>
    <t>base model based on https://arxiv.org/pdf/1903.04611.pdf</t>
  </si>
  <si>
    <t>converted in days:</t>
  </si>
  <si>
    <t>converted in years:</t>
  </si>
  <si>
    <t>Total accelerators</t>
  </si>
  <si>
    <t>number of model replicas</t>
  </si>
  <si>
    <t>number of accelerators per model replica</t>
  </si>
  <si>
    <t>User input or calculated from detail?</t>
  </si>
  <si>
    <t>depends on</t>
  </si>
  <si>
    <t>total forward pass compute</t>
  </si>
  <si>
    <t>total forward pass comm</t>
  </si>
  <si>
    <t>number of epochs [N_epoch]</t>
  </si>
  <si>
    <t>number of samples [N_sample]</t>
  </si>
  <si>
    <t>data parallellism degree [Q]</t>
  </si>
  <si>
    <t>Communication time spent in allreduce (s) [M_allreduce]</t>
  </si>
  <si>
    <t>total backward pass comp</t>
  </si>
  <si>
    <t>Total backward pass communication</t>
  </si>
  <si>
    <t>total weight update time</t>
  </si>
  <si>
    <t>overhead cpu2accel</t>
  </si>
  <si>
    <t>all_reduce</t>
  </si>
  <si>
    <t>OVERALL</t>
  </si>
  <si>
    <t>change the names</t>
  </si>
  <si>
    <t>s_neuron</t>
  </si>
  <si>
    <t>s_act</t>
  </si>
  <si>
    <t>s_MAC</t>
  </si>
  <si>
    <t>Compute time forward pass (s)</t>
  </si>
  <si>
    <t>fully connected</t>
  </si>
  <si>
    <t>32 times slower than MAC?</t>
  </si>
  <si>
    <t>32 times model parallelism</t>
  </si>
  <si>
    <t>average number of weights connected from layer L-1 to neurons in segment p [W(L,p)]</t>
  </si>
  <si>
    <t>reciprocal of throughput of activation function calculation (s/ACT) [C_ACT]</t>
  </si>
  <si>
    <t>number of neurons in segment p of layer L [N_neurons(L,p)]</t>
  </si>
  <si>
    <t>Number of workers per model replica</t>
  </si>
  <si>
    <t>Precision of weights in layer L-1 that are multiplied with the activations in layer L-1 to form the activations of layer L (W_precision (L))</t>
  </si>
  <si>
    <t>MAC_bitwidth  (bit width of the MAC unit)</t>
  </si>
  <si>
    <t>Precision of activations in layer L-1 that are multiplied with the weights in layer L-1 to form the activations of layer L  (A_precision (L))</t>
  </si>
  <si>
    <t>Precision of neurons of layer L (N_precision (L))</t>
  </si>
  <si>
    <t>Precision of the non-linear function calculating unit (Act_bitwidth )</t>
  </si>
  <si>
    <t>neural network, model parallellism</t>
  </si>
  <si>
    <t>neural network, model parallellism, number of workers</t>
  </si>
  <si>
    <t>Activations (N_neurons (L,p))</t>
  </si>
  <si>
    <t>Assuming the fully-connected feed forward layer of the transformer network</t>
  </si>
  <si>
    <t>N_neurons(L,p)</t>
  </si>
  <si>
    <t>the formula for transformer hidden layer is a rule of thumb as mentioned in QPM-Arch excel sheet</t>
  </si>
  <si>
    <t>D (dimensionality of the vector)</t>
  </si>
  <si>
    <t>H (hidden layer size)</t>
  </si>
  <si>
    <t>768 is the dimensionality for GPT-3 small</t>
  </si>
  <si>
    <t>Weights (W (L,p))</t>
  </si>
  <si>
    <t>Weights (L,p)</t>
  </si>
  <si>
    <t>N_neurons (L,p)</t>
  </si>
  <si>
    <t>convert S_op to top formula</t>
  </si>
  <si>
    <t>throughput (OP/s)</t>
  </si>
  <si>
    <t>Ops counted per MAC</t>
  </si>
  <si>
    <t>functional unit width (bits/cycle) [S_FU]</t>
  </si>
  <si>
    <t>operand precision (bits) [S_OP]</t>
  </si>
  <si>
    <t>Number of intra-node activations from layer L -1 arriving at layer L, segment p [N_act_intra (L,p)]</t>
  </si>
  <si>
    <r>
      <t>Size of each activation (bits) [S</t>
    </r>
    <r>
      <rPr>
        <vertAlign val="subscript"/>
        <sz val="11"/>
        <color rgb="FF3F3F76"/>
        <rFont val="Gill Sans MT"/>
        <family val="2"/>
      </rPr>
      <t>activiation</t>
    </r>
    <r>
      <rPr>
        <sz val="11"/>
        <color rgb="FF3F3F76"/>
        <rFont val="Gill Sans MT"/>
        <family val="2"/>
      </rPr>
      <t>]</t>
    </r>
  </si>
  <si>
    <t>Number of inter-node activations from layer L -1 arriving at layer L, segment p [N_act_inter (L,p)]</t>
  </si>
  <si>
    <t>depends on neural network, number of GPUs per node, number of nodes, pipeline parallelism, and tensor parallelism</t>
  </si>
  <si>
    <t>number of weights connected from layer L+1 to neurons in layer L, segment p [W'(L,p)]</t>
  </si>
  <si>
    <t>Precision of weights (W'_precision (L))</t>
  </si>
  <si>
    <t>MAC_bitwidth (bit width of the MAC unit)</t>
  </si>
  <si>
    <t>Precision of activations from L+1 that are used in the backprop for  layer L (A'_precision (L))</t>
  </si>
  <si>
    <t>Precision of the error calculating unit (Error_bitwidth)</t>
  </si>
  <si>
    <t>defined earlier in row 30</t>
  </si>
  <si>
    <t>Number of intra-node remote error terms [N_err_intra (L,p)]</t>
  </si>
  <si>
    <t>Size of each remote error term (bits) [S_err]</t>
  </si>
  <si>
    <t>Number of inter-node remote error terms [N_err_inter (L,p)]</t>
  </si>
  <si>
    <t>defined earlier in row 75</t>
  </si>
  <si>
    <t>number of weights connected from layer L+1 to neurons in segment p of layer L [W(L,p)]</t>
  </si>
  <si>
    <t>Precision of activations of layer L+1(A'_precision (L))</t>
  </si>
  <si>
    <t>Precision of activations of layer L(A_precision (L))</t>
  </si>
  <si>
    <t>Data parallelism degree</t>
  </si>
  <si>
    <t>insert math formula</t>
  </si>
  <si>
    <t>Q</t>
  </si>
  <si>
    <t>make an estimation based on GPU memory capacity?</t>
  </si>
  <si>
    <t>All-reduce time (s)</t>
  </si>
  <si>
    <t>Communication time spent in allreduce (M_allreduce)</t>
  </si>
  <si>
    <t>INSERT EXCEL FORMULA</t>
  </si>
  <si>
    <t>size of intra data [a]</t>
  </si>
  <si>
    <t>size of inter data [b]</t>
  </si>
  <si>
    <t>Are [a], [b] the overall size of the data from all the GPUs? Bits/bytes?</t>
  </si>
  <si>
    <t>defined earlier in row 18</t>
  </si>
  <si>
    <t>Template for more detail for a parameter</t>
  </si>
  <si>
    <t>INSERT descriptive name and parameter</t>
  </si>
  <si>
    <t>Timon</t>
  </si>
  <si>
    <t>distinguish between accelerators in the same node (intra) and accelerators of another node (inter) (BW, latency, and connectivity function partitioning)</t>
  </si>
  <si>
    <t>Diksha</t>
  </si>
  <si>
    <t>Some errors or small  improvements</t>
  </si>
  <si>
    <t>network arch assumptions are really bad (Assumed fully connected and uniform layers)</t>
  </si>
  <si>
    <t xml:space="preserve">make the model parallellism more explicit </t>
  </si>
  <si>
    <t>have the number of GPUs as calculated based on DP and MP?</t>
  </si>
  <si>
    <t>have 1 place per parameter to fill in (if they are shared across formulas)</t>
  </si>
  <si>
    <t>make units explicit</t>
  </si>
  <si>
    <t>change formulas to time and not cycles</t>
  </si>
  <si>
    <t xml:space="preserve">Timon </t>
  </si>
  <si>
    <t>make MAC throughput a function of precision, frequency, ... Like peak compute?</t>
  </si>
  <si>
    <t>make excel update automatically (drop down lists dont update)</t>
  </si>
  <si>
    <t>make act/weight/token size configurable</t>
  </si>
  <si>
    <t>Model the perf. For matrix mul. in the self-attention layer</t>
  </si>
  <si>
    <t>here you need to consider the sequence length, tokens etc.</t>
  </si>
  <si>
    <t>Express the transformer arch. In the current terminology</t>
  </si>
  <si>
    <t>check for average weights/act.</t>
  </si>
  <si>
    <t>Interval Analysis</t>
  </si>
  <si>
    <r>
      <t>Effective Dispatch Width (</t>
    </r>
    <r>
      <rPr>
        <b/>
        <sz val="11"/>
        <color rgb="FF3F3F76"/>
        <rFont val="Gill Sans MT"/>
        <family val="2"/>
      </rPr>
      <t>D</t>
    </r>
    <r>
      <rPr>
        <b/>
        <vertAlign val="subscript"/>
        <sz val="11"/>
        <color rgb="FF3F3F76"/>
        <rFont val="Gill Sans MT"/>
        <family val="2"/>
      </rPr>
      <t>eff</t>
    </r>
    <r>
      <rPr>
        <sz val="11"/>
        <color rgb="FF3F3F76"/>
        <rFont val="Gill Sans MT"/>
        <family val="2"/>
      </rPr>
      <t>)</t>
    </r>
  </si>
  <si>
    <r>
      <t>Total Number of Dynamically Executed Instructions/Micro-ops (</t>
    </r>
    <r>
      <rPr>
        <b/>
        <sz val="11"/>
        <color rgb="FF3F3F76"/>
        <rFont val="Gill Sans MT"/>
        <family val="2"/>
      </rPr>
      <t>N</t>
    </r>
    <r>
      <rPr>
        <b/>
        <vertAlign val="subscript"/>
        <sz val="11"/>
        <color rgb="FF3F3F76"/>
        <rFont val="Gill Sans MT"/>
        <family val="2"/>
      </rPr>
      <t>total</t>
    </r>
    <r>
      <rPr>
        <sz val="11"/>
        <color rgb="FF3F3F76"/>
        <rFont val="Gill Sans MT"/>
        <family val="2"/>
      </rPr>
      <t>)</t>
    </r>
  </si>
  <si>
    <r>
      <t>Misses for icache of Level i (</t>
    </r>
    <r>
      <rPr>
        <b/>
        <sz val="11"/>
        <color rgb="FF3F3F76"/>
        <rFont val="Gill Sans MT"/>
        <family val="2"/>
      </rPr>
      <t>M</t>
    </r>
    <r>
      <rPr>
        <b/>
        <vertAlign val="subscript"/>
        <sz val="11"/>
        <color rgb="FF3F3F76"/>
        <rFont val="Gill Sans MT"/>
        <family val="2"/>
      </rPr>
      <t>ILi</t>
    </r>
    <r>
      <rPr>
        <sz val="11"/>
        <color rgb="FF3F3F76"/>
        <rFont val="Gill Sans MT"/>
        <family val="2"/>
      </rPr>
      <t>)</t>
    </r>
  </si>
  <si>
    <r>
      <t>Miss delay for icache of Level i (</t>
    </r>
    <r>
      <rPr>
        <b/>
        <sz val="11"/>
        <color rgb="FF3F3F76"/>
        <rFont val="Gill Sans MT"/>
        <family val="2"/>
      </rPr>
      <t>C</t>
    </r>
    <r>
      <rPr>
        <b/>
        <vertAlign val="subscript"/>
        <sz val="11"/>
        <color rgb="FF3F3F76"/>
        <rFont val="Gill Sans MT"/>
        <family val="2"/>
      </rPr>
      <t>ILi</t>
    </r>
    <r>
      <rPr>
        <sz val="11"/>
        <color rgb="FF3F3F76"/>
        <rFont val="Gill Sans MT"/>
        <family val="2"/>
      </rPr>
      <t xml:space="preserve">) ~ </t>
    </r>
    <r>
      <rPr>
        <i/>
        <sz val="11"/>
        <color rgb="FF3F3F76"/>
        <rFont val="Gill Sans MT"/>
        <family val="2"/>
      </rPr>
      <t>Level i +1 access time (Thus, LLC miss delay is DRAM access time)</t>
    </r>
  </si>
  <si>
    <r>
      <t>Cache Hierarchy Depth (</t>
    </r>
    <r>
      <rPr>
        <i/>
        <sz val="11"/>
        <color rgb="FF3F3F76"/>
        <rFont val="Gill Sans MT"/>
        <family val="2"/>
      </rPr>
      <t>Number of levels for the on-chip cache hierrachy</t>
    </r>
    <r>
      <rPr>
        <sz val="11"/>
        <color rgb="FF3F3F76"/>
        <rFont val="Gill Sans MT"/>
        <family val="2"/>
      </rPr>
      <t>)</t>
    </r>
  </si>
  <si>
    <r>
      <t>Branch Miss-predictions (</t>
    </r>
    <r>
      <rPr>
        <b/>
        <sz val="11"/>
        <color rgb="FF3F3F76"/>
        <rFont val="Gill Sans MT"/>
        <family val="2"/>
      </rPr>
      <t>M</t>
    </r>
    <r>
      <rPr>
        <b/>
        <vertAlign val="subscript"/>
        <sz val="11"/>
        <color rgb="FF3F3F76"/>
        <rFont val="Gill Sans MT"/>
        <family val="2"/>
      </rPr>
      <t>brpred</t>
    </r>
    <r>
      <rPr>
        <sz val="11"/>
        <color rgb="FF3F3F76"/>
        <rFont val="Gill Sans MT"/>
        <family val="2"/>
      </rPr>
      <t>)</t>
    </r>
  </si>
  <si>
    <r>
      <t>Branch Miss resolution time (</t>
    </r>
    <r>
      <rPr>
        <b/>
        <sz val="11"/>
        <color rgb="FF3F3F76"/>
        <rFont val="Gill Sans MT"/>
        <family val="2"/>
      </rPr>
      <t>C</t>
    </r>
    <r>
      <rPr>
        <b/>
        <vertAlign val="subscript"/>
        <sz val="11"/>
        <color rgb="FF3F3F76"/>
        <rFont val="Gill Sans MT"/>
        <family val="2"/>
      </rPr>
      <t>res</t>
    </r>
    <r>
      <rPr>
        <sz val="11"/>
        <color rgb="FF3F3F76"/>
        <rFont val="Gill Sans MT"/>
        <family val="2"/>
      </rPr>
      <t>)</t>
    </r>
  </si>
  <si>
    <r>
      <t>Front-end pipeline depth (</t>
    </r>
    <r>
      <rPr>
        <b/>
        <sz val="11"/>
        <color rgb="FF3F3F76"/>
        <rFont val="Gill Sans MT"/>
        <family val="2"/>
      </rPr>
      <t>C</t>
    </r>
    <r>
      <rPr>
        <b/>
        <vertAlign val="subscript"/>
        <sz val="11"/>
        <color rgb="FF3F3F76"/>
        <rFont val="Gill Sans MT"/>
        <family val="2"/>
      </rPr>
      <t>fe</t>
    </r>
    <r>
      <rPr>
        <sz val="11"/>
        <color rgb="FF3F3F76"/>
        <rFont val="Gill Sans MT"/>
        <family val="2"/>
      </rPr>
      <t>)</t>
    </r>
  </si>
  <si>
    <r>
      <t>Load Misses for LLC (</t>
    </r>
    <r>
      <rPr>
        <b/>
        <sz val="11"/>
        <color rgb="FF3F3F76"/>
        <rFont val="Gill Sans MT"/>
        <family val="2"/>
      </rPr>
      <t>M</t>
    </r>
    <r>
      <rPr>
        <b/>
        <vertAlign val="subscript"/>
        <sz val="11"/>
        <color rgb="FF3F3F76"/>
        <rFont val="Gill Sans MT"/>
        <family val="2"/>
      </rPr>
      <t>LLC</t>
    </r>
    <r>
      <rPr>
        <sz val="11"/>
        <color rgb="FF3F3F76"/>
        <rFont val="Gill Sans MT"/>
        <family val="2"/>
      </rPr>
      <t>)</t>
    </r>
  </si>
  <si>
    <r>
      <t>Miss delay for LLC (</t>
    </r>
    <r>
      <rPr>
        <b/>
        <sz val="11"/>
        <color rgb="FF3F3F76"/>
        <rFont val="Gill Sans MT"/>
        <family val="2"/>
      </rPr>
      <t>C</t>
    </r>
    <r>
      <rPr>
        <b/>
        <vertAlign val="subscript"/>
        <sz val="11"/>
        <color rgb="FF3F3F76"/>
        <rFont val="Gill Sans MT"/>
        <family val="2"/>
      </rPr>
      <t>mem</t>
    </r>
    <r>
      <rPr>
        <sz val="11"/>
        <color rgb="FF3F3F76"/>
        <rFont val="Gill Sans MT"/>
        <family val="2"/>
      </rPr>
      <t xml:space="preserve">) ~ </t>
    </r>
    <r>
      <rPr>
        <i/>
        <sz val="11"/>
        <color rgb="FF3F3F76"/>
        <rFont val="Gill Sans MT"/>
        <family val="2"/>
      </rPr>
      <t>Memory access time</t>
    </r>
  </si>
  <si>
    <r>
      <t>Memory Level Paralellism (</t>
    </r>
    <r>
      <rPr>
        <b/>
        <sz val="11"/>
        <color rgb="FF3F3F76"/>
        <rFont val="Gill Sans MT"/>
        <family val="2"/>
      </rPr>
      <t>MLP</t>
    </r>
    <r>
      <rPr>
        <sz val="11"/>
        <color rgb="FF3F3F76"/>
        <rFont val="Gill Sans MT"/>
        <family val="2"/>
      </rPr>
      <t xml:space="preserve">) </t>
    </r>
  </si>
  <si>
    <r>
      <t>LLC hit chain penalty (</t>
    </r>
    <r>
      <rPr>
        <b/>
        <sz val="11"/>
        <color rgb="FF3F3F76"/>
        <rFont val="Gill Sans MT"/>
        <family val="2"/>
      </rPr>
      <t>P</t>
    </r>
    <r>
      <rPr>
        <b/>
        <vertAlign val="subscript"/>
        <sz val="11"/>
        <color rgb="FF3F3F76"/>
        <rFont val="Gill Sans MT"/>
        <family val="2"/>
      </rPr>
      <t>hLLC</t>
    </r>
    <r>
      <rPr>
        <sz val="11"/>
        <color rgb="FF3F3F76"/>
        <rFont val="Gill Sans MT"/>
        <family val="2"/>
      </rPr>
      <t>)</t>
    </r>
  </si>
  <si>
    <t>C (Total Number of Cycles)</t>
  </si>
  <si>
    <t>Base</t>
  </si>
  <si>
    <t>Branch</t>
  </si>
  <si>
    <t>I-cache</t>
  </si>
  <si>
    <t>D-cache</t>
  </si>
  <si>
    <t>C</t>
  </si>
  <si>
    <t>Breakdown 1</t>
  </si>
  <si>
    <t>Effective Dispatch Width (Deff)</t>
  </si>
  <si>
    <r>
      <t>Designed dispatch width (</t>
    </r>
    <r>
      <rPr>
        <b/>
        <sz val="11"/>
        <color rgb="FF3F3F76"/>
        <rFont val="Gill Sans MT"/>
        <family val="2"/>
      </rPr>
      <t>D</t>
    </r>
    <r>
      <rPr>
        <sz val="11"/>
        <color rgb="FF3F3F76"/>
        <rFont val="Gill Sans MT"/>
        <family val="2"/>
      </rPr>
      <t>)</t>
    </r>
  </si>
  <si>
    <r>
      <t>Reorder Buffer Size (</t>
    </r>
    <r>
      <rPr>
        <b/>
        <i/>
        <sz val="11"/>
        <color rgb="FF3F3F76"/>
        <rFont val="Gill Sans MT"/>
        <family val="2"/>
      </rPr>
      <t>ROB</t>
    </r>
    <r>
      <rPr>
        <sz val="11"/>
        <color rgb="FF3F3F76"/>
        <rFont val="Gill Sans MT"/>
        <family val="2"/>
      </rPr>
      <t>)</t>
    </r>
  </si>
  <si>
    <r>
      <t>Average critical path length (</t>
    </r>
    <r>
      <rPr>
        <b/>
        <i/>
        <sz val="11"/>
        <color rgb="FF3F3F76"/>
        <rFont val="Gill Sans MT"/>
        <family val="2"/>
      </rPr>
      <t>K(ROB)</t>
    </r>
    <r>
      <rPr>
        <sz val="11"/>
        <color rgb="FF3F3F76"/>
        <rFont val="Gill Sans MT"/>
        <family val="2"/>
      </rPr>
      <t>)</t>
    </r>
  </si>
  <si>
    <r>
      <t>Average instruction execution latency, including short load data cache misses (</t>
    </r>
    <r>
      <rPr>
        <b/>
        <sz val="11"/>
        <color rgb="FF3F3F76"/>
        <rFont val="Gill Sans MT"/>
        <family val="2"/>
      </rPr>
      <t>lat</t>
    </r>
    <r>
      <rPr>
        <sz val="11"/>
        <color rgb="FF3F3F76"/>
        <rFont val="Gill Sans MT"/>
        <family val="2"/>
      </rPr>
      <t>)</t>
    </r>
  </si>
  <si>
    <r>
      <t xml:space="preserve">Dispatch latency for </t>
    </r>
    <r>
      <rPr>
        <i/>
        <sz val="11"/>
        <color rgb="FF3F3F76"/>
        <rFont val="Gill Sans MT"/>
        <family val="2"/>
      </rPr>
      <t>N</t>
    </r>
    <r>
      <rPr>
        <i/>
        <vertAlign val="subscript"/>
        <sz val="11"/>
        <color rgb="FF3F3F76"/>
        <rFont val="Gill Sans MT"/>
        <family val="2"/>
      </rPr>
      <t>p</t>
    </r>
    <r>
      <rPr>
        <i/>
        <sz val="11"/>
        <color rgb="FF3F3F76"/>
        <rFont val="Gill Sans MT"/>
        <family val="2"/>
      </rPr>
      <t xml:space="preserve"> </t>
    </r>
    <r>
      <rPr>
        <sz val="11"/>
        <color rgb="FF3F3F76"/>
        <rFont val="Gill Sans MT"/>
        <family val="2"/>
      </rPr>
      <t>Insts. to be executed by Functional Units connected to a p (</t>
    </r>
    <r>
      <rPr>
        <b/>
        <i/>
        <sz val="11"/>
        <color rgb="FF3F3F76"/>
        <rFont val="Gill Sans MT"/>
        <family val="2"/>
      </rPr>
      <t>N</t>
    </r>
    <r>
      <rPr>
        <b/>
        <i/>
        <vertAlign val="subscript"/>
        <sz val="11"/>
        <color rgb="FF3F3F76"/>
        <rFont val="Gill Sans MT"/>
        <family val="2"/>
      </rPr>
      <t>p</t>
    </r>
    <r>
      <rPr>
        <sz val="11"/>
        <color rgb="FF3F3F76"/>
        <rFont val="Gill Sans MT"/>
        <family val="2"/>
      </rPr>
      <t>)</t>
    </r>
  </si>
  <si>
    <r>
      <t>Insts. of type '</t>
    </r>
    <r>
      <rPr>
        <b/>
        <i/>
        <sz val="11"/>
        <color rgb="FF3F3F76"/>
        <rFont val="Gill Sans MT"/>
        <family val="2"/>
      </rPr>
      <t>i</t>
    </r>
    <r>
      <rPr>
        <i/>
        <sz val="11"/>
        <color rgb="FF3F3F76"/>
        <rFont val="Gill Sans MT"/>
        <family val="2"/>
      </rPr>
      <t>'</t>
    </r>
    <r>
      <rPr>
        <sz val="11"/>
        <color rgb="FF3F3F76"/>
        <rFont val="Gill Sans MT"/>
        <family val="2"/>
      </rPr>
      <t xml:space="preserve"> that are pipelined (</t>
    </r>
    <r>
      <rPr>
        <b/>
        <i/>
        <sz val="11"/>
        <color rgb="FF3F3F76"/>
        <rFont val="Gill Sans MT"/>
        <family val="2"/>
      </rPr>
      <t>N</t>
    </r>
    <r>
      <rPr>
        <b/>
        <i/>
        <vertAlign val="subscript"/>
        <sz val="11"/>
        <color rgb="FF3F3F76"/>
        <rFont val="Gill Sans MT"/>
        <family val="2"/>
      </rPr>
      <t>i</t>
    </r>
    <r>
      <rPr>
        <sz val="11"/>
        <color rgb="FF3F3F76"/>
        <rFont val="Gill Sans MT"/>
        <family val="2"/>
      </rPr>
      <t>)</t>
    </r>
  </si>
  <si>
    <r>
      <t>Functional units for Insts. of type '</t>
    </r>
    <r>
      <rPr>
        <b/>
        <i/>
        <sz val="11"/>
        <color rgb="FF3F3F76"/>
        <rFont val="Gill Sans MT"/>
        <family val="2"/>
      </rPr>
      <t>i</t>
    </r>
    <r>
      <rPr>
        <i/>
        <sz val="11"/>
        <color rgb="FF3F3F76"/>
        <rFont val="Gill Sans MT"/>
        <family val="2"/>
      </rPr>
      <t>'</t>
    </r>
    <r>
      <rPr>
        <sz val="11"/>
        <color rgb="FF3F3F76"/>
        <rFont val="Gill Sans MT"/>
        <family val="2"/>
      </rPr>
      <t xml:space="preserve"> that are pipelined (</t>
    </r>
    <r>
      <rPr>
        <b/>
        <i/>
        <sz val="11"/>
        <color rgb="FF3F3F76"/>
        <rFont val="Gill Sans MT"/>
        <family val="2"/>
      </rPr>
      <t>U</t>
    </r>
    <r>
      <rPr>
        <b/>
        <i/>
        <vertAlign val="subscript"/>
        <sz val="11"/>
        <color rgb="FF3F3F76"/>
        <rFont val="Gill Sans MT"/>
        <family val="2"/>
      </rPr>
      <t>i</t>
    </r>
    <r>
      <rPr>
        <sz val="11"/>
        <color rgb="FF3F3F76"/>
        <rFont val="Gill Sans MT"/>
        <family val="2"/>
      </rPr>
      <t>)</t>
    </r>
  </si>
  <si>
    <r>
      <t>Insts. of type '</t>
    </r>
    <r>
      <rPr>
        <b/>
        <i/>
        <sz val="11"/>
        <color rgb="FF3F3F76"/>
        <rFont val="Gill Sans MT"/>
        <family val="2"/>
      </rPr>
      <t>j</t>
    </r>
    <r>
      <rPr>
        <i/>
        <sz val="11"/>
        <color rgb="FF3F3F76"/>
        <rFont val="Gill Sans MT"/>
        <family val="2"/>
      </rPr>
      <t>'</t>
    </r>
    <r>
      <rPr>
        <sz val="11"/>
        <color rgb="FF3F3F76"/>
        <rFont val="Gill Sans MT"/>
        <family val="2"/>
      </rPr>
      <t xml:space="preserve"> that are non-pipelined (</t>
    </r>
    <r>
      <rPr>
        <b/>
        <i/>
        <sz val="11"/>
        <color rgb="FF3F3F76"/>
        <rFont val="Gill Sans MT"/>
        <family val="2"/>
      </rPr>
      <t>N</t>
    </r>
    <r>
      <rPr>
        <b/>
        <i/>
        <vertAlign val="subscript"/>
        <sz val="11"/>
        <color rgb="FF3F3F76"/>
        <rFont val="Gill Sans MT"/>
        <family val="2"/>
      </rPr>
      <t>j</t>
    </r>
    <r>
      <rPr>
        <sz val="11"/>
        <color rgb="FF3F3F76"/>
        <rFont val="Gill Sans MT"/>
        <family val="2"/>
      </rPr>
      <t>)</t>
    </r>
  </si>
  <si>
    <r>
      <t>Functional units for Insts. of type '</t>
    </r>
    <r>
      <rPr>
        <b/>
        <i/>
        <sz val="11"/>
        <color rgb="FF3F3F76"/>
        <rFont val="Gill Sans MT"/>
        <family val="2"/>
      </rPr>
      <t>j</t>
    </r>
    <r>
      <rPr>
        <i/>
        <sz val="11"/>
        <color rgb="FF3F3F76"/>
        <rFont val="Gill Sans MT"/>
        <family val="2"/>
      </rPr>
      <t>'</t>
    </r>
    <r>
      <rPr>
        <sz val="11"/>
        <color rgb="FF3F3F76"/>
        <rFont val="Gill Sans MT"/>
        <family val="2"/>
      </rPr>
      <t xml:space="preserve"> that are non-pipelined (</t>
    </r>
    <r>
      <rPr>
        <b/>
        <i/>
        <sz val="11"/>
        <color rgb="FF3F3F76"/>
        <rFont val="Gill Sans MT"/>
        <family val="2"/>
      </rPr>
      <t>U</t>
    </r>
    <r>
      <rPr>
        <b/>
        <i/>
        <vertAlign val="subscript"/>
        <sz val="11"/>
        <color rgb="FF3F3F76"/>
        <rFont val="Gill Sans MT"/>
        <family val="2"/>
      </rPr>
      <t>j</t>
    </r>
    <r>
      <rPr>
        <sz val="11"/>
        <color rgb="FF3F3F76"/>
        <rFont val="Gill Sans MT"/>
        <family val="2"/>
      </rPr>
      <t>)</t>
    </r>
  </si>
  <si>
    <r>
      <t>Avg. latency for non-pipelined units (</t>
    </r>
    <r>
      <rPr>
        <b/>
        <i/>
        <sz val="11"/>
        <color theme="1"/>
        <rFont val="Gill Sans MT"/>
        <family val="2"/>
      </rPr>
      <t>lat</t>
    </r>
    <r>
      <rPr>
        <b/>
        <i/>
        <vertAlign val="subscript"/>
        <sz val="11"/>
        <color theme="1"/>
        <rFont val="Gill Sans MT"/>
        <family val="2"/>
      </rPr>
      <t>j</t>
    </r>
    <r>
      <rPr>
        <sz val="11"/>
        <color theme="1"/>
        <rFont val="Gill Sans MT"/>
        <family val="2"/>
      </rPr>
      <t>)</t>
    </r>
  </si>
  <si>
    <t>Register Contention</t>
  </si>
  <si>
    <t>Port Contention</t>
  </si>
  <si>
    <r>
      <t>Execution time (</t>
    </r>
    <r>
      <rPr>
        <b/>
        <i/>
        <sz val="11"/>
        <color theme="1"/>
        <rFont val="Calibri"/>
        <family val="2"/>
        <scheme val="minor"/>
      </rPr>
      <t>Pipelined</t>
    </r>
    <r>
      <rPr>
        <sz val="11"/>
        <color theme="1"/>
        <rFont val="Calibri"/>
        <family val="2"/>
        <scheme val="minor"/>
      </rPr>
      <t>)</t>
    </r>
  </si>
  <si>
    <r>
      <t>Functional Unit Contention (</t>
    </r>
    <r>
      <rPr>
        <b/>
        <i/>
        <sz val="11"/>
        <color theme="1"/>
        <rFont val="Calibri"/>
        <family val="2"/>
        <scheme val="minor"/>
      </rPr>
      <t>Pipelined</t>
    </r>
    <r>
      <rPr>
        <sz val="11"/>
        <color theme="1"/>
        <rFont val="Calibri"/>
        <family val="2"/>
        <scheme val="minor"/>
      </rPr>
      <t>)</t>
    </r>
  </si>
  <si>
    <r>
      <t>Execution time (</t>
    </r>
    <r>
      <rPr>
        <b/>
        <i/>
        <sz val="11"/>
        <color theme="1"/>
        <rFont val="Calibri"/>
        <family val="2"/>
        <scheme val="minor"/>
      </rPr>
      <t>Non-Pipelined</t>
    </r>
    <r>
      <rPr>
        <sz val="11"/>
        <color theme="1"/>
        <rFont val="Calibri"/>
        <family val="2"/>
        <scheme val="minor"/>
      </rPr>
      <t>)</t>
    </r>
  </si>
  <si>
    <r>
      <t>Functional Unit Contention (</t>
    </r>
    <r>
      <rPr>
        <b/>
        <i/>
        <sz val="11"/>
        <color theme="1"/>
        <rFont val="Calibri"/>
        <family val="2"/>
        <scheme val="minor"/>
      </rPr>
      <t>Non-Pipelined</t>
    </r>
    <r>
      <rPr>
        <sz val="11"/>
        <color theme="1"/>
        <rFont val="Calibri"/>
        <family val="2"/>
        <scheme val="minor"/>
      </rPr>
      <t>)</t>
    </r>
  </si>
  <si>
    <t xml:space="preserve">Memory Level Paralellism (MLP) </t>
  </si>
  <si>
    <r>
      <t>No. of main memory accesses in the MSHR table ~ no. of parallel main memory accesses (</t>
    </r>
    <r>
      <rPr>
        <b/>
        <sz val="11"/>
        <color rgb="FF3F3F76"/>
        <rFont val="Gill Sans MT"/>
        <family val="2"/>
      </rPr>
      <t>DRAM</t>
    </r>
    <r>
      <rPr>
        <b/>
        <vertAlign val="subscript"/>
        <sz val="11"/>
        <color rgb="FF3F3F76"/>
        <rFont val="Gill Sans MT"/>
        <family val="2"/>
      </rPr>
      <t>MSHR</t>
    </r>
    <r>
      <rPr>
        <vertAlign val="subscript"/>
        <sz val="11"/>
        <color rgb="FF3F3F76"/>
        <rFont val="Gill Sans MT"/>
        <family val="2"/>
      </rPr>
      <t>)</t>
    </r>
  </si>
  <si>
    <r>
      <t>Number of main memory accesses that have to wait (</t>
    </r>
    <r>
      <rPr>
        <b/>
        <sz val="11"/>
        <color rgb="FF3F3F76"/>
        <rFont val="Gill Sans MT"/>
        <family val="2"/>
      </rPr>
      <t>DRAM</t>
    </r>
    <r>
      <rPr>
        <b/>
        <vertAlign val="subscript"/>
        <sz val="11"/>
        <color rgb="FF3F3F76"/>
        <rFont val="Gill Sans MT"/>
        <family val="2"/>
      </rPr>
      <t>wait</t>
    </r>
    <r>
      <rPr>
        <sz val="11"/>
        <color rgb="FF3F3F76"/>
        <rFont val="Gill Sans MT"/>
        <family val="2"/>
      </rPr>
      <t>)</t>
    </r>
  </si>
  <si>
    <r>
      <t>Main memory access latency (</t>
    </r>
    <r>
      <rPr>
        <b/>
        <sz val="11"/>
        <color rgb="FF3F3F76"/>
        <rFont val="Gill Sans MT"/>
        <family val="2"/>
      </rPr>
      <t>T</t>
    </r>
    <r>
      <rPr>
        <b/>
        <vertAlign val="subscript"/>
        <sz val="11"/>
        <color rgb="FF3F3F76"/>
        <rFont val="Gill Sans MT"/>
        <family val="2"/>
      </rPr>
      <t>DRAM</t>
    </r>
    <r>
      <rPr>
        <sz val="11"/>
        <color rgb="FF3F3F76"/>
        <rFont val="Gill Sans MT"/>
        <family val="2"/>
      </rPr>
      <t>)</t>
    </r>
  </si>
  <si>
    <r>
      <t xml:space="preserve">Average time before an MSHR slot becomes available ~ </t>
    </r>
    <r>
      <rPr>
        <i/>
        <sz val="11"/>
        <color rgb="FF3F3F76"/>
        <rFont val="Gill Sans MT"/>
        <family val="2"/>
      </rPr>
      <t>weighted average access latency across all allocated MSHR entries (</t>
    </r>
    <r>
      <rPr>
        <b/>
        <sz val="11"/>
        <color rgb="FF3F3F76"/>
        <rFont val="Gill Sans MT"/>
        <family val="2"/>
      </rPr>
      <t>T</t>
    </r>
    <r>
      <rPr>
        <b/>
        <vertAlign val="subscript"/>
        <sz val="11"/>
        <color rgb="FF3F3F76"/>
        <rFont val="Gill Sans MT"/>
        <family val="2"/>
      </rPr>
      <t>MSHR_free</t>
    </r>
    <r>
      <rPr>
        <sz val="11"/>
        <color rgb="FF3F3F76"/>
        <rFont val="Gill Sans MT"/>
        <family val="2"/>
      </rPr>
      <t>)</t>
    </r>
  </si>
  <si>
    <r>
      <t>(</t>
    </r>
    <r>
      <rPr>
        <i/>
        <sz val="11"/>
        <rFont val="Gill Sans MT"/>
        <family val="2"/>
      </rPr>
      <t>Main</t>
    </r>
    <r>
      <rPr>
        <sz val="11"/>
        <rFont val="Gill Sans MT"/>
        <family val="2"/>
      </rPr>
      <t>) Memory Level Parelellism (MLP)</t>
    </r>
  </si>
  <si>
    <t>Branch Miss-predictions (Mbrpred)</t>
  </si>
  <si>
    <t>Entropy</t>
  </si>
  <si>
    <t>Branch miss rate</t>
  </si>
  <si>
    <t>Avg. no. of insts. Between 2 branch misses</t>
  </si>
  <si>
    <t>No. of insts. in  ROB for branch miss</t>
  </si>
  <si>
    <t>Avg. dependence path legth for insts. in ROB during branch miss</t>
  </si>
  <si>
    <t>Average instruction latency</t>
  </si>
  <si>
    <t>estimate execution time in cycles</t>
  </si>
  <si>
    <t>component</t>
  </si>
  <si>
    <t>unit</t>
  </si>
  <si>
    <t>comment</t>
  </si>
  <si>
    <t>assumed compute style</t>
  </si>
  <si>
    <t>SIMT style</t>
  </si>
  <si>
    <t>divide afterwards by e.g. frequency</t>
  </si>
  <si>
    <t>in-order cores</t>
  </si>
  <si>
    <t>fine grained multithreading (or small scale coarse grained multithreading)</t>
  </si>
  <si>
    <t>vector processing units</t>
  </si>
  <si>
    <t>tensor processing units</t>
  </si>
  <si>
    <t>assumed compute hierarchy</t>
  </si>
  <si>
    <t>Core Frequency</t>
  </si>
  <si>
    <t>GHz</t>
  </si>
  <si>
    <t>Datacenter</t>
  </si>
  <si>
    <t>Pod</t>
  </si>
  <si>
    <t>BASE EXECUTION TIME</t>
  </si>
  <si>
    <t>cluster</t>
  </si>
  <si>
    <t>#GPU ops</t>
  </si>
  <si>
    <t>#</t>
  </si>
  <si>
    <t>#CPU ops</t>
  </si>
  <si>
    <t>rack</t>
  </si>
  <si>
    <t>#accelerators</t>
  </si>
  <si>
    <t>node</t>
  </si>
  <si>
    <t>#core clusters per accelerator</t>
  </si>
  <si>
    <t>accelerator</t>
  </si>
  <si>
    <t>#cores per core cluster</t>
  </si>
  <si>
    <t>core clusters</t>
  </si>
  <si>
    <t>dispatch width per core</t>
  </si>
  <si>
    <t>cores</t>
  </si>
  <si>
    <t>ops/instruction (equivalent functional unit width)</t>
  </si>
  <si>
    <t>functional units</t>
  </si>
  <si>
    <t>assumed mem hierarchy</t>
  </si>
  <si>
    <t>instruction latency (non-pipelined)</t>
  </si>
  <si>
    <t>cycles</t>
  </si>
  <si>
    <t>registers</t>
  </si>
  <si>
    <t>instruction latency (pipelined)</t>
  </si>
  <si>
    <t>L1/shared mem</t>
  </si>
  <si>
    <t>#functional units per core</t>
  </si>
  <si>
    <t>L2</t>
  </si>
  <si>
    <t>L3</t>
  </si>
  <si>
    <t>total cycles for base component (~peak compute)</t>
  </si>
  <si>
    <t>accelerator memory</t>
  </si>
  <si>
    <t>execution time</t>
  </si>
  <si>
    <t>MAX(GPU, CPU)</t>
  </si>
  <si>
    <t>remote accelerator memory same node</t>
  </si>
  <si>
    <t>host memory</t>
  </si>
  <si>
    <t>remote accelerator memory other node</t>
  </si>
  <si>
    <t>MISS EVENTS (to model)</t>
  </si>
  <si>
    <t>remote host memory</t>
  </si>
  <si>
    <t>local nvme storage</t>
  </si>
  <si>
    <t>Cpu model inspired</t>
  </si>
  <si>
    <t>instruction dependencies</t>
  </si>
  <si>
    <t>structural dependencies -&gt; contention</t>
  </si>
  <si>
    <t>remote nvme storage</t>
  </si>
  <si>
    <t>issue port contention</t>
  </si>
  <si>
    <t>data dependendies (RAW)</t>
  </si>
  <si>
    <t>functional unit contention</t>
  </si>
  <si>
    <t>control dependencies</t>
  </si>
  <si>
    <t>branch misses</t>
  </si>
  <si>
    <t>instruction cache misses</t>
  </si>
  <si>
    <t>low latency Data cache misses</t>
  </si>
  <si>
    <t>long latency data cache misses</t>
  </si>
  <si>
    <t>GPU model inspired</t>
  </si>
  <si>
    <t>non-overlapped instruction latency</t>
  </si>
  <si>
    <t>depending on scheduling policy (e.g. fine grained multithreading, coarsegrained, ...)</t>
  </si>
  <si>
    <t>MSHRs contention</t>
  </si>
  <si>
    <t>memory bandwidth contention</t>
  </si>
  <si>
    <t>Other</t>
  </si>
  <si>
    <t>cpu-to-accelerator launches</t>
  </si>
  <si>
    <t>remote mem access</t>
  </si>
  <si>
    <t>Synchronisation between cores</t>
  </si>
  <si>
    <t>resources to check</t>
  </si>
  <si>
    <t>multicore interval model paper (RPPM)</t>
  </si>
  <si>
    <t>in-order CPU core interval modeling paper</t>
  </si>
  <si>
    <t>Questions</t>
  </si>
  <si>
    <t>Include pipelined/non-pipelined functional units for different instructions in the peak compute (effective dispatch)</t>
  </si>
  <si>
    <t>ease of use extensions:</t>
  </si>
  <si>
    <t>Include Amdahls law as caclualted summary of miss events related to non-perfect parallellism, and include Amdahls law as knob to play with and find maximum even if not realizable</t>
  </si>
  <si>
    <t>capture working set as calculated summary of memory miss events as well as high level knob to play with if you dont want to go and calculate (working set per time window)</t>
  </si>
  <si>
    <t>E</t>
  </si>
  <si>
    <r>
      <t>from zero paper =[ (wt_prec+grad_prec+K)*</t>
    </r>
    <r>
      <rPr>
        <sz val="11"/>
        <rFont val="Gill Sans MT"/>
        <family val="2"/>
      </rPr>
      <t>¥</t>
    </r>
    <r>
      <rPr>
        <sz val="11"/>
        <color rgb="FF0070C0"/>
        <rFont val="Gill Sans MT"/>
        <family val="2"/>
      </rPr>
      <t xml:space="preserve"> +  b x Layers x Act_prec</t>
    </r>
    <r>
      <rPr>
        <sz val="11"/>
        <rFont val="Gill Sans MT"/>
        <family val="2"/>
      </rPr>
      <t xml:space="preserve"> ]/(8*N_DP*N_PP*N_TP)</t>
    </r>
    <r>
      <rPr>
        <sz val="11"/>
        <color rgb="FFFF0000"/>
        <rFont val="Gill Sans MT"/>
        <family val="2"/>
      </rPr>
      <t xml:space="preserve"> + ub*act_prec</t>
    </r>
    <r>
      <rPr>
        <sz val="11"/>
        <rFont val="Gill Sans MT"/>
        <family val="2"/>
      </rPr>
      <t>,  here 8 is used to convert to bytes, FOR mOe</t>
    </r>
  </si>
  <si>
    <t>efficiency fitted formula</t>
  </si>
  <si>
    <t>DP_inter</t>
  </si>
  <si>
    <t>DP_intra</t>
  </si>
  <si>
    <t>TP_iner</t>
  </si>
  <si>
    <t>TP_intra</t>
  </si>
  <si>
    <t>PP_inter</t>
  </si>
  <si>
    <t>PP_intra</t>
  </si>
  <si>
    <t>T_exec</t>
  </si>
  <si>
    <t>#tot_acc</t>
  </si>
  <si>
    <t>DP</t>
  </si>
  <si>
    <t>TP</t>
  </si>
  <si>
    <t>PP</t>
  </si>
  <si>
    <t>ntokens in vocabulary</t>
  </si>
  <si>
    <t>embedding layer parameters</t>
  </si>
  <si>
    <t>Total number of parameters without embedding</t>
  </si>
  <si>
    <t>40.00E+9</t>
  </si>
  <si>
    <t>1</t>
  </si>
  <si>
    <t>GPT-custom</t>
  </si>
  <si>
    <t>28782</t>
  </si>
  <si>
    <t>512</t>
  </si>
  <si>
    <t>8</t>
  </si>
  <si>
    <t>Decoder MACs</t>
  </si>
  <si>
    <t>Decoder NMACs</t>
  </si>
  <si>
    <t>Corrected Total no of Parametrrs (+ Decoder)</t>
  </si>
  <si>
    <t>Decoder FLAG</t>
  </si>
  <si>
    <t>min-GPT</t>
  </si>
  <si>
    <t>P100 PCIe</t>
  </si>
  <si>
    <t>TSMC 16nm</t>
  </si>
  <si>
    <t>P100 SXM</t>
  </si>
  <si>
    <t>Required memory per accelerator due to activations (in GB)</t>
  </si>
  <si>
    <t>Required memory per accelerator due to weights (in GB)</t>
  </si>
  <si>
    <t>Total memory required per accelerator in GB</t>
  </si>
  <si>
    <t>Min memory required per accelerator in GB</t>
  </si>
  <si>
    <t>Infiniband HDR 8 links</t>
  </si>
  <si>
    <t>Tech</t>
  </si>
  <si>
    <t>Bandwidth bps</t>
  </si>
  <si>
    <t>Infiniband HDR 4 links</t>
  </si>
  <si>
    <t>PCIe4_x4</t>
  </si>
  <si>
    <t>PCIe4_x8</t>
  </si>
  <si>
    <t>PCIe4_x16</t>
  </si>
  <si>
    <t>PCIe5_x4</t>
  </si>
  <si>
    <t>PCIe5_x8</t>
  </si>
  <si>
    <t>PCIe5_x16</t>
  </si>
  <si>
    <t>NVLink_Gen2</t>
  </si>
  <si>
    <t>NVLink_Gen3</t>
  </si>
  <si>
    <t>NVLink_Gen4</t>
  </si>
  <si>
    <t>RoCE</t>
  </si>
  <si>
    <t>Optical OIO 25Tx1</t>
  </si>
  <si>
    <t>Optical OIO 25Tx2</t>
  </si>
  <si>
    <t>Optical OIO 25Tx4</t>
  </si>
  <si>
    <t>Optical OIO 25Tx8</t>
  </si>
  <si>
    <t>Optical OIO 25Tx16</t>
  </si>
  <si>
    <t>Optical OIO 25Tx32</t>
  </si>
  <si>
    <t>Compute cost FP16</t>
  </si>
  <si>
    <t>NV-NV</t>
  </si>
  <si>
    <t>NV-Infini</t>
  </si>
  <si>
    <t>Infini-Infini</t>
  </si>
  <si>
    <t>For 32 Nodes</t>
  </si>
  <si>
    <t>Optical-NV</t>
  </si>
  <si>
    <t>NV-Optical</t>
  </si>
  <si>
    <t>Optical-Optical</t>
  </si>
  <si>
    <t>Optical OIO Taper-5</t>
  </si>
  <si>
    <t>Intra</t>
  </si>
  <si>
    <t>Inter</t>
  </si>
  <si>
    <t>Forward pass (Bits)</t>
  </si>
  <si>
    <t>Backward pass (Bits)</t>
  </si>
  <si>
    <t>Model Memory for inference (GB)</t>
  </si>
  <si>
    <t>Memory per Acc (GB)</t>
  </si>
  <si>
    <t>Min acc required for inference</t>
  </si>
  <si>
    <t>Min acc required for training</t>
  </si>
  <si>
    <t>Model memory for Training (GB)</t>
  </si>
  <si>
    <t>1T</t>
  </si>
  <si>
    <t>2T</t>
  </si>
  <si>
    <t>4T</t>
  </si>
  <si>
    <t>7T</t>
  </si>
  <si>
    <t>11T</t>
  </si>
  <si>
    <t>18T</t>
  </si>
  <si>
    <t>26T</t>
  </si>
  <si>
    <t>37T</t>
  </si>
  <si>
    <t>53T</t>
  </si>
  <si>
    <t>72T</t>
  </si>
  <si>
    <t>96T</t>
  </si>
  <si>
    <t>128T</t>
  </si>
  <si>
    <t>192</t>
  </si>
  <si>
    <t>204.8</t>
  </si>
  <si>
    <t>213.3</t>
  </si>
  <si>
    <t>224</t>
  </si>
  <si>
    <t>236</t>
  </si>
  <si>
    <t>245</t>
  </si>
  <si>
    <t>256</t>
  </si>
  <si>
    <t>267.6</t>
  </si>
  <si>
    <t>277.3</t>
  </si>
  <si>
    <t>288</t>
  </si>
  <si>
    <t>299.4</t>
  </si>
  <si>
    <t>309.3</t>
  </si>
  <si>
    <t>Aspect Ratio</t>
  </si>
  <si>
    <t>24,576</t>
  </si>
  <si>
    <t>128</t>
  </si>
  <si>
    <t>32,768</t>
  </si>
  <si>
    <t>205</t>
  </si>
  <si>
    <t>160</t>
  </si>
  <si>
    <t>40,960</t>
  </si>
  <si>
    <t>213</t>
  </si>
  <si>
    <t>50,176</t>
  </si>
  <si>
    <t>60,416</t>
  </si>
  <si>
    <t>70,656</t>
  </si>
  <si>
    <t>81,920</t>
  </si>
  <si>
    <t>320</t>
  </si>
  <si>
    <t>94,208</t>
  </si>
  <si>
    <t>268</t>
  </si>
  <si>
    <t>352</t>
  </si>
  <si>
    <t>106,496</t>
  </si>
  <si>
    <t>277</t>
  </si>
  <si>
    <t>384</t>
  </si>
  <si>
    <t>119,808</t>
  </si>
  <si>
    <t>416</t>
  </si>
  <si>
    <t>134,144</t>
  </si>
  <si>
    <t>299</t>
  </si>
  <si>
    <t>448</t>
  </si>
  <si>
    <t>148,480</t>
  </si>
  <si>
    <t>309</t>
  </si>
  <si>
    <t>480</t>
  </si>
  <si>
    <t>Blocks</t>
  </si>
  <si>
    <t>Attention size</t>
  </si>
  <si>
    <t>Hidden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</si>
</sst>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E+0"/>
  </numFmts>
  <fonts count="66" x14ac:knownFonts="1">
    <font>
      <sz val="11"/>
      <color theme="1"/>
      <name val="Calibri"/>
      <family val="2"/>
      <scheme val="minor"/>
    </font>
    <font>
      <sz val="11"/>
      <color theme="1"/>
      <name val="Gill Sans MT"/>
      <family val="2"/>
    </font>
    <font>
      <sz val="11"/>
      <color theme="1"/>
      <name val="Gill Sans MT"/>
      <family val="2"/>
    </font>
    <font>
      <sz val="11"/>
      <color rgb="FF3F3F76"/>
      <name val="Gill Sans MT"/>
      <family val="2"/>
    </font>
    <font>
      <b/>
      <sz val="20"/>
      <color theme="1"/>
      <name val="Calibri"/>
      <family val="2"/>
      <scheme val="minor"/>
    </font>
    <font>
      <sz val="11"/>
      <color theme="1"/>
      <name val="Calibri"/>
      <family val="2"/>
      <scheme val="minor"/>
    </font>
    <font>
      <b/>
      <sz val="11"/>
      <color rgb="FFFA7D00"/>
      <name val="Gill Sans MT"/>
      <family val="2"/>
    </font>
    <font>
      <b/>
      <sz val="11"/>
      <color theme="1"/>
      <name val="Gill Sans MT"/>
      <family val="2"/>
    </font>
    <font>
      <sz val="11"/>
      <color theme="0"/>
      <name val="Gill Sans MT"/>
      <family val="2"/>
    </font>
    <font>
      <sz val="20"/>
      <color theme="0"/>
      <name val="Gill Sans MT"/>
      <family val="2"/>
    </font>
    <font>
      <b/>
      <sz val="11"/>
      <color rgb="FF3F3F76"/>
      <name val="Gill Sans MT"/>
      <family val="2"/>
    </font>
    <font>
      <b/>
      <vertAlign val="subscript"/>
      <sz val="11"/>
      <color rgb="FF3F3F76"/>
      <name val="Gill Sans MT"/>
      <family val="2"/>
    </font>
    <font>
      <i/>
      <sz val="11"/>
      <color rgb="FF3F3F76"/>
      <name val="Gill Sans MT"/>
      <family val="2"/>
    </font>
    <font>
      <vertAlign val="subscript"/>
      <sz val="11"/>
      <color rgb="FF3F3F76"/>
      <name val="Gill Sans MT"/>
      <family val="2"/>
    </font>
    <font>
      <b/>
      <i/>
      <sz val="11"/>
      <color rgb="FF3F3F76"/>
      <name val="Gill Sans MT"/>
      <family val="2"/>
    </font>
    <font>
      <sz val="11"/>
      <name val="Gill Sans MT"/>
      <family val="2"/>
    </font>
    <font>
      <b/>
      <sz val="11"/>
      <color rgb="FF3F3F3F"/>
      <name val="Gill Sans MT"/>
      <family val="2"/>
    </font>
    <font>
      <b/>
      <sz val="11"/>
      <color theme="1"/>
      <name val="Calibri"/>
      <family val="2"/>
      <scheme val="minor"/>
    </font>
    <font>
      <sz val="11"/>
      <color theme="0" tint="-0.499984740745262"/>
      <name val="Calibri"/>
      <family val="2"/>
      <scheme val="minor"/>
    </font>
    <font>
      <sz val="11"/>
      <color rgb="FFFF0000"/>
      <name val="Calibri"/>
      <family val="2"/>
      <scheme val="minor"/>
    </font>
    <font>
      <sz val="11"/>
      <color theme="9"/>
      <name val="Calibri"/>
      <family val="2"/>
      <scheme val="minor"/>
    </font>
    <font>
      <sz val="20"/>
      <color theme="0"/>
      <name val="Gill Sans MT"/>
      <family val="2"/>
    </font>
    <font>
      <sz val="11"/>
      <color theme="0"/>
      <name val="Calibri"/>
      <family val="2"/>
      <scheme val="minor"/>
    </font>
    <font>
      <sz val="11"/>
      <color rgb="FF92D050"/>
      <name val="Calibri"/>
      <family val="2"/>
      <scheme val="minor"/>
    </font>
    <font>
      <sz val="12"/>
      <color theme="1"/>
      <name val="Calibri"/>
      <family val="2"/>
      <scheme val="minor"/>
    </font>
    <font>
      <sz val="20"/>
      <name val="Gill Sans MT"/>
      <family val="2"/>
    </font>
    <font>
      <sz val="20"/>
      <name val="Gill Sans MT"/>
      <family val="2"/>
    </font>
    <font>
      <b/>
      <sz val="11"/>
      <name val="Gill Sans MT"/>
      <family val="2"/>
    </font>
    <font>
      <sz val="11"/>
      <name val="Calibri"/>
      <family val="2"/>
      <scheme val="minor"/>
    </font>
    <font>
      <sz val="11"/>
      <color rgb="FFFFCC99"/>
      <name val="Gill Sans MT"/>
      <family val="2"/>
    </font>
    <font>
      <i/>
      <vertAlign val="subscript"/>
      <sz val="11"/>
      <color rgb="FF3F3F76"/>
      <name val="Gill Sans MT"/>
      <family val="2"/>
    </font>
    <font>
      <b/>
      <i/>
      <vertAlign val="subscript"/>
      <sz val="11"/>
      <color rgb="FF3F3F76"/>
      <name val="Gill Sans MT"/>
      <family val="2"/>
    </font>
    <font>
      <b/>
      <i/>
      <sz val="11"/>
      <color theme="1"/>
      <name val="Calibri"/>
      <family val="2"/>
      <scheme val="minor"/>
    </font>
    <font>
      <b/>
      <i/>
      <sz val="11"/>
      <color theme="1"/>
      <name val="Gill Sans MT"/>
      <family val="2"/>
    </font>
    <font>
      <b/>
      <i/>
      <vertAlign val="subscript"/>
      <sz val="11"/>
      <color theme="1"/>
      <name val="Gill Sans MT"/>
      <family val="2"/>
    </font>
    <font>
      <i/>
      <sz val="11"/>
      <name val="Gill Sans MT"/>
      <family val="2"/>
    </font>
    <font>
      <b/>
      <sz val="11"/>
      <color rgb="FFFF0000"/>
      <name val="Calibri"/>
      <family val="2"/>
      <scheme val="minor"/>
    </font>
    <font>
      <b/>
      <sz val="16"/>
      <color rgb="FFFF0000"/>
      <name val="Calibri"/>
      <family val="2"/>
      <scheme val="minor"/>
    </font>
    <font>
      <u/>
      <sz val="11"/>
      <color theme="10"/>
      <name val="Calibri"/>
      <family val="2"/>
      <scheme val="minor"/>
    </font>
    <font>
      <sz val="14"/>
      <color rgb="FF000000"/>
      <name val="Calibri"/>
      <family val="2"/>
      <scheme val="minor"/>
    </font>
    <font>
      <sz val="11"/>
      <color rgb="FFFF0000"/>
      <name val="Gill Sans MT"/>
      <family val="2"/>
    </font>
    <font>
      <b/>
      <sz val="11"/>
      <color theme="0"/>
      <name val="Calibri"/>
      <family val="2"/>
      <scheme val="minor"/>
    </font>
    <font>
      <sz val="16"/>
      <color rgb="FF3F3F76"/>
      <name val="Gill Sans MT"/>
      <family val="2"/>
    </font>
    <font>
      <sz val="16"/>
      <color theme="0"/>
      <name val="Gill Sans MT"/>
      <family val="2"/>
    </font>
    <font>
      <sz val="16"/>
      <color rgb="FFFF0000"/>
      <name val="Calibri"/>
      <family val="2"/>
      <scheme val="minor"/>
    </font>
    <font>
      <sz val="16"/>
      <color theme="0"/>
      <name val="Gill Sans MT"/>
      <family val="2"/>
    </font>
    <font>
      <b/>
      <sz val="11"/>
      <color rgb="FF3F3F3F"/>
      <name val="Gill Sans MT"/>
      <family val="2"/>
    </font>
    <font>
      <b/>
      <i/>
      <sz val="11"/>
      <color rgb="FFFF0000"/>
      <name val="Calibri"/>
      <family val="2"/>
      <scheme val="minor"/>
    </font>
    <font>
      <b/>
      <sz val="9"/>
      <color indexed="81"/>
      <name val="Tahoma"/>
      <family val="2"/>
    </font>
    <font>
      <sz val="9"/>
      <color indexed="81"/>
      <name val="Tahoma"/>
      <family val="2"/>
    </font>
    <font>
      <b/>
      <i/>
      <sz val="11"/>
      <color rgb="FF339966"/>
      <name val="Calibri"/>
      <family val="2"/>
      <scheme val="minor"/>
    </font>
    <font>
      <sz val="11"/>
      <color rgb="FF31CC00"/>
      <name val="Calibri"/>
      <family val="2"/>
      <scheme val="minor"/>
    </font>
    <font>
      <sz val="11"/>
      <color rgb="FF0033CC"/>
      <name val="Calibri"/>
      <family val="2"/>
      <scheme val="minor"/>
    </font>
    <font>
      <b/>
      <sz val="11"/>
      <color rgb="FF0033CC"/>
      <name val="Calibri"/>
      <family val="2"/>
      <scheme val="minor"/>
    </font>
    <font>
      <sz val="18"/>
      <color theme="1"/>
      <name val="Calibri"/>
      <family val="2"/>
      <scheme val="minor"/>
    </font>
    <font>
      <b/>
      <sz val="18"/>
      <color theme="1"/>
      <name val="Calibri"/>
      <family val="2"/>
      <scheme val="minor"/>
    </font>
    <font>
      <sz val="16"/>
      <color theme="0" tint="-0.249977111117893"/>
      <name val="Gill Sans MT"/>
      <family val="2"/>
    </font>
    <font>
      <b/>
      <sz val="11"/>
      <color rgb="FF3F3F3F"/>
      <name val="Gill Sans MT"/>
      <family val="2"/>
    </font>
    <font>
      <sz val="11"/>
      <color theme="9" tint="0.39997558519241921"/>
      <name val="Calibri"/>
      <family val="2"/>
      <scheme val="minor"/>
    </font>
    <font>
      <sz val="11"/>
      <color theme="0"/>
      <name val="Gill Sans MT"/>
      <family val="2"/>
    </font>
    <font>
      <sz val="16"/>
      <color theme="0"/>
      <name val="Gill Sans MT"/>
      <family val="2"/>
    </font>
    <font>
      <sz val="11"/>
      <color rgb="FF3F3F76"/>
      <name val="Gill Sans MT"/>
      <family val="2"/>
    </font>
    <font>
      <b/>
      <sz val="11"/>
      <color rgb="FFFA7D00"/>
      <name val="Gill Sans MT"/>
      <family val="2"/>
    </font>
    <font>
      <b/>
      <sz val="11"/>
      <color theme="1"/>
      <name val="Gill Sans MT"/>
      <family val="2"/>
    </font>
    <font>
      <sz val="11"/>
      <color rgb="FF0070C0"/>
      <name val="Gill Sans MT"/>
      <family val="2"/>
    </font>
    <font>
      <sz val="8"/>
      <name val="Calibri"/>
      <family val="2"/>
      <scheme val="minor"/>
    </font>
  </fonts>
  <fills count="23">
    <fill>
      <patternFill patternType="none"/>
    </fill>
    <fill>
      <patternFill patternType="gray125"/>
    </fill>
    <fill>
      <patternFill patternType="solid">
        <fgColor rgb="FFFFCC99"/>
      </patternFill>
    </fill>
    <fill>
      <patternFill patternType="solid">
        <fgColor rgb="FFF2F2F2"/>
      </patternFill>
    </fill>
    <fill>
      <patternFill patternType="solid">
        <fgColor rgb="FFFFFFCC"/>
      </patternFill>
    </fill>
    <fill>
      <patternFill patternType="solid">
        <fgColor theme="8"/>
      </patternFill>
    </fill>
    <fill>
      <patternFill patternType="solid">
        <fgColor theme="0"/>
        <bgColor indexed="64"/>
      </patternFill>
    </fill>
    <fill>
      <patternFill patternType="solid">
        <fgColor rgb="FFFFCC99"/>
        <bgColor indexed="64"/>
      </patternFill>
    </fill>
    <fill>
      <patternFill patternType="solid">
        <fgColor theme="0" tint="-4.9989318521683403E-2"/>
        <bgColor indexed="64"/>
      </patternFill>
    </fill>
    <fill>
      <patternFill patternType="solid">
        <fgColor theme="9"/>
        <bgColor indexed="64"/>
      </patternFill>
    </fill>
    <fill>
      <patternFill patternType="solid">
        <fgColor theme="8"/>
        <bgColor indexed="64"/>
      </patternFill>
    </fill>
    <fill>
      <patternFill patternType="solid">
        <fgColor theme="1"/>
        <bgColor theme="1"/>
      </patternFill>
    </fill>
    <fill>
      <patternFill patternType="solid">
        <fgColor rgb="FFC00000"/>
        <bgColor indexed="64"/>
      </patternFill>
    </fill>
    <fill>
      <patternFill patternType="solid">
        <fgColor rgb="FF7030A0"/>
        <bgColor indexed="64"/>
      </patternFill>
    </fill>
    <fill>
      <patternFill patternType="solid">
        <fgColor rgb="FFFFC000"/>
        <bgColor indexed="64"/>
      </patternFill>
    </fill>
    <fill>
      <patternFill patternType="solid">
        <fgColor rgb="FF92D050"/>
        <bgColor indexed="64"/>
      </patternFill>
    </fill>
    <fill>
      <patternFill patternType="solid">
        <fgColor rgb="FF9900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2"/>
        <bgColor indexed="64"/>
      </patternFill>
    </fill>
    <fill>
      <patternFill patternType="solid">
        <fgColor rgb="FFF2F2F2"/>
        <bgColor indexed="64"/>
      </patternFill>
    </fill>
  </fills>
  <borders count="3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right/>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diagonal/>
    </border>
    <border>
      <left style="thin">
        <color rgb="FF7F7F7F"/>
      </left>
      <right style="thin">
        <color rgb="FF7F7F7F"/>
      </right>
      <top/>
      <bottom style="thin">
        <color rgb="FF7F7F7F"/>
      </bottom>
      <diagonal/>
    </border>
    <border>
      <left style="medium">
        <color indexed="64"/>
      </left>
      <right style="medium">
        <color indexed="64"/>
      </right>
      <top style="medium">
        <color indexed="64"/>
      </top>
      <bottom style="medium">
        <color indexed="64"/>
      </bottom>
      <diagonal/>
    </border>
    <border>
      <left style="thin">
        <color rgb="FF3F3F3F"/>
      </left>
      <right/>
      <top style="thin">
        <color rgb="FF3F3F3F"/>
      </top>
      <bottom style="thin">
        <color rgb="FF3F3F3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style="thin">
        <color theme="1"/>
      </bottom>
      <diagonal/>
    </border>
    <border>
      <left style="thin">
        <color rgb="FF7F7F7F"/>
      </left>
      <right/>
      <top/>
      <bottom/>
      <diagonal/>
    </border>
    <border>
      <left/>
      <right style="medium">
        <color indexed="64"/>
      </right>
      <top style="medium">
        <color indexed="64"/>
      </top>
      <bottom style="medium">
        <color indexed="64"/>
      </bottom>
      <diagonal/>
    </border>
    <border>
      <left style="thin">
        <color theme="1"/>
      </left>
      <right/>
      <top/>
      <bottom/>
      <diagonal/>
    </border>
    <border>
      <left style="medium">
        <color theme="9"/>
      </left>
      <right style="medium">
        <color theme="9"/>
      </right>
      <top style="medium">
        <color theme="9"/>
      </top>
      <bottom style="medium">
        <color theme="9"/>
      </bottom>
      <diagonal/>
    </border>
    <border>
      <left style="thin">
        <color indexed="64"/>
      </left>
      <right style="thin">
        <color indexed="64"/>
      </right>
      <top style="thin">
        <color indexed="64"/>
      </top>
      <bottom/>
      <diagonal/>
    </border>
    <border>
      <left style="thin">
        <color rgb="FFB2B2B2"/>
      </left>
      <right style="thin">
        <color rgb="FFB2B2B2"/>
      </right>
      <top/>
      <bottom style="thin">
        <color rgb="FFB2B2B2"/>
      </bottom>
      <diagonal/>
    </border>
    <border>
      <left style="thick">
        <color theme="9"/>
      </left>
      <right style="thick">
        <color theme="9"/>
      </right>
      <top style="thick">
        <color theme="9"/>
      </top>
      <bottom style="thick">
        <color theme="9"/>
      </bottom>
      <diagonal/>
    </border>
    <border>
      <left/>
      <right style="thick">
        <color theme="9"/>
      </right>
      <top/>
      <bottom style="thin">
        <color rgb="FFB2B2B2"/>
      </bottom>
      <diagonal/>
    </border>
    <border>
      <left/>
      <right style="thick">
        <color theme="9"/>
      </right>
      <top style="thick">
        <color theme="9"/>
      </top>
      <bottom style="thick">
        <color theme="9"/>
      </bottom>
      <diagonal/>
    </border>
    <border>
      <left/>
      <right style="medium">
        <color indexed="64"/>
      </right>
      <top/>
      <bottom/>
      <diagonal/>
    </border>
    <border>
      <left style="thin">
        <color theme="1"/>
      </left>
      <right/>
      <top style="double">
        <color theme="1"/>
      </top>
      <bottom style="thin">
        <color theme="1"/>
      </bottom>
      <diagonal/>
    </border>
  </borders>
  <cellStyleXfs count="10">
    <xf numFmtId="0" fontId="0" fillId="0" borderId="0"/>
    <xf numFmtId="0" fontId="3" fillId="2" borderId="1" applyNumberFormat="0" applyAlignment="0" applyProtection="0"/>
    <xf numFmtId="0" fontId="6" fillId="3" borderId="1" applyNumberFormat="0" applyAlignment="0" applyProtection="0"/>
    <xf numFmtId="0" fontId="5" fillId="4" borderId="4" applyNumberFormat="0" applyFont="0" applyAlignment="0" applyProtection="0"/>
    <xf numFmtId="0" fontId="7" fillId="0" borderId="5" applyNumberFormat="0" applyFill="0" applyAlignment="0" applyProtection="0"/>
    <xf numFmtId="0" fontId="8" fillId="5" borderId="0" applyNumberFormat="0" applyBorder="0" applyAlignment="0" applyProtection="0"/>
    <xf numFmtId="0" fontId="16" fillId="3" borderId="8" applyNumberFormat="0" applyAlignment="0" applyProtection="0"/>
    <xf numFmtId="9" fontId="5" fillId="0" borderId="0" applyFont="0" applyFill="0" applyBorder="0" applyAlignment="0" applyProtection="0"/>
    <xf numFmtId="0" fontId="38" fillId="0" borderId="0" applyNumberFormat="0" applyFill="0" applyBorder="0" applyAlignment="0" applyProtection="0"/>
    <xf numFmtId="0" fontId="5" fillId="0" borderId="0"/>
  </cellStyleXfs>
  <cellXfs count="208">
    <xf numFmtId="0" fontId="0" fillId="0" borderId="0" xfId="0"/>
    <xf numFmtId="0" fontId="4" fillId="0" borderId="2" xfId="0" applyFont="1" applyBorder="1"/>
    <xf numFmtId="0" fontId="0" fillId="0" borderId="3" xfId="0" applyBorder="1"/>
    <xf numFmtId="0" fontId="3" fillId="2" borderId="1" xfId="1"/>
    <xf numFmtId="0" fontId="0" fillId="0" borderId="0" xfId="0" applyAlignment="1">
      <alignment wrapText="1"/>
    </xf>
    <xf numFmtId="11" fontId="6" fillId="3" borderId="1" xfId="2" applyNumberFormat="1"/>
    <xf numFmtId="0" fontId="6" fillId="3" borderId="1" xfId="2"/>
    <xf numFmtId="0" fontId="6" fillId="3" borderId="1" xfId="2" applyAlignment="1">
      <alignment horizontal="center"/>
    </xf>
    <xf numFmtId="0" fontId="0" fillId="0" borderId="0" xfId="0" applyAlignment="1">
      <alignment vertical="center" wrapText="1"/>
    </xf>
    <xf numFmtId="0" fontId="15" fillId="4" borderId="4" xfId="3" applyFont="1"/>
    <xf numFmtId="0" fontId="3" fillId="4" borderId="4" xfId="3" applyFont="1" applyAlignment="1">
      <alignment horizontal="center" vertical="center" wrapText="1"/>
    </xf>
    <xf numFmtId="0" fontId="3" fillId="4" borderId="4" xfId="3" applyFont="1" applyAlignment="1">
      <alignment vertical="center" wrapText="1"/>
    </xf>
    <xf numFmtId="0" fontId="17" fillId="0" borderId="0" xfId="0" applyFont="1"/>
    <xf numFmtId="0" fontId="18" fillId="0" borderId="0" xfId="0" applyFont="1"/>
    <xf numFmtId="0" fontId="17" fillId="0" borderId="0" xfId="0" applyFont="1" applyAlignment="1">
      <alignment horizontal="left" indent="1"/>
    </xf>
    <xf numFmtId="11" fontId="3" fillId="2" borderId="10" xfId="1" applyNumberFormat="1" applyBorder="1"/>
    <xf numFmtId="11" fontId="3" fillId="2" borderId="1" xfId="1" applyNumberFormat="1"/>
    <xf numFmtId="11" fontId="16" fillId="3" borderId="8" xfId="6" applyNumberFormat="1"/>
    <xf numFmtId="11" fontId="0" fillId="0" borderId="0" xfId="0" applyNumberFormat="1"/>
    <xf numFmtId="11" fontId="0" fillId="0" borderId="0" xfId="0" applyNumberFormat="1" applyAlignment="1">
      <alignment vertical="center" wrapText="1"/>
    </xf>
    <xf numFmtId="11" fontId="0" fillId="0" borderId="3" xfId="0" applyNumberFormat="1" applyBorder="1"/>
    <xf numFmtId="11" fontId="9" fillId="5" borderId="6" xfId="5" applyNumberFormat="1" applyFont="1" applyBorder="1" applyAlignment="1">
      <alignment horizontal="left" vertical="center"/>
    </xf>
    <xf numFmtId="11" fontId="16" fillId="3" borderId="12" xfId="6" applyNumberFormat="1" applyBorder="1"/>
    <xf numFmtId="11" fontId="0" fillId="0" borderId="13" xfId="0" applyNumberFormat="1" applyBorder="1"/>
    <xf numFmtId="11" fontId="0" fillId="0" borderId="0" xfId="0" applyNumberFormat="1" applyAlignment="1">
      <alignment wrapText="1"/>
    </xf>
    <xf numFmtId="11" fontId="3" fillId="4" borderId="9" xfId="3" applyNumberFormat="1" applyFont="1" applyBorder="1" applyAlignment="1">
      <alignment horizontal="center" vertical="center" wrapText="1"/>
    </xf>
    <xf numFmtId="11" fontId="9" fillId="5" borderId="0" xfId="5" applyNumberFormat="1" applyFont="1" applyAlignment="1">
      <alignment vertical="center"/>
    </xf>
    <xf numFmtId="11" fontId="16" fillId="3" borderId="8" xfId="6" applyNumberFormat="1" applyAlignment="1">
      <alignment horizontal="center" wrapText="1"/>
    </xf>
    <xf numFmtId="11" fontId="3" fillId="4" borderId="4" xfId="3" applyNumberFormat="1" applyFont="1" applyAlignment="1">
      <alignment horizontal="center" vertical="center" wrapText="1"/>
    </xf>
    <xf numFmtId="11" fontId="3" fillId="4" borderId="4" xfId="3" applyNumberFormat="1" applyFont="1" applyAlignment="1">
      <alignment vertical="center" wrapText="1"/>
    </xf>
    <xf numFmtId="11" fontId="19" fillId="0" borderId="0" xfId="0" applyNumberFormat="1" applyFont="1"/>
    <xf numFmtId="11" fontId="21" fillId="5" borderId="0" xfId="5" applyNumberFormat="1" applyFont="1" applyAlignment="1">
      <alignment vertical="center"/>
    </xf>
    <xf numFmtId="11" fontId="9" fillId="5" borderId="0" xfId="5" applyNumberFormat="1" applyFont="1" applyAlignment="1">
      <alignment vertical="center" wrapText="1"/>
    </xf>
    <xf numFmtId="11" fontId="20" fillId="0" borderId="0" xfId="0" applyNumberFormat="1" applyFont="1"/>
    <xf numFmtId="2" fontId="6" fillId="3" borderId="1" xfId="2" applyNumberFormat="1"/>
    <xf numFmtId="0" fontId="3" fillId="2" borderId="1" xfId="1" applyNumberFormat="1"/>
    <xf numFmtId="2" fontId="0" fillId="0" borderId="15" xfId="0" applyNumberFormat="1" applyBorder="1"/>
    <xf numFmtId="2" fontId="0" fillId="0" borderId="14" xfId="0" applyNumberFormat="1" applyBorder="1"/>
    <xf numFmtId="0" fontId="6" fillId="3" borderId="1" xfId="2" applyNumberFormat="1"/>
    <xf numFmtId="11" fontId="17" fillId="0" borderId="0" xfId="0" applyNumberFormat="1" applyFont="1"/>
    <xf numFmtId="11" fontId="3" fillId="6" borderId="4" xfId="3" applyNumberFormat="1" applyFont="1" applyFill="1" applyAlignment="1">
      <alignment horizontal="center" vertical="center" wrapText="1"/>
    </xf>
    <xf numFmtId="11" fontId="22" fillId="0" borderId="3" xfId="0" applyNumberFormat="1" applyFont="1" applyBorder="1"/>
    <xf numFmtId="11" fontId="0" fillId="4" borderId="4" xfId="3" applyNumberFormat="1" applyFont="1" applyAlignment="1">
      <alignment wrapText="1"/>
    </xf>
    <xf numFmtId="11" fontId="23" fillId="0" borderId="0" xfId="0" applyNumberFormat="1" applyFont="1"/>
    <xf numFmtId="0" fontId="16" fillId="3" borderId="8" xfId="6" applyNumberFormat="1"/>
    <xf numFmtId="11" fontId="24" fillId="0" borderId="2" xfId="0" applyNumberFormat="1" applyFont="1" applyBorder="1"/>
    <xf numFmtId="11" fontId="25" fillId="5" borderId="0" xfId="5" applyNumberFormat="1" applyFont="1" applyAlignment="1">
      <alignment vertical="center"/>
    </xf>
    <xf numFmtId="11" fontId="26" fillId="5" borderId="0" xfId="5" applyNumberFormat="1" applyFont="1" applyAlignment="1">
      <alignment vertical="center"/>
    </xf>
    <xf numFmtId="11" fontId="27" fillId="3" borderId="8" xfId="6" applyNumberFormat="1" applyFont="1" applyAlignment="1">
      <alignment horizontal="center" wrapText="1"/>
    </xf>
    <xf numFmtId="11" fontId="27" fillId="3" borderId="8" xfId="6" applyNumberFormat="1" applyFont="1"/>
    <xf numFmtId="11" fontId="28" fillId="0" borderId="0" xfId="0" applyNumberFormat="1" applyFont="1"/>
    <xf numFmtId="11" fontId="28" fillId="0" borderId="0" xfId="0" applyNumberFormat="1" applyFont="1" applyAlignment="1">
      <alignment wrapText="1"/>
    </xf>
    <xf numFmtId="11" fontId="15" fillId="4" borderId="4" xfId="3" applyNumberFormat="1" applyFont="1" applyAlignment="1">
      <alignment horizontal="center" vertical="center" wrapText="1"/>
    </xf>
    <xf numFmtId="11" fontId="28" fillId="0" borderId="0" xfId="0" applyNumberFormat="1" applyFont="1" applyAlignment="1">
      <alignment vertical="center" wrapText="1"/>
    </xf>
    <xf numFmtId="11" fontId="15" fillId="2" borderId="1" xfId="1" applyNumberFormat="1" applyFont="1"/>
    <xf numFmtId="0" fontId="15" fillId="0" borderId="11" xfId="0" applyFont="1" applyBorder="1"/>
    <xf numFmtId="0" fontId="15" fillId="2" borderId="1" xfId="1" applyFont="1"/>
    <xf numFmtId="11" fontId="27" fillId="3" borderId="1" xfId="2" applyNumberFormat="1" applyFont="1"/>
    <xf numFmtId="11" fontId="29" fillId="7" borderId="16" xfId="1" applyNumberFormat="1" applyFont="1" applyFill="1" applyBorder="1"/>
    <xf numFmtId="0" fontId="3" fillId="7" borderId="10" xfId="1" applyNumberFormat="1" applyFill="1" applyBorder="1"/>
    <xf numFmtId="0" fontId="6" fillId="8" borderId="1" xfId="2" applyNumberFormat="1" applyFill="1"/>
    <xf numFmtId="0" fontId="0" fillId="4" borderId="4" xfId="3" applyFont="1" applyAlignment="1">
      <alignment wrapText="1"/>
    </xf>
    <xf numFmtId="11" fontId="19" fillId="6" borderId="0" xfId="0" applyNumberFormat="1" applyFont="1" applyFill="1"/>
    <xf numFmtId="11" fontId="9" fillId="6" borderId="0" xfId="5" applyNumberFormat="1" applyFont="1" applyFill="1" applyAlignment="1">
      <alignment vertical="center"/>
    </xf>
    <xf numFmtId="11" fontId="6" fillId="3" borderId="1" xfId="2" applyNumberFormat="1" applyAlignment="1">
      <alignment horizontal="center"/>
    </xf>
    <xf numFmtId="0" fontId="15" fillId="4" borderId="4" xfId="3" applyFont="1" applyAlignment="1">
      <alignment wrapText="1"/>
    </xf>
    <xf numFmtId="0" fontId="6" fillId="3" borderId="1" xfId="2" applyAlignment="1">
      <alignment wrapText="1"/>
    </xf>
    <xf numFmtId="11" fontId="6" fillId="3" borderId="1" xfId="2" applyNumberFormat="1" applyAlignment="1">
      <alignment wrapText="1"/>
    </xf>
    <xf numFmtId="0" fontId="15" fillId="4" borderId="4" xfId="3" applyFont="1" applyAlignment="1">
      <alignment vertical="center" wrapText="1"/>
    </xf>
    <xf numFmtId="11" fontId="36" fillId="0" borderId="0" xfId="0" applyNumberFormat="1" applyFont="1"/>
    <xf numFmtId="11" fontId="37" fillId="0" borderId="0" xfId="0" applyNumberFormat="1" applyFont="1" applyAlignment="1">
      <alignment wrapText="1"/>
    </xf>
    <xf numFmtId="0" fontId="0" fillId="0" borderId="0" xfId="0" applyAlignment="1">
      <alignment horizontal="center"/>
    </xf>
    <xf numFmtId="0" fontId="38" fillId="0" borderId="0" xfId="8"/>
    <xf numFmtId="0" fontId="16" fillId="3" borderId="8" xfId="6"/>
    <xf numFmtId="164" fontId="3" fillId="2" borderId="1" xfId="1" applyNumberFormat="1"/>
    <xf numFmtId="164" fontId="16" fillId="3" borderId="8" xfId="7" applyNumberFormat="1" applyFont="1" applyFill="1" applyBorder="1"/>
    <xf numFmtId="164" fontId="0" fillId="0" borderId="0" xfId="0" applyNumberFormat="1"/>
    <xf numFmtId="0" fontId="3" fillId="2" borderId="16" xfId="1" applyBorder="1"/>
    <xf numFmtId="0" fontId="3" fillId="2" borderId="16" xfId="1" applyNumberFormat="1" applyBorder="1"/>
    <xf numFmtId="0" fontId="3" fillId="2" borderId="0" xfId="1" applyNumberFormat="1" applyBorder="1"/>
    <xf numFmtId="0" fontId="3" fillId="2" borderId="0" xfId="1" applyBorder="1"/>
    <xf numFmtId="0" fontId="17" fillId="0" borderId="18" xfId="0" applyFont="1" applyBorder="1"/>
    <xf numFmtId="11" fontId="0" fillId="0" borderId="0" xfId="0" applyNumberFormat="1" applyAlignment="1">
      <alignment horizontal="center"/>
    </xf>
    <xf numFmtId="11" fontId="19" fillId="0" borderId="0" xfId="0" applyNumberFormat="1" applyFont="1" applyAlignment="1">
      <alignment horizontal="center"/>
    </xf>
    <xf numFmtId="11" fontId="0" fillId="6" borderId="0" xfId="0" applyNumberFormat="1" applyFill="1" applyAlignment="1">
      <alignment vertical="center" wrapText="1"/>
    </xf>
    <xf numFmtId="11" fontId="0" fillId="6" borderId="0" xfId="0" applyNumberFormat="1" applyFill="1"/>
    <xf numFmtId="11" fontId="3" fillId="6" borderId="4" xfId="3" applyNumberFormat="1" applyFont="1" applyFill="1" applyAlignment="1">
      <alignment vertical="center" wrapText="1"/>
    </xf>
    <xf numFmtId="0" fontId="6" fillId="3" borderId="16" xfId="2" applyNumberFormat="1" applyBorder="1"/>
    <xf numFmtId="11" fontId="6" fillId="3" borderId="16" xfId="2" applyNumberFormat="1" applyBorder="1"/>
    <xf numFmtId="11" fontId="0" fillId="0" borderId="17" xfId="0" applyNumberFormat="1" applyBorder="1"/>
    <xf numFmtId="11" fontId="22" fillId="0" borderId="17" xfId="0" applyNumberFormat="1" applyFont="1" applyBorder="1"/>
    <xf numFmtId="0" fontId="39" fillId="0" borderId="0" xfId="0" applyFont="1"/>
    <xf numFmtId="10" fontId="3" fillId="2" borderId="1" xfId="1" applyNumberFormat="1"/>
    <xf numFmtId="10" fontId="6" fillId="3" borderId="1" xfId="2" applyNumberFormat="1"/>
    <xf numFmtId="0" fontId="20" fillId="0" borderId="0" xfId="0" applyFont="1"/>
    <xf numFmtId="11" fontId="40" fillId="4" borderId="4" xfId="3" applyNumberFormat="1" applyFont="1" applyAlignment="1">
      <alignment vertical="center" wrapText="1"/>
    </xf>
    <xf numFmtId="11" fontId="15" fillId="4" borderId="4" xfId="3" applyNumberFormat="1" applyFont="1" applyAlignment="1">
      <alignment vertical="center" wrapText="1"/>
    </xf>
    <xf numFmtId="0" fontId="6" fillId="8" borderId="1" xfId="2" applyFill="1"/>
    <xf numFmtId="9" fontId="3" fillId="2" borderId="1" xfId="7" applyFont="1" applyFill="1" applyBorder="1"/>
    <xf numFmtId="9" fontId="6" fillId="3" borderId="1" xfId="7" applyFont="1" applyFill="1" applyBorder="1"/>
    <xf numFmtId="10" fontId="16" fillId="3" borderId="8" xfId="6" applyNumberFormat="1"/>
    <xf numFmtId="11" fontId="3" fillId="6" borderId="1" xfId="1" applyNumberFormat="1" applyFill="1"/>
    <xf numFmtId="11" fontId="6" fillId="6" borderId="1" xfId="2" applyNumberFormat="1" applyFill="1"/>
    <xf numFmtId="0" fontId="19" fillId="0" borderId="0" xfId="0" applyFont="1"/>
    <xf numFmtId="9" fontId="0" fillId="0" borderId="0" xfId="7" applyFont="1"/>
    <xf numFmtId="12" fontId="0" fillId="0" borderId="0" xfId="0" applyNumberFormat="1"/>
    <xf numFmtId="9" fontId="16" fillId="3" borderId="8" xfId="6" applyNumberFormat="1"/>
    <xf numFmtId="11" fontId="43" fillId="9" borderId="0" xfId="5" applyNumberFormat="1" applyFont="1" applyFill="1" applyAlignment="1">
      <alignment vertical="center" wrapText="1"/>
    </xf>
    <xf numFmtId="11" fontId="43" fillId="9" borderId="0" xfId="5" applyNumberFormat="1" applyFont="1" applyFill="1" applyAlignment="1">
      <alignment vertical="center"/>
    </xf>
    <xf numFmtId="11" fontId="43" fillId="5" borderId="6" xfId="5" applyNumberFormat="1" applyFont="1" applyBorder="1" applyAlignment="1">
      <alignment horizontal="left" vertical="center"/>
    </xf>
    <xf numFmtId="11" fontId="43" fillId="5" borderId="0" xfId="5" applyNumberFormat="1" applyFont="1" applyAlignment="1">
      <alignment vertical="center"/>
    </xf>
    <xf numFmtId="11" fontId="43" fillId="5" borderId="0" xfId="5" applyNumberFormat="1" applyFont="1" applyAlignment="1">
      <alignment vertical="center" wrapText="1"/>
    </xf>
    <xf numFmtId="11" fontId="43" fillId="10" borderId="0" xfId="5" applyNumberFormat="1" applyFont="1" applyFill="1" applyAlignment="1">
      <alignment vertical="center" wrapText="1"/>
    </xf>
    <xf numFmtId="11" fontId="43" fillId="10" borderId="0" xfId="5" applyNumberFormat="1" applyFont="1" applyFill="1" applyAlignment="1">
      <alignment vertical="center"/>
    </xf>
    <xf numFmtId="11" fontId="44" fillId="6" borderId="0" xfId="0" applyNumberFormat="1" applyFont="1" applyFill="1"/>
    <xf numFmtId="11" fontId="43" fillId="6" borderId="0" xfId="5" applyNumberFormat="1" applyFont="1" applyFill="1" applyAlignment="1">
      <alignment vertical="center"/>
    </xf>
    <xf numFmtId="11" fontId="22" fillId="12" borderId="20" xfId="0" applyNumberFormat="1" applyFont="1" applyFill="1" applyBorder="1"/>
    <xf numFmtId="0" fontId="0" fillId="0" borderId="0" xfId="7" applyNumberFormat="1" applyFont="1"/>
    <xf numFmtId="0" fontId="41" fillId="11" borderId="21" xfId="0" applyFont="1" applyFill="1" applyBorder="1"/>
    <xf numFmtId="0" fontId="41" fillId="11" borderId="0" xfId="0" applyFont="1" applyFill="1"/>
    <xf numFmtId="11" fontId="0" fillId="0" borderId="23" xfId="0" applyNumberFormat="1" applyBorder="1"/>
    <xf numFmtId="11" fontId="3" fillId="4" borderId="24" xfId="3" applyNumberFormat="1" applyFont="1" applyBorder="1" applyAlignment="1">
      <alignment horizontal="center" vertical="center" wrapText="1"/>
    </xf>
    <xf numFmtId="11" fontId="43" fillId="9" borderId="26" xfId="5" applyNumberFormat="1" applyFont="1" applyFill="1" applyBorder="1" applyAlignment="1">
      <alignment vertical="center"/>
    </xf>
    <xf numFmtId="11" fontId="43" fillId="9" borderId="27" xfId="5" applyNumberFormat="1" applyFont="1" applyFill="1" applyBorder="1" applyAlignment="1">
      <alignment vertical="center"/>
    </xf>
    <xf numFmtId="11" fontId="28" fillId="0" borderId="17" xfId="0" applyNumberFormat="1" applyFont="1" applyBorder="1"/>
    <xf numFmtId="11" fontId="43" fillId="13" borderId="0" xfId="5" applyNumberFormat="1" applyFont="1" applyFill="1" applyAlignment="1">
      <alignment vertical="center"/>
    </xf>
    <xf numFmtId="11" fontId="0" fillId="4" borderId="4" xfId="3" applyNumberFormat="1" applyFont="1" applyAlignment="1">
      <alignment horizontal="center" wrapText="1"/>
    </xf>
    <xf numFmtId="9" fontId="6" fillId="3" borderId="1" xfId="2" applyNumberFormat="1"/>
    <xf numFmtId="9" fontId="16" fillId="3" borderId="8" xfId="7" applyFont="1" applyFill="1" applyBorder="1"/>
    <xf numFmtId="0" fontId="0" fillId="0" borderId="0" xfId="0" applyAlignment="1">
      <alignment horizontal="right"/>
    </xf>
    <xf numFmtId="11" fontId="3" fillId="2" borderId="22" xfId="1" applyNumberFormat="1" applyBorder="1" applyAlignment="1">
      <alignment horizontal="center" vertical="center" wrapText="1"/>
    </xf>
    <xf numFmtId="11" fontId="42" fillId="2" borderId="25" xfId="1" applyNumberFormat="1" applyFont="1" applyBorder="1" applyAlignment="1">
      <alignment horizontal="center" vertical="center" wrapText="1"/>
    </xf>
    <xf numFmtId="11" fontId="45" fillId="13" borderId="0" xfId="5" applyNumberFormat="1" applyFont="1" applyFill="1" applyAlignment="1">
      <alignment vertical="center"/>
    </xf>
    <xf numFmtId="11" fontId="46" fillId="3" borderId="8" xfId="6" applyNumberFormat="1" applyFont="1"/>
    <xf numFmtId="11" fontId="45" fillId="5" borderId="6" xfId="5" applyNumberFormat="1" applyFont="1" applyBorder="1" applyAlignment="1">
      <alignment horizontal="left" vertical="center"/>
    </xf>
    <xf numFmtId="0" fontId="0" fillId="0" borderId="28" xfId="0" applyBorder="1"/>
    <xf numFmtId="0" fontId="36" fillId="0" borderId="0" xfId="0" applyFont="1"/>
    <xf numFmtId="0" fontId="50" fillId="0" borderId="0" xfId="0" applyFont="1"/>
    <xf numFmtId="11" fontId="51" fillId="0" borderId="0" xfId="0" applyNumberFormat="1" applyFont="1"/>
    <xf numFmtId="11" fontId="52" fillId="0" borderId="0" xfId="0" applyNumberFormat="1" applyFont="1"/>
    <xf numFmtId="11" fontId="43" fillId="14" borderId="0" xfId="5" applyNumberFormat="1" applyFont="1" applyFill="1" applyAlignment="1">
      <alignment vertical="center"/>
    </xf>
    <xf numFmtId="0" fontId="53" fillId="0" borderId="0" xfId="0" applyFont="1"/>
    <xf numFmtId="0" fontId="3" fillId="2" borderId="10" xfId="1" applyNumberFormat="1" applyBorder="1"/>
    <xf numFmtId="0" fontId="16" fillId="3" borderId="8" xfId="7" applyNumberFormat="1" applyFont="1" applyFill="1" applyBorder="1"/>
    <xf numFmtId="11" fontId="16" fillId="3" borderId="8" xfId="7" applyNumberFormat="1" applyFont="1" applyFill="1" applyBorder="1"/>
    <xf numFmtId="11" fontId="43" fillId="5" borderId="6" xfId="5" applyNumberFormat="1" applyFont="1" applyBorder="1" applyAlignment="1">
      <alignment horizontal="left" vertical="center" wrapText="1"/>
    </xf>
    <xf numFmtId="11" fontId="27" fillId="3" borderId="12" xfId="6" applyNumberFormat="1" applyFont="1" applyBorder="1"/>
    <xf numFmtId="11" fontId="54" fillId="0" borderId="0" xfId="9" applyNumberFormat="1" applyFont="1"/>
    <xf numFmtId="11" fontId="22" fillId="12" borderId="2" xfId="9" applyNumberFormat="1" applyFont="1" applyFill="1" applyBorder="1"/>
    <xf numFmtId="11" fontId="22" fillId="12" borderId="3" xfId="9" applyNumberFormat="1" applyFont="1" applyFill="1" applyBorder="1"/>
    <xf numFmtId="11" fontId="55" fillId="0" borderId="0" xfId="9" applyNumberFormat="1" applyFont="1" applyAlignment="1">
      <alignment wrapText="1"/>
    </xf>
    <xf numFmtId="11" fontId="24" fillId="0" borderId="0" xfId="9" applyNumberFormat="1" applyFont="1" applyAlignment="1">
      <alignment horizontal="left"/>
    </xf>
    <xf numFmtId="11" fontId="5" fillId="0" borderId="0" xfId="9" applyNumberFormat="1" applyAlignment="1">
      <alignment horizontal="center"/>
    </xf>
    <xf numFmtId="2" fontId="16" fillId="3" borderId="8" xfId="7" applyNumberFormat="1" applyFont="1" applyFill="1" applyBorder="1"/>
    <xf numFmtId="2" fontId="0" fillId="0" borderId="0" xfId="0" applyNumberFormat="1"/>
    <xf numFmtId="11" fontId="8" fillId="5" borderId="0" xfId="5" applyNumberFormat="1" applyAlignment="1">
      <alignment vertical="center"/>
    </xf>
    <xf numFmtId="11" fontId="56" fillId="9" borderId="0" xfId="5" applyNumberFormat="1" applyFont="1" applyFill="1" applyAlignment="1">
      <alignment vertical="center" wrapText="1"/>
    </xf>
    <xf numFmtId="11" fontId="7" fillId="0" borderId="0" xfId="0" applyNumberFormat="1" applyFont="1"/>
    <xf numFmtId="0" fontId="6" fillId="3" borderId="16" xfId="2" applyBorder="1"/>
    <xf numFmtId="11" fontId="43" fillId="13" borderId="0" xfId="5" applyNumberFormat="1" applyFont="1" applyFill="1" applyAlignment="1">
      <alignment vertical="center" wrapText="1"/>
    </xf>
    <xf numFmtId="0" fontId="16" fillId="3" borderId="12" xfId="6" applyNumberFormat="1" applyBorder="1"/>
    <xf numFmtId="9" fontId="3" fillId="2" borderId="10" xfId="7" applyFont="1" applyFill="1" applyBorder="1"/>
    <xf numFmtId="11" fontId="3" fillId="2" borderId="10" xfId="7" applyNumberFormat="1" applyFont="1" applyFill="1" applyBorder="1"/>
    <xf numFmtId="2" fontId="3" fillId="2" borderId="10" xfId="1" applyNumberFormat="1" applyBorder="1"/>
    <xf numFmtId="11" fontId="6" fillId="3" borderId="1" xfId="7" applyNumberFormat="1" applyFont="1" applyFill="1" applyBorder="1"/>
    <xf numFmtId="0" fontId="6" fillId="3" borderId="1" xfId="7" applyNumberFormat="1" applyFont="1" applyFill="1" applyBorder="1"/>
    <xf numFmtId="0" fontId="3" fillId="2" borderId="10" xfId="7" applyNumberFormat="1" applyFont="1" applyFill="1" applyBorder="1"/>
    <xf numFmtId="0" fontId="17" fillId="15" borderId="0" xfId="0" applyFont="1" applyFill="1"/>
    <xf numFmtId="0" fontId="57" fillId="3" borderId="8" xfId="6" applyFont="1"/>
    <xf numFmtId="0" fontId="58" fillId="16" borderId="0" xfId="0" applyFont="1" applyFill="1"/>
    <xf numFmtId="0" fontId="0" fillId="17" borderId="0" xfId="0" applyFill="1"/>
    <xf numFmtId="0" fontId="17" fillId="17" borderId="0" xfId="0" applyFont="1" applyFill="1"/>
    <xf numFmtId="0" fontId="17" fillId="18" borderId="0" xfId="0" applyFont="1" applyFill="1"/>
    <xf numFmtId="0" fontId="0" fillId="19" borderId="0" xfId="0" applyFill="1"/>
    <xf numFmtId="11" fontId="59" fillId="5" borderId="0" xfId="5" applyNumberFormat="1" applyFont="1" applyAlignment="1">
      <alignment vertical="center"/>
    </xf>
    <xf numFmtId="11" fontId="57" fillId="3" borderId="8" xfId="6" applyNumberFormat="1" applyFont="1"/>
    <xf numFmtId="11" fontId="60" fillId="5" borderId="0" xfId="5" applyNumberFormat="1" applyFont="1" applyAlignment="1">
      <alignment vertical="center" wrapText="1"/>
    </xf>
    <xf numFmtId="11" fontId="61" fillId="4" borderId="4" xfId="3" applyNumberFormat="1" applyFont="1" applyAlignment="1">
      <alignment horizontal="center" vertical="center" wrapText="1"/>
    </xf>
    <xf numFmtId="11" fontId="61" fillId="2" borderId="1" xfId="1" applyNumberFormat="1" applyFont="1"/>
    <xf numFmtId="0" fontId="61" fillId="2" borderId="1" xfId="1" applyFont="1"/>
    <xf numFmtId="11" fontId="62" fillId="3" borderId="1" xfId="2" applyNumberFormat="1" applyFont="1"/>
    <xf numFmtId="11" fontId="63" fillId="0" borderId="0" xfId="0" applyNumberFormat="1" applyFont="1"/>
    <xf numFmtId="0" fontId="0" fillId="20" borderId="0" xfId="0" applyFill="1"/>
    <xf numFmtId="0" fontId="17" fillId="20" borderId="0" xfId="0" applyFont="1" applyFill="1"/>
    <xf numFmtId="11" fontId="2" fillId="0" borderId="11" xfId="0" applyNumberFormat="1" applyFont="1" applyBorder="1"/>
    <xf numFmtId="0" fontId="2" fillId="0" borderId="11" xfId="0" applyFont="1" applyBorder="1"/>
    <xf numFmtId="0" fontId="2" fillId="0" borderId="2" xfId="0" applyFont="1" applyBorder="1"/>
    <xf numFmtId="0" fontId="2" fillId="6" borderId="17" xfId="0" applyFont="1" applyFill="1" applyBorder="1"/>
    <xf numFmtId="11" fontId="0" fillId="21" borderId="0" xfId="0" applyNumberFormat="1" applyFill="1"/>
    <xf numFmtId="0" fontId="17" fillId="21" borderId="0" xfId="0" applyFont="1" applyFill="1"/>
    <xf numFmtId="0" fontId="10" fillId="7" borderId="1" xfId="0" applyFont="1" applyFill="1" applyBorder="1"/>
    <xf numFmtId="0" fontId="3" fillId="7" borderId="1" xfId="0" applyFont="1" applyFill="1" applyBorder="1"/>
    <xf numFmtId="0" fontId="16" fillId="22" borderId="8" xfId="0" applyFont="1" applyFill="1" applyBorder="1"/>
    <xf numFmtId="164" fontId="3" fillId="7" borderId="1" xfId="0" applyNumberFormat="1" applyFont="1" applyFill="1" applyBorder="1"/>
    <xf numFmtId="0" fontId="17" fillId="0" borderId="29" xfId="0" applyFont="1" applyBorder="1"/>
    <xf numFmtId="164" fontId="6" fillId="3" borderId="16" xfId="2" applyNumberFormat="1" applyBorder="1"/>
    <xf numFmtId="48" fontId="6" fillId="3" borderId="1" xfId="2" applyNumberFormat="1"/>
    <xf numFmtId="164" fontId="16" fillId="3" borderId="8" xfId="6" applyNumberFormat="1"/>
    <xf numFmtId="0" fontId="0" fillId="0" borderId="0" xfId="0" applyAlignment="1">
      <alignment horizontal="center"/>
    </xf>
    <xf numFmtId="11" fontId="0" fillId="0" borderId="19" xfId="0" applyNumberFormat="1" applyBorder="1" applyAlignment="1">
      <alignment horizontal="center"/>
    </xf>
    <xf numFmtId="11" fontId="0" fillId="0" borderId="0" xfId="0" applyNumberFormat="1" applyAlignment="1">
      <alignment horizontal="center"/>
    </xf>
    <xf numFmtId="11" fontId="37" fillId="0" borderId="6" xfId="0" applyNumberFormat="1" applyFont="1" applyBorder="1" applyAlignment="1">
      <alignment horizontal="center" vertical="center" wrapText="1"/>
    </xf>
    <xf numFmtId="11" fontId="0" fillId="0" borderId="0" xfId="0" applyNumberFormat="1" applyAlignment="1">
      <alignment horizontal="center" vertical="center" wrapText="1"/>
    </xf>
    <xf numFmtId="11" fontId="37" fillId="0" borderId="0" xfId="0" applyNumberFormat="1" applyFont="1" applyAlignment="1">
      <alignment horizontal="center" wrapText="1"/>
    </xf>
    <xf numFmtId="0" fontId="7" fillId="0" borderId="5" xfId="4" applyAlignment="1">
      <alignment horizontal="center"/>
    </xf>
    <xf numFmtId="0" fontId="9" fillId="5" borderId="6" xfId="5" applyFont="1" applyBorder="1" applyAlignment="1">
      <alignment horizontal="left" vertical="center"/>
    </xf>
    <xf numFmtId="0" fontId="9" fillId="5" borderId="7" xfId="5" applyFont="1" applyBorder="1" applyAlignment="1">
      <alignment horizontal="left" vertical="center"/>
    </xf>
    <xf numFmtId="0" fontId="9" fillId="5" borderId="0" xfId="5" applyFont="1" applyAlignment="1">
      <alignment vertical="center"/>
    </xf>
  </cellXfs>
  <cellStyles count="10">
    <cellStyle name="Accent5" xfId="5" builtinId="45"/>
    <cellStyle name="Calculation" xfId="2" builtinId="22"/>
    <cellStyle name="Hyperlink" xfId="8" builtinId="8"/>
    <cellStyle name="Input" xfId="1" builtinId="20"/>
    <cellStyle name="Normal" xfId="0" builtinId="0"/>
    <cellStyle name="Normal 2" xfId="9" xr:uid="{CEBFE1A4-F6DC-4DD7-98DD-F63E9319603F}"/>
    <cellStyle name="Note" xfId="3" builtinId="10"/>
    <cellStyle name="Output" xfId="6" builtinId="21"/>
    <cellStyle name="Percent" xfId="7" builtinId="5"/>
    <cellStyle name="Total" xfId="4" builtinId="25"/>
  </cellStyles>
  <dxfs count="79">
    <dxf>
      <font>
        <b/>
        <i val="0"/>
        <strike val="0"/>
        <condense val="0"/>
        <extend val="0"/>
        <outline val="0"/>
        <shadow val="0"/>
        <u val="none"/>
        <vertAlign val="baseline"/>
        <sz val="11"/>
        <color rgb="FF3F3F3F"/>
        <name val="Gill Sans MT"/>
        <family val="2"/>
        <scheme val="none"/>
      </font>
      <fill>
        <patternFill patternType="solid">
          <fgColor indexed="64"/>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rgb="FF3F3F76"/>
        <name val="Gill Sans MT"/>
        <family val="2"/>
        <scheme val="none"/>
      </font>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Gill Sans MT"/>
        <family val="2"/>
        <scheme val="none"/>
      </font>
      <numFmt numFmtId="164" formatCode="##0.00E+0"/>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3F3F3F"/>
        <name val="Gill Sans MT"/>
        <family val="2"/>
        <scheme val="none"/>
      </font>
      <fill>
        <patternFill patternType="solid">
          <fgColor indexed="64"/>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Gill Sans MT"/>
        <family val="2"/>
        <scheme val="none"/>
      </font>
      <fill>
        <patternFill patternType="solid">
          <fgColor indexed="64"/>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Gill Sans MT"/>
        <family val="2"/>
        <scheme val="none"/>
      </font>
      <fill>
        <patternFill patternType="solid">
          <fgColor indexed="64"/>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rgb="FF3F3F76"/>
        <name val="Gill Sans MT"/>
        <family val="2"/>
        <scheme val="none"/>
      </font>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Gill Sans MT"/>
        <family val="2"/>
        <scheme val="none"/>
      </font>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Gill Sans MT"/>
        <family val="2"/>
        <scheme val="none"/>
      </font>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rgb="FF3F3F76"/>
        <name val="Gill Sans MT"/>
        <family val="2"/>
        <scheme val="none"/>
      </font>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3F3F76"/>
        <name val="Gill Sans MT"/>
        <family val="2"/>
        <scheme val="none"/>
      </font>
      <fill>
        <patternFill patternType="solid">
          <fgColor indexed="64"/>
          <bgColor rgb="FFFFCC99"/>
        </patternFill>
      </fill>
      <border diagonalUp="0" diagonalDown="0" outline="0">
        <left style="thin">
          <color rgb="FF7F7F7F"/>
        </left>
        <right style="thin">
          <color rgb="FF7F7F7F"/>
        </right>
        <top style="thin">
          <color rgb="FF7F7F7F"/>
        </top>
        <bottom style="thin">
          <color rgb="FF7F7F7F"/>
        </bottom>
      </border>
    </dxf>
    <dxf>
      <font>
        <b/>
        <i val="0"/>
        <color theme="5"/>
      </font>
    </dxf>
    <dxf>
      <font>
        <b/>
        <i val="0"/>
        <color theme="5"/>
      </font>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color rgb="FF9C0006"/>
      </font>
      <fill>
        <patternFill>
          <bgColor rgb="FFFFC7CE"/>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b/>
        <i val="0"/>
        <color theme="5"/>
      </font>
      <fill>
        <patternFill>
          <bgColor them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5"/>
      </font>
      <fill>
        <patternFill>
          <bgColor theme="2"/>
        </patternFill>
      </fill>
    </dxf>
    <dxf>
      <font>
        <b/>
        <i val="0"/>
        <color theme="5"/>
      </font>
      <fill>
        <patternFill>
          <bgColor theme="2"/>
        </patternFill>
      </fill>
    </dxf>
    <dxf>
      <numFmt numFmtId="0" formatCode="General"/>
    </dxf>
    <dxf>
      <numFmt numFmtId="0" formatCode="General"/>
    </dxf>
    <dxf>
      <numFmt numFmtId="0" formatCode="General"/>
    </dxf>
    <dxf>
      <numFmt numFmtId="0" formatCode="General"/>
    </dxf>
    <dxf>
      <numFmt numFmtId="0" formatCode="General"/>
    </dxf>
    <dxf>
      <numFmt numFmtId="15" formatCode="0.00E+00"/>
    </dxf>
    <dxf>
      <border outline="0">
        <top style="thin">
          <color theme="1"/>
        </top>
      </border>
    </dxf>
    <dxf>
      <font>
        <b/>
        <i val="0"/>
        <strike val="0"/>
        <condense val="0"/>
        <extend val="0"/>
        <outline val="0"/>
        <shadow val="0"/>
        <u val="none"/>
        <vertAlign val="baseline"/>
        <sz val="11"/>
        <color theme="0"/>
        <name val="Calibri"/>
        <family val="2"/>
        <scheme val="minor"/>
      </font>
      <fill>
        <patternFill patternType="solid">
          <fgColor theme="1"/>
          <bgColor theme="1"/>
        </patternFill>
      </fill>
    </dxf>
  </dxfs>
  <tableStyles count="0" defaultTableStyle="TableStyleMedium2" defaultPivotStyle="PivotStyleLight16"/>
  <colors>
    <mruColors>
      <color rgb="FF990000"/>
      <color rgb="FF0033CC"/>
      <color rgb="FF31CC00"/>
      <color rgb="FF339966"/>
      <color rgb="FF00CC99"/>
      <color rgb="FF00CCFF"/>
      <color rgb="FF660033"/>
      <color rgb="FFFF0000"/>
      <color rgb="FFA50021"/>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Current configuration training time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6598773258890686"/>
          <c:y val="0.17796896528076508"/>
          <c:w val="0.41759602783075661"/>
          <c:h val="0.733024856453513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FD8-4229-AF74-0EFCD1F944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DFD8-4229-AF74-0EFCD1F944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DFD8-4229-AF74-0EFCD1F944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DFD8-4229-AF74-0EFCD1F944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B-DFD8-4229-AF74-0EFCD1F944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D-DFD8-4229-AF74-0EFCD1F94471}"/>
              </c:ext>
            </c:extLst>
          </c:dPt>
          <c:dPt>
            <c:idx val="6"/>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F-8914-4A2F-8879-A2537975DA5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('Scenario Summary'!$W$2,'Scenario Summary'!$F$2,'Scenario Summary'!$G$2,'Scenario Summary'!$H$2,'Scenario Summary'!$N$2,'Scenario Summary'!$S$2,'Scenario Summary'!$V$2,'Scenario Summary'!$Y$2)</c15:sqref>
                  </c15:fullRef>
                </c:ext>
              </c:extLst>
              <c:f>('Scenario Summary'!$F$2,'Scenario Summary'!$G$2,'Scenario Summary'!$H$2,'Scenario Summary'!$N$2,'Scenario Summary'!$S$2,'Scenario Summary'!$V$2,'Scenario Summary'!$Y$2)</c:f>
              <c:strCache>
                <c:ptCount val="7"/>
                <c:pt idx="0">
                  <c:v>Computation time forward pass (s)</c:v>
                </c:pt>
                <c:pt idx="1">
                  <c:v>Computation time backward pass (s)</c:v>
                </c:pt>
                <c:pt idx="2">
                  <c:v>Computation time weight updates (s)</c:v>
                </c:pt>
                <c:pt idx="3">
                  <c:v>Total communication time forward pass (s)</c:v>
                </c:pt>
                <c:pt idx="4">
                  <c:v>Total communication time backward pass (s)</c:v>
                </c:pt>
                <c:pt idx="5">
                  <c:v>Communication time: all-reduce gradients for DP total (s)</c:v>
                </c:pt>
                <c:pt idx="6">
                  <c:v>Waiting Time due to pipeline bubbles (s)</c:v>
                </c:pt>
              </c:strCache>
            </c:strRef>
          </c:cat>
          <c:val>
            <c:numRef>
              <c:extLst>
                <c:ext xmlns:c15="http://schemas.microsoft.com/office/drawing/2012/chart" uri="{02D57815-91ED-43cb-92C2-25804820EDAC}">
                  <c15:fullRef>
                    <c15:sqref>('Scenario Summary'!$W$4,'Scenario Summary'!$F$4,'Scenario Summary'!$G$4,'Scenario Summary'!$H$4,'Scenario Summary'!$N$4,'Scenario Summary'!$S$4,'Scenario Summary'!$V$4,'Scenario Summary'!$Y$4)</c15:sqref>
                  </c15:fullRef>
                </c:ext>
              </c:extLst>
              <c:f>('Scenario Summary'!$F$4,'Scenario Summary'!$G$4,'Scenario Summary'!$H$4,'Scenario Summary'!$N$4,'Scenario Summary'!$S$4,'Scenario Summary'!$V$4,'Scenario Summary'!$Y$4)</c:f>
              <c:numCache>
                <c:formatCode>0%</c:formatCode>
                <c:ptCount val="7"/>
                <c:pt idx="0">
                  <c:v>0.2857699291189349</c:v>
                </c:pt>
                <c:pt idx="1">
                  <c:v>0.57141002362702176</c:v>
                </c:pt>
                <c:pt idx="2">
                  <c:v>0.1428200472540434</c:v>
                </c:pt>
                <c:pt idx="3">
                  <c:v>0</c:v>
                </c:pt>
                <c:pt idx="4">
                  <c:v>0</c:v>
                </c:pt>
                <c:pt idx="5">
                  <c:v>0</c:v>
                </c:pt>
                <c:pt idx="6">
                  <c:v>0</c:v>
                </c:pt>
              </c:numCache>
            </c:numRef>
          </c:val>
          <c:extLst>
            <c:ext xmlns:c15="http://schemas.microsoft.com/office/drawing/2012/chart" uri="{02D57815-91ED-43cb-92C2-25804820EDAC}">
              <c15:categoryFilterExceptions>
                <c15:categoryFilterException>
                  <c15:sqref>'Scenario Summary'!$W$4</c15:sqref>
                  <c15:dLbl>
                    <c:idx val="-1"/>
                    <c:layout>
                      <c:manualLayout>
                        <c:x val="1.0825439783491205E-2"/>
                        <c:y val="-0.1520190023752969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uri="{CE6537A1-D6FC-4f65-9D91-7224C49458BB}"/>
                      <c:ext xmlns:c16="http://schemas.microsoft.com/office/drawing/2014/chart" uri="{C3380CC4-5D6E-409C-BE32-E72D297353CC}">
                        <c16:uniqueId val="{0000000E-3FE2-4097-8D24-7C8957830A2C}"/>
                      </c:ext>
                    </c:extLst>
                  </c15:dLbl>
                </c15:categoryFilterException>
              </c15:categoryFilterExceptions>
            </c:ext>
            <c:ext xmlns:c16="http://schemas.microsoft.com/office/drawing/2014/chart" uri="{C3380CC4-5D6E-409C-BE32-E72D297353CC}">
              <c16:uniqueId val="{0000001C-DFD8-4229-AF74-0EFCD1F9447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layout>
        <c:manualLayout>
          <c:xMode val="edge"/>
          <c:yMode val="edge"/>
          <c:x val="1.019108280254777E-2"/>
          <c:y val="0.1433765706822879"/>
          <c:w val="0.41781222329071022"/>
          <c:h val="0.78439017586569793"/>
        </c:manualLayout>
      </c:layout>
      <c:overlay val="0"/>
      <c:spPr>
        <a:noFill/>
        <a:ln>
          <a:noFill/>
        </a:ln>
        <a:effectLst/>
      </c:spPr>
      <c:txPr>
        <a:bodyPr rot="0" spcFirstLastPara="1" vertOverflow="ellipsis" vert="horz" wrap="square" anchor="ctr" anchorCtr="1"/>
        <a:lstStyle/>
        <a:p>
          <a:pPr rtl="0">
            <a:defRPr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Training time for different configurations (1M sec</a:t>
            </a:r>
            <a:r>
              <a:rPr lang="en-GB" baseline="0"/>
              <a:t> ~11,5 days)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stacked"/>
        <c:varyColors val="0"/>
        <c:ser>
          <c:idx val="3"/>
          <c:order val="3"/>
          <c:tx>
            <c:strRef>
              <c:f>'Scenario Summary'!$F$7</c:f>
              <c:strCache>
                <c:ptCount val="1"/>
                <c:pt idx="0">
                  <c:v>Computation time forward pass (s)</c:v>
                </c:pt>
              </c:strCache>
            </c:strRef>
          </c:tx>
          <c:spPr>
            <a:solidFill>
              <a:srgbClr val="339966"/>
            </a:solidFill>
            <a:ln>
              <a:noFill/>
            </a:ln>
            <a:effectLst/>
          </c:spPr>
          <c:invertIfNegative val="0"/>
          <c:cat>
            <c:strRef>
              <c:f>'Scenario Summary'!$B$8:$B$10</c:f>
              <c:strCache>
                <c:ptCount val="3"/>
                <c:pt idx="0">
                  <c:v>Test config 1</c:v>
                </c:pt>
                <c:pt idx="1">
                  <c:v>Test config 2</c:v>
                </c:pt>
                <c:pt idx="2">
                  <c:v>Test config 3</c:v>
                </c:pt>
              </c:strCache>
            </c:strRef>
          </c:cat>
          <c:val>
            <c:numRef>
              <c:f>'Scenario Summary'!$F$8:$F$10</c:f>
              <c:numCache>
                <c:formatCode>General</c:formatCode>
                <c:ptCount val="3"/>
                <c:pt idx="0">
                  <c:v>130803.82896515216</c:v>
                </c:pt>
                <c:pt idx="1">
                  <c:v>41966.45270373184</c:v>
                </c:pt>
                <c:pt idx="2">
                  <c:v>438548.01197541389</c:v>
                </c:pt>
              </c:numCache>
            </c:numRef>
          </c:val>
          <c:extLst>
            <c:ext xmlns:c16="http://schemas.microsoft.com/office/drawing/2014/chart" uri="{C3380CC4-5D6E-409C-BE32-E72D297353CC}">
              <c16:uniqueId val="{00000004-3BB0-4BAB-967F-E3C35F3F772E}"/>
            </c:ext>
          </c:extLst>
        </c:ser>
        <c:ser>
          <c:idx val="4"/>
          <c:order val="4"/>
          <c:tx>
            <c:strRef>
              <c:f>'Scenario Summary'!$G$7</c:f>
              <c:strCache>
                <c:ptCount val="1"/>
                <c:pt idx="0">
                  <c:v>Computation time backward pass (s)</c:v>
                </c:pt>
              </c:strCache>
            </c:strRef>
          </c:tx>
          <c:spPr>
            <a:solidFill>
              <a:srgbClr val="00CC99"/>
            </a:solidFill>
            <a:ln>
              <a:noFill/>
            </a:ln>
            <a:effectLst/>
          </c:spPr>
          <c:invertIfNegative val="0"/>
          <c:cat>
            <c:strRef>
              <c:f>'Scenario Summary'!$B$8:$B$10</c:f>
              <c:strCache>
                <c:ptCount val="3"/>
                <c:pt idx="0">
                  <c:v>Test config 1</c:v>
                </c:pt>
                <c:pt idx="1">
                  <c:v>Test config 2</c:v>
                </c:pt>
                <c:pt idx="2">
                  <c:v>Test config 3</c:v>
                </c:pt>
              </c:strCache>
            </c:strRef>
          </c:cat>
          <c:val>
            <c:numRef>
              <c:f>'Scenario Summary'!$G$8:$G$10</c:f>
              <c:numCache>
                <c:formatCode>General</c:formatCode>
                <c:ptCount val="3"/>
                <c:pt idx="0">
                  <c:v>261274.84173645091</c:v>
                </c:pt>
                <c:pt idx="1">
                  <c:v>83776.481796352557</c:v>
                </c:pt>
                <c:pt idx="2">
                  <c:v>876895.04738832789</c:v>
                </c:pt>
              </c:numCache>
            </c:numRef>
          </c:val>
          <c:extLst>
            <c:ext xmlns:c16="http://schemas.microsoft.com/office/drawing/2014/chart" uri="{C3380CC4-5D6E-409C-BE32-E72D297353CC}">
              <c16:uniqueId val="{00000005-3BB0-4BAB-967F-E3C35F3F772E}"/>
            </c:ext>
          </c:extLst>
        </c:ser>
        <c:ser>
          <c:idx val="5"/>
          <c:order val="5"/>
          <c:tx>
            <c:strRef>
              <c:f>'Scenario Summary'!$H$7</c:f>
              <c:strCache>
                <c:ptCount val="1"/>
                <c:pt idx="0">
                  <c:v>Computation time weight updates (s)</c:v>
                </c:pt>
              </c:strCache>
            </c:strRef>
          </c:tx>
          <c:spPr>
            <a:solidFill>
              <a:srgbClr val="31CC00"/>
            </a:solidFill>
            <a:ln>
              <a:noFill/>
            </a:ln>
            <a:effectLst/>
          </c:spPr>
          <c:invertIfNegative val="0"/>
          <c:cat>
            <c:strRef>
              <c:f>'Scenario Summary'!$B$8:$B$10</c:f>
              <c:strCache>
                <c:ptCount val="3"/>
                <c:pt idx="0">
                  <c:v>Test config 1</c:v>
                </c:pt>
                <c:pt idx="1">
                  <c:v>Test config 2</c:v>
                </c:pt>
                <c:pt idx="2">
                  <c:v>Test config 3</c:v>
                </c:pt>
              </c:strCache>
            </c:strRef>
          </c:cat>
          <c:val>
            <c:numRef>
              <c:f>'Scenario Summary'!$H$8:$H$10</c:f>
              <c:numCache>
                <c:formatCode>General</c:formatCode>
                <c:ptCount val="3"/>
                <c:pt idx="0">
                  <c:v>65785.950354087065</c:v>
                </c:pt>
                <c:pt idx="1">
                  <c:v>21081.40681801426</c:v>
                </c:pt>
                <c:pt idx="2">
                  <c:v>379601.2378176463</c:v>
                </c:pt>
              </c:numCache>
            </c:numRef>
          </c:val>
          <c:extLst>
            <c:ext xmlns:c16="http://schemas.microsoft.com/office/drawing/2014/chart" uri="{C3380CC4-5D6E-409C-BE32-E72D297353CC}">
              <c16:uniqueId val="{00000006-3BB0-4BAB-967F-E3C35F3F772E}"/>
            </c:ext>
          </c:extLst>
        </c:ser>
        <c:ser>
          <c:idx val="11"/>
          <c:order val="11"/>
          <c:tx>
            <c:strRef>
              <c:f>'Scenario Summary'!$N$7</c:f>
              <c:strCache>
                <c:ptCount val="1"/>
                <c:pt idx="0">
                  <c:v>Total communication time forward pass (s)</c:v>
                </c:pt>
              </c:strCache>
            </c:strRef>
          </c:tx>
          <c:spPr>
            <a:solidFill>
              <a:schemeClr val="accent2"/>
            </a:solidFill>
            <a:ln>
              <a:noFill/>
            </a:ln>
            <a:effectLst/>
          </c:spPr>
          <c:invertIfNegative val="0"/>
          <c:cat>
            <c:strRef>
              <c:f>'Scenario Summary'!$B$8:$B$10</c:f>
              <c:strCache>
                <c:ptCount val="3"/>
                <c:pt idx="0">
                  <c:v>Test config 1</c:v>
                </c:pt>
                <c:pt idx="1">
                  <c:v>Test config 2</c:v>
                </c:pt>
                <c:pt idx="2">
                  <c:v>Test config 3</c:v>
                </c:pt>
              </c:strCache>
            </c:strRef>
          </c:cat>
          <c:val>
            <c:numRef>
              <c:f>'Scenario Summary'!$N$8:$N$10</c:f>
              <c:numCache>
                <c:formatCode>General</c:formatCode>
                <c:ptCount val="3"/>
                <c:pt idx="0">
                  <c:v>108328.29827690125</c:v>
                </c:pt>
                <c:pt idx="1">
                  <c:v>87397.131610234588</c:v>
                </c:pt>
                <c:pt idx="2">
                  <c:v>160787.4879256417</c:v>
                </c:pt>
              </c:numCache>
            </c:numRef>
          </c:val>
          <c:extLst>
            <c:ext xmlns:c16="http://schemas.microsoft.com/office/drawing/2014/chart" uri="{C3380CC4-5D6E-409C-BE32-E72D297353CC}">
              <c16:uniqueId val="{0000000C-3BB0-4BAB-967F-E3C35F3F772E}"/>
            </c:ext>
          </c:extLst>
        </c:ser>
        <c:ser>
          <c:idx val="16"/>
          <c:order val="16"/>
          <c:tx>
            <c:strRef>
              <c:f>'Scenario Summary'!$S$7</c:f>
              <c:strCache>
                <c:ptCount val="1"/>
                <c:pt idx="0">
                  <c:v>Total communication time backward pass (s)</c:v>
                </c:pt>
              </c:strCache>
            </c:strRef>
          </c:tx>
          <c:spPr>
            <a:solidFill>
              <a:srgbClr val="C00000"/>
            </a:solidFill>
            <a:ln>
              <a:noFill/>
            </a:ln>
            <a:effectLst/>
          </c:spPr>
          <c:invertIfNegative val="0"/>
          <c:cat>
            <c:strRef>
              <c:f>'Scenario Summary'!$B$8:$B$10</c:f>
              <c:strCache>
                <c:ptCount val="3"/>
                <c:pt idx="0">
                  <c:v>Test config 1</c:v>
                </c:pt>
                <c:pt idx="1">
                  <c:v>Test config 2</c:v>
                </c:pt>
                <c:pt idx="2">
                  <c:v>Test config 3</c:v>
                </c:pt>
              </c:strCache>
            </c:strRef>
          </c:cat>
          <c:val>
            <c:numRef>
              <c:f>'Scenario Summary'!$S$8:$S$10</c:f>
              <c:numCache>
                <c:formatCode>General</c:formatCode>
                <c:ptCount val="3"/>
                <c:pt idx="0">
                  <c:v>216597.29827690125</c:v>
                </c:pt>
                <c:pt idx="1">
                  <c:v>174734.96494356793</c:v>
                </c:pt>
                <c:pt idx="2">
                  <c:v>309732.56349872146</c:v>
                </c:pt>
              </c:numCache>
            </c:numRef>
          </c:val>
          <c:extLst>
            <c:ext xmlns:c16="http://schemas.microsoft.com/office/drawing/2014/chart" uri="{C3380CC4-5D6E-409C-BE32-E72D297353CC}">
              <c16:uniqueId val="{00000011-3BB0-4BAB-967F-E3C35F3F772E}"/>
            </c:ext>
          </c:extLst>
        </c:ser>
        <c:ser>
          <c:idx val="22"/>
          <c:order val="22"/>
          <c:tx>
            <c:strRef>
              <c:f>'Scenario Summary'!$Y$7</c:f>
              <c:strCache>
                <c:ptCount val="1"/>
                <c:pt idx="0">
                  <c:v>Waiting Time due to pipeline bubbles (s)</c:v>
                </c:pt>
              </c:strCache>
            </c:strRef>
          </c:tx>
          <c:spPr>
            <a:solidFill>
              <a:schemeClr val="bg1">
                <a:lumMod val="50000"/>
              </a:schemeClr>
            </a:solidFill>
            <a:ln>
              <a:noFill/>
            </a:ln>
            <a:effectLst/>
          </c:spPr>
          <c:invertIfNegative val="0"/>
          <c:cat>
            <c:strRef>
              <c:f>'Scenario Summary'!$B$8:$B$10</c:f>
              <c:strCache>
                <c:ptCount val="3"/>
                <c:pt idx="0">
                  <c:v>Test config 1</c:v>
                </c:pt>
                <c:pt idx="1">
                  <c:v>Test config 2</c:v>
                </c:pt>
                <c:pt idx="2">
                  <c:v>Test config 3</c:v>
                </c:pt>
              </c:strCache>
            </c:strRef>
          </c:cat>
          <c:val>
            <c:numRef>
              <c:f>'Scenario Summary'!$Y$8:$Y$10</c:f>
              <c:numCache>
                <c:formatCode>General</c:formatCode>
                <c:ptCount val="3"/>
                <c:pt idx="0">
                  <c:v>113985.2350987621</c:v>
                </c:pt>
                <c:pt idx="1">
                  <c:v>99314.712562917048</c:v>
                </c:pt>
                <c:pt idx="2">
                  <c:v>185972.2875321224</c:v>
                </c:pt>
              </c:numCache>
            </c:numRef>
          </c:val>
          <c:extLst>
            <c:ext xmlns:c16="http://schemas.microsoft.com/office/drawing/2014/chart" uri="{C3380CC4-5D6E-409C-BE32-E72D297353CC}">
              <c16:uniqueId val="{00000000-5227-47E1-870A-FF8EF99ABD5F}"/>
            </c:ext>
          </c:extLst>
        </c:ser>
        <c:dLbls>
          <c:showLegendKey val="0"/>
          <c:showVal val="0"/>
          <c:showCatName val="0"/>
          <c:showSerName val="0"/>
          <c:showPercent val="0"/>
          <c:showBubbleSize val="0"/>
        </c:dLbls>
        <c:gapWidth val="150"/>
        <c:overlap val="100"/>
        <c:axId val="1244747752"/>
        <c:axId val="1244758904"/>
        <c:extLst>
          <c:ext xmlns:c15="http://schemas.microsoft.com/office/drawing/2012/chart" uri="{02D57815-91ED-43cb-92C2-25804820EDAC}">
            <c15:filteredBarSeries>
              <c15:ser>
                <c:idx val="0"/>
                <c:order val="0"/>
                <c:tx>
                  <c:strRef>
                    <c:extLst>
                      <c:ext uri="{02D57815-91ED-43cb-92C2-25804820EDAC}">
                        <c15:formulaRef>
                          <c15:sqref>'Scenario Summary'!$C$7</c15:sqref>
                        </c15:formulaRef>
                      </c:ext>
                    </c:extLst>
                    <c:strCache>
                      <c:ptCount val="1"/>
                      <c:pt idx="0">
                        <c:v>Total time to train (s)</c:v>
                      </c:pt>
                    </c:strCache>
                  </c:strRef>
                </c:tx>
                <c:spPr>
                  <a:solidFill>
                    <a:schemeClr val="accent1"/>
                  </a:solidFill>
                  <a:ln>
                    <a:noFill/>
                  </a:ln>
                  <a:effectLst/>
                </c:spPr>
                <c:invertIfNegative val="0"/>
                <c:cat>
                  <c:strRef>
                    <c:extLst>
                      <c:ext uri="{02D57815-91ED-43cb-92C2-25804820EDAC}">
                        <c15:formulaRef>
                          <c15:sqref>'Scenario Summary'!$B$8:$B$10</c15:sqref>
                        </c15:formulaRef>
                      </c:ext>
                    </c:extLst>
                    <c:strCache>
                      <c:ptCount val="3"/>
                      <c:pt idx="0">
                        <c:v>Test config 1</c:v>
                      </c:pt>
                      <c:pt idx="1">
                        <c:v>Test config 2</c:v>
                      </c:pt>
                      <c:pt idx="2">
                        <c:v>Test config 3</c:v>
                      </c:pt>
                    </c:strCache>
                  </c:strRef>
                </c:cat>
                <c:val>
                  <c:numRef>
                    <c:extLst>
                      <c:ext uri="{02D57815-91ED-43cb-92C2-25804820EDAC}">
                        <c15:formulaRef>
                          <c15:sqref>'Scenario Summary'!$C$8:$C$10</c15:sqref>
                        </c15:formulaRef>
                      </c:ext>
                    </c:extLst>
                    <c:numCache>
                      <c:formatCode>General</c:formatCode>
                      <c:ptCount val="3"/>
                      <c:pt idx="0">
                        <c:v>1175163.9766340361</c:v>
                      </c:pt>
                      <c:pt idx="1">
                        <c:v>786549.42436059949</c:v>
                      </c:pt>
                      <c:pt idx="2">
                        <c:v>2836739.9016317711</c:v>
                      </c:pt>
                    </c:numCache>
                  </c:numRef>
                </c:val>
                <c:extLst>
                  <c:ext xmlns:c16="http://schemas.microsoft.com/office/drawing/2014/chart" uri="{C3380CC4-5D6E-409C-BE32-E72D297353CC}">
                    <c16:uniqueId val="{00000000-3BB0-4BAB-967F-E3C35F3F772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'Scenario Summary'!$D$7</c15:sqref>
                        </c15:formulaRef>
                      </c:ext>
                    </c:extLst>
                    <c:strCache>
                      <c:ptCount val="1"/>
                      <c:pt idx="0">
                        <c:v>Total time to train (days)</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Summary'!$D$8:$D$10</c15:sqref>
                        </c15:formulaRef>
                      </c:ext>
                    </c:extLst>
                    <c:numCache>
                      <c:formatCode>General</c:formatCode>
                      <c:ptCount val="3"/>
                      <c:pt idx="0">
                        <c:v>13.601434914745788</c:v>
                      </c:pt>
                      <c:pt idx="1">
                        <c:v>9.1035813004699015</c:v>
                      </c:pt>
                      <c:pt idx="2">
                        <c:v>32.832637750367724</c:v>
                      </c:pt>
                    </c:numCache>
                  </c:numRef>
                </c:val>
                <c:extLst xmlns:c15="http://schemas.microsoft.com/office/drawing/2012/chart">
                  <c:ext xmlns:c16="http://schemas.microsoft.com/office/drawing/2014/chart" uri="{C3380CC4-5D6E-409C-BE32-E72D297353CC}">
                    <c16:uniqueId val="{00000002-3BB0-4BAB-967F-E3C35F3F772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'Scenario Summary'!$E$7</c15:sqref>
                        </c15:formulaRef>
                      </c:ext>
                    </c:extLst>
                    <c:strCache>
                      <c:ptCount val="1"/>
                      <c:pt idx="0">
                        <c:v>Total time to train (years)</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Summary'!$E$8:$E$10</c15:sqref>
                        </c15:formulaRef>
                      </c:ext>
                    </c:extLst>
                    <c:numCache>
                      <c:formatCode>General</c:formatCode>
                      <c:ptCount val="3"/>
                      <c:pt idx="0">
                        <c:v>3.7264205245878868E-2</c:v>
                      </c:pt>
                      <c:pt idx="1">
                        <c:v>2.4941318631424389E-2</c:v>
                      </c:pt>
                      <c:pt idx="2">
                        <c:v>8.9952432192788284E-2</c:v>
                      </c:pt>
                    </c:numCache>
                  </c:numRef>
                </c:val>
                <c:extLst xmlns:c15="http://schemas.microsoft.com/office/drawing/2012/chart">
                  <c:ext xmlns:c16="http://schemas.microsoft.com/office/drawing/2014/chart" uri="{C3380CC4-5D6E-409C-BE32-E72D297353CC}">
                    <c16:uniqueId val="{00000003-3BB0-4BAB-967F-E3C35F3F772E}"/>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'Scenario Summary'!$I$7</c15:sqref>
                        </c15:formulaRef>
                      </c:ext>
                    </c:extLst>
                    <c:strCache>
                      <c:ptCount val="1"/>
                      <c:pt idx="0">
                        <c:v>Total computation time (s)</c:v>
                      </c:pt>
                    </c:strCache>
                  </c:strRef>
                </c:tx>
                <c:spPr>
                  <a:solidFill>
                    <a:schemeClr val="accent1">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Summary'!$I$8:$I$10</c15:sqref>
                        </c15:formulaRef>
                      </c:ext>
                    </c:extLst>
                    <c:numCache>
                      <c:formatCode>General</c:formatCode>
                      <c:ptCount val="3"/>
                      <c:pt idx="0">
                        <c:v>457864.62105569011</c:v>
                      </c:pt>
                      <c:pt idx="1">
                        <c:v>146824.34131809865</c:v>
                      </c:pt>
                      <c:pt idx="2">
                        <c:v>1695044.2971813881</c:v>
                      </c:pt>
                    </c:numCache>
                  </c:numRef>
                </c:val>
                <c:extLst xmlns:c15="http://schemas.microsoft.com/office/drawing/2012/chart">
                  <c:ext xmlns:c16="http://schemas.microsoft.com/office/drawing/2014/chart" uri="{C3380CC4-5D6E-409C-BE32-E72D297353CC}">
                    <c16:uniqueId val="{00000007-3BB0-4BAB-967F-E3C35F3F772E}"/>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'Scenario Summary'!$J$7</c15:sqref>
                        </c15:formulaRef>
                      </c:ext>
                    </c:extLst>
                    <c:strCache>
                      <c:ptCount val="1"/>
                      <c:pt idx="0">
                        <c:v>Communication time forward pass: tensor parallellism intra node (s)</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Summary'!$J$8:$J$10</c15:sqref>
                        </c15:formulaRef>
                      </c:ext>
                    </c:extLst>
                    <c:numCache>
                      <c:formatCode>General</c:formatCode>
                      <c:ptCount val="3"/>
                      <c:pt idx="0">
                        <c:v>50177.28173828125</c:v>
                      </c:pt>
                      <c:pt idx="1">
                        <c:v>33451.948404947914</c:v>
                      </c:pt>
                      <c:pt idx="2">
                        <c:v>57344.96130371093</c:v>
                      </c:pt>
                    </c:numCache>
                  </c:numRef>
                </c:val>
                <c:extLst xmlns:c15="http://schemas.microsoft.com/office/drawing/2012/chart">
                  <c:ext xmlns:c16="http://schemas.microsoft.com/office/drawing/2014/chart" uri="{C3380CC4-5D6E-409C-BE32-E72D297353CC}">
                    <c16:uniqueId val="{00000008-3BB0-4BAB-967F-E3C35F3F772E}"/>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'Scenario Summary'!$K$7</c15:sqref>
                        </c15:formulaRef>
                      </c:ext>
                    </c:extLst>
                    <c:strCache>
                      <c:ptCount val="1"/>
                      <c:pt idx="0">
                        <c:v>Communication time forward pass: tensor parallellism inter node (s)</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Summary'!$K$8:$K$10</c15:sqref>
                        </c15:formulaRef>
                      </c:ext>
                    </c:extLst>
                    <c:numCache>
                      <c:formatCode>General</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9-3BB0-4BAB-967F-E3C35F3F772E}"/>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'Scenario Summary'!$L$7</c15:sqref>
                        </c15:formulaRef>
                      </c:ext>
                    </c:extLst>
                    <c:strCache>
                      <c:ptCount val="1"/>
                      <c:pt idx="0">
                        <c:v>Communication time forward pass: pipeline parallellism (s)</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Summary'!$L$8:$L$10</c15:sqref>
                        </c15:formulaRef>
                      </c:ext>
                    </c:extLst>
                    <c:numCache>
                      <c:formatCode>General</c:formatCode>
                      <c:ptCount val="3"/>
                      <c:pt idx="0">
                        <c:v>2688.0143051147461</c:v>
                      </c:pt>
                      <c:pt idx="1">
                        <c:v>2688.0143051147461</c:v>
                      </c:pt>
                      <c:pt idx="2">
                        <c:v>3072.007152557373</c:v>
                      </c:pt>
                    </c:numCache>
                  </c:numRef>
                </c:val>
                <c:extLst xmlns:c15="http://schemas.microsoft.com/office/drawing/2012/chart">
                  <c:ext xmlns:c16="http://schemas.microsoft.com/office/drawing/2014/chart" uri="{C3380CC4-5D6E-409C-BE32-E72D297353CC}">
                    <c16:uniqueId val="{0000000A-3BB0-4BAB-967F-E3C35F3F772E}"/>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'Scenario Summary'!$M$7</c15:sqref>
                        </c15:formulaRef>
                      </c:ext>
                    </c:extLst>
                    <c:strCache>
                      <c:ptCount val="1"/>
                      <c:pt idx="0">
                        <c:v>Communication time forward pass: Zero-DP (ad-hoc model gathering) (s)</c:v>
                      </c:pt>
                    </c:strCache>
                  </c:strRef>
                </c:tx>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Summary'!$M$8:$M$10</c15:sqref>
                        </c15:formulaRef>
                      </c:ext>
                    </c:extLst>
                    <c:numCache>
                      <c:formatCode>General</c:formatCode>
                      <c:ptCount val="3"/>
                      <c:pt idx="0">
                        <c:v>13216.324010848999</c:v>
                      </c:pt>
                      <c:pt idx="1">
                        <c:v>9034.9906775156651</c:v>
                      </c:pt>
                      <c:pt idx="2">
                        <c:v>15104.242114067074</c:v>
                      </c:pt>
                    </c:numCache>
                  </c:numRef>
                </c:val>
                <c:extLst xmlns:c15="http://schemas.microsoft.com/office/drawing/2012/chart">
                  <c:ext xmlns:c16="http://schemas.microsoft.com/office/drawing/2014/chart" uri="{C3380CC4-5D6E-409C-BE32-E72D297353CC}">
                    <c16:uniqueId val="{0000000B-3BB0-4BAB-967F-E3C35F3F772E}"/>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'Scenario Summary'!$O$7</c15:sqref>
                        </c15:formulaRef>
                      </c:ext>
                    </c:extLst>
                    <c:strCache>
                      <c:ptCount val="1"/>
                      <c:pt idx="0">
                        <c:v>Communication time backward pass: tensor parallellism intra node (s)</c:v>
                      </c:pt>
                    </c:strCache>
                  </c:strRef>
                </c:tx>
                <c:spPr>
                  <a:solidFill>
                    <a:schemeClr val="accent1">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Summary'!$O$8:$O$10</c15:sqref>
                        </c15:formulaRef>
                      </c:ext>
                    </c:extLst>
                    <c:numCache>
                      <c:formatCode>General</c:formatCode>
                      <c:ptCount val="3"/>
                      <c:pt idx="0">
                        <c:v>100353.28173828125</c:v>
                      </c:pt>
                      <c:pt idx="1">
                        <c:v>66902.615071614578</c:v>
                      </c:pt>
                      <c:pt idx="2">
                        <c:v>114688.96130371092</c:v>
                      </c:pt>
                    </c:numCache>
                  </c:numRef>
                </c:val>
                <c:extLst xmlns:c15="http://schemas.microsoft.com/office/drawing/2012/chart">
                  <c:ext xmlns:c16="http://schemas.microsoft.com/office/drawing/2014/chart" uri="{C3380CC4-5D6E-409C-BE32-E72D297353CC}">
                    <c16:uniqueId val="{0000000D-3BB0-4BAB-967F-E3C35F3F772E}"/>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'Scenario Summary'!$P$7</c15:sqref>
                        </c15:formulaRef>
                      </c:ext>
                    </c:extLst>
                    <c:strCache>
                      <c:ptCount val="1"/>
                      <c:pt idx="0">
                        <c:v>Communication time backward pass: tensor parallellism inter node (s)</c:v>
                      </c:pt>
                    </c:strCache>
                  </c:strRef>
                </c:tx>
                <c:spPr>
                  <a:solidFill>
                    <a:schemeClr val="accent2">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Summary'!$P$8:$P$10</c15:sqref>
                        </c15:formulaRef>
                      </c:ext>
                    </c:extLst>
                    <c:numCache>
                      <c:formatCode>General</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3BB0-4BAB-967F-E3C35F3F772E}"/>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'Scenario Summary'!$Q$7</c15:sqref>
                        </c15:formulaRef>
                      </c:ext>
                    </c:extLst>
                    <c:strCache>
                      <c:ptCount val="1"/>
                      <c:pt idx="0">
                        <c:v>Communication time backward pass: pipeline parallellism (s)</c:v>
                      </c:pt>
                    </c:strCache>
                  </c:strRef>
                </c:tx>
                <c:spPr>
                  <a:solidFill>
                    <a:schemeClr val="accent3">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Summary'!$Q$8:$Q$10</c15:sqref>
                        </c15:formulaRef>
                      </c:ext>
                    </c:extLst>
                    <c:numCache>
                      <c:formatCode>General</c:formatCode>
                      <c:ptCount val="3"/>
                      <c:pt idx="0">
                        <c:v>5376.014305114747</c:v>
                      </c:pt>
                      <c:pt idx="1">
                        <c:v>5376.014305114747</c:v>
                      </c:pt>
                      <c:pt idx="2">
                        <c:v>6144.007152557373</c:v>
                      </c:pt>
                    </c:numCache>
                  </c:numRef>
                </c:val>
                <c:extLst xmlns:c15="http://schemas.microsoft.com/office/drawing/2012/chart">
                  <c:ext xmlns:c16="http://schemas.microsoft.com/office/drawing/2014/chart" uri="{C3380CC4-5D6E-409C-BE32-E72D297353CC}">
                    <c16:uniqueId val="{0000000F-3BB0-4BAB-967F-E3C35F3F772E}"/>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'Scenario Summary'!$R$7</c15:sqref>
                        </c15:formulaRef>
                      </c:ext>
                    </c:extLst>
                    <c:strCache>
                      <c:ptCount val="1"/>
                      <c:pt idx="0">
                        <c:v>Communication time backward pass: Zero-DP (ad-hoc model gathering) (s)</c:v>
                      </c:pt>
                    </c:strCache>
                  </c:strRef>
                </c:tx>
                <c:spPr>
                  <a:solidFill>
                    <a:schemeClr val="accent4">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Summary'!$R$8:$R$10</c15:sqref>
                        </c15:formulaRef>
                      </c:ext>
                    </c:extLst>
                    <c:numCache>
                      <c:formatCode>General</c:formatCode>
                      <c:ptCount val="3"/>
                      <c:pt idx="0">
                        <c:v>26432.324010848999</c:v>
                      </c:pt>
                      <c:pt idx="1">
                        <c:v>18069.657344182331</c:v>
                      </c:pt>
                      <c:pt idx="2">
                        <c:v>30208.242114067074</c:v>
                      </c:pt>
                    </c:numCache>
                  </c:numRef>
                </c:val>
                <c:extLst xmlns:c15="http://schemas.microsoft.com/office/drawing/2012/chart">
                  <c:ext xmlns:c16="http://schemas.microsoft.com/office/drawing/2014/chart" uri="{C3380CC4-5D6E-409C-BE32-E72D297353CC}">
                    <c16:uniqueId val="{00000010-3BB0-4BAB-967F-E3C35F3F772E}"/>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'Scenario Summary'!$T$7</c15:sqref>
                        </c15:formulaRef>
                      </c:ext>
                    </c:extLst>
                    <c:strCache>
                      <c:ptCount val="1"/>
                      <c:pt idx="0">
                        <c:v>Communication time: all-reduce gradients for DP intra node (s)</c:v>
                      </c:pt>
                    </c:strCache>
                  </c:strRef>
                </c:tx>
                <c:spPr>
                  <a:solidFill>
                    <a:schemeClr val="accent6">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Summary'!$T$8:$T$10</c15:sqref>
                        </c15:formulaRef>
                      </c:ext>
                    </c:extLst>
                    <c:numCache>
                      <c:formatCode>General</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3BB0-4BAB-967F-E3C35F3F772E}"/>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'Scenario Summary'!$U$7</c15:sqref>
                        </c15:formulaRef>
                      </c:ext>
                    </c:extLst>
                    <c:strCache>
                      <c:ptCount val="1"/>
                      <c:pt idx="0">
                        <c:v>Communication time: all-reduce gradients for DP inter node (s)</c:v>
                      </c:pt>
                    </c:strCache>
                  </c:strRef>
                </c:tx>
                <c:spPr>
                  <a:solidFill>
                    <a:schemeClr val="accent1">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Summary'!$U$8:$U$10</c15:sqref>
                        </c15:formulaRef>
                      </c:ext>
                    </c:extLst>
                    <c:numCache>
                      <c:formatCode>General</c:formatCode>
                      <c:ptCount val="3"/>
                      <c:pt idx="0">
                        <c:v>88364.989257812515</c:v>
                      </c:pt>
                      <c:pt idx="1">
                        <c:v>88364.989257812515</c:v>
                      </c:pt>
                      <c:pt idx="2">
                        <c:v>119266.82006835938</c:v>
                      </c:pt>
                    </c:numCache>
                  </c:numRef>
                </c:val>
                <c:extLst xmlns:c15="http://schemas.microsoft.com/office/drawing/2012/chart">
                  <c:ext xmlns:c16="http://schemas.microsoft.com/office/drawing/2014/chart" uri="{C3380CC4-5D6E-409C-BE32-E72D297353CC}">
                    <c16:uniqueId val="{00000013-3BB0-4BAB-967F-E3C35F3F772E}"/>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'Scenario Summary'!$V$7</c15:sqref>
                        </c15:formulaRef>
                      </c:ext>
                    </c:extLst>
                    <c:strCache>
                      <c:ptCount val="1"/>
                      <c:pt idx="0">
                        <c:v>Communication time: all-reduce gradients for DP total (s)</c:v>
                      </c:pt>
                    </c:strCache>
                  </c:strRef>
                </c:tx>
                <c:spPr>
                  <a:solidFill>
                    <a:srgbClr val="0033CC"/>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Summary'!$V$8:$V$10</c15:sqref>
                        </c15:formulaRef>
                      </c:ext>
                    </c:extLst>
                    <c:numCache>
                      <c:formatCode>General</c:formatCode>
                      <c:ptCount val="3"/>
                      <c:pt idx="0">
                        <c:v>88364.989257812515</c:v>
                      </c:pt>
                      <c:pt idx="1">
                        <c:v>88364.989257812515</c:v>
                      </c:pt>
                      <c:pt idx="2">
                        <c:v>119266.82006835938</c:v>
                      </c:pt>
                    </c:numCache>
                  </c:numRef>
                </c:val>
                <c:extLst xmlns:c15="http://schemas.microsoft.com/office/drawing/2012/chart">
                  <c:ext xmlns:c16="http://schemas.microsoft.com/office/drawing/2014/chart" uri="{C3380CC4-5D6E-409C-BE32-E72D297353CC}">
                    <c16:uniqueId val="{00000014-3BB0-4BAB-967F-E3C35F3F772E}"/>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'Scenario Summary'!$W$7</c15:sqref>
                        </c15:formulaRef>
                      </c:ext>
                    </c:extLst>
                    <c:strCache>
                      <c:ptCount val="1"/>
                      <c:pt idx="0">
                        <c:v>Total MoE communication overhead</c:v>
                      </c:pt>
                    </c:strCache>
                  </c:strRef>
                </c:tx>
                <c:spPr>
                  <a:solidFill>
                    <a:schemeClr val="accent1"/>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Summary'!$W$8:$W$10</c15:sqref>
                        </c15:formulaRef>
                      </c:ext>
                    </c:extLst>
                    <c:numCache>
                      <c:formatCode>General</c:formatCode>
                      <c:ptCount val="3"/>
                      <c:pt idx="0">
                        <c:v>126682.35644531251</c:v>
                      </c:pt>
                      <c:pt idx="1">
                        <c:v>126608.85644531253</c:v>
                      </c:pt>
                      <c:pt idx="2">
                        <c:v>243957.63028369239</c:v>
                      </c:pt>
                    </c:numCache>
                  </c:numRef>
                </c:val>
                <c:extLst xmlns:c15="http://schemas.microsoft.com/office/drawing/2012/chart">
                  <c:ext xmlns:c16="http://schemas.microsoft.com/office/drawing/2014/chart" uri="{C3380CC4-5D6E-409C-BE32-E72D297353CC}">
                    <c16:uniqueId val="{00000015-3BB0-4BAB-967F-E3C35F3F772E}"/>
                  </c:ext>
                </c:extLst>
              </c15:ser>
            </c15:filteredBarSeries>
            <c15:filteredBarSeries>
              <c15:ser>
                <c:idx val="21"/>
                <c:order val="21"/>
                <c:tx>
                  <c:strRef>
                    <c:extLst xmlns:c15="http://schemas.microsoft.com/office/drawing/2012/chart">
                      <c:ext xmlns:c15="http://schemas.microsoft.com/office/drawing/2012/chart" uri="{02D57815-91ED-43cb-92C2-25804820EDAC}">
                        <c15:formulaRef>
                          <c15:sqref>'Scenario Summary'!$X$7</c15:sqref>
                        </c15:formulaRef>
                      </c:ext>
                    </c:extLst>
                    <c:strCache>
                      <c:ptCount val="1"/>
                      <c:pt idx="0">
                        <c:v>Total communication time (s)</c:v>
                      </c:pt>
                    </c:strCache>
                  </c:strRef>
                </c:tx>
                <c:spPr>
                  <a:solidFill>
                    <a:schemeClr val="accent3">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Summary'!$X$8:$X$10</c15:sqref>
                        </c15:formulaRef>
                      </c:ext>
                    </c:extLst>
                    <c:numCache>
                      <c:formatCode>General</c:formatCode>
                      <c:ptCount val="3"/>
                      <c:pt idx="0">
                        <c:v>413290.58581161499</c:v>
                      </c:pt>
                      <c:pt idx="1">
                        <c:v>350497.08581161505</c:v>
                      </c:pt>
                      <c:pt idx="2">
                        <c:v>589786.87149272254</c:v>
                      </c:pt>
                    </c:numCache>
                  </c:numRef>
                </c:val>
                <c:extLst xmlns:c15="http://schemas.microsoft.com/office/drawing/2012/chart">
                  <c:ext xmlns:c16="http://schemas.microsoft.com/office/drawing/2014/chart" uri="{C3380CC4-5D6E-409C-BE32-E72D297353CC}">
                    <c16:uniqueId val="{00000016-3BB0-4BAB-967F-E3C35F3F772E}"/>
                  </c:ext>
                </c:extLst>
              </c15:ser>
            </c15:filteredBarSeries>
          </c:ext>
        </c:extLst>
      </c:barChart>
      <c:catAx>
        <c:axId val="1244747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Configuration</a:t>
                </a:r>
              </a:p>
            </c:rich>
          </c:tx>
          <c:layout>
            <c:manualLayout>
              <c:xMode val="edge"/>
              <c:yMode val="edge"/>
              <c:x val="0.67229482365474036"/>
              <c:y val="0.919821297393670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758904"/>
        <c:crosses val="autoZero"/>
        <c:auto val="1"/>
        <c:lblAlgn val="ctr"/>
        <c:lblOffset val="100"/>
        <c:noMultiLvlLbl val="0"/>
      </c:catAx>
      <c:valAx>
        <c:axId val="1244758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to train (s)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7477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l"/>
      <c:layout>
        <c:manualLayout>
          <c:xMode val="edge"/>
          <c:yMode val="edge"/>
          <c:x val="1.2568732161307307E-2"/>
          <c:y val="0.11475874429485555"/>
          <c:w val="0.312688723181131"/>
          <c:h val="0.4143850937624843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Effective vs peak throughput per accelerator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Effective throughput per accelerator</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'Scenario Summary'!$B$8:$B$10</c:f>
              <c:strCache>
                <c:ptCount val="3"/>
                <c:pt idx="0">
                  <c:v>Test config 1</c:v>
                </c:pt>
                <c:pt idx="1">
                  <c:v>Test config 2</c:v>
                </c:pt>
                <c:pt idx="2">
                  <c:v>Test config 3</c:v>
                </c:pt>
              </c:strCache>
            </c:strRef>
          </c:cat>
          <c:val>
            <c:numRef>
              <c:f>'Scenario Summary'!$AC$8:$AC$10</c:f>
              <c:numCache>
                <c:formatCode>General</c:formatCode>
                <c:ptCount val="3"/>
                <c:pt idx="0">
                  <c:v>63.441697569340469</c:v>
                </c:pt>
                <c:pt idx="1">
                  <c:v>94.786666026240695</c:v>
                </c:pt>
                <c:pt idx="2">
                  <c:v>275.54191198508494</c:v>
                </c:pt>
              </c:numCache>
            </c:numRef>
          </c:val>
          <c:smooth val="0"/>
          <c:extLst>
            <c:ext xmlns:c16="http://schemas.microsoft.com/office/drawing/2014/chart" uri="{C3380CC4-5D6E-409C-BE32-E72D297353CC}">
              <c16:uniqueId val="{00000000-483B-4BCA-A7FA-C4EA8090B511}"/>
            </c:ext>
          </c:extLst>
        </c:ser>
        <c:ser>
          <c:idx val="1"/>
          <c:order val="1"/>
          <c:tx>
            <c:v>Peak throughput per accelerator</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'Scenario Summary'!$B$8:$B$10</c:f>
              <c:strCache>
                <c:ptCount val="3"/>
                <c:pt idx="0">
                  <c:v>Test config 1</c:v>
                </c:pt>
                <c:pt idx="1">
                  <c:v>Test config 2</c:v>
                </c:pt>
                <c:pt idx="2">
                  <c:v>Test config 3</c:v>
                </c:pt>
              </c:strCache>
            </c:strRef>
          </c:cat>
          <c:val>
            <c:numRef>
              <c:f>'Scenario Summary'!$AD$8:$AD$10</c:f>
              <c:numCache>
                <c:formatCode>General</c:formatCode>
                <c:ptCount val="3"/>
                <c:pt idx="0">
                  <c:v>311.86944</c:v>
                </c:pt>
                <c:pt idx="1">
                  <c:v>973.20960000000002</c:v>
                </c:pt>
                <c:pt idx="2">
                  <c:v>973.20960000000002</c:v>
                </c:pt>
              </c:numCache>
            </c:numRef>
          </c:val>
          <c:smooth val="0"/>
          <c:extLst>
            <c:ext xmlns:c16="http://schemas.microsoft.com/office/drawing/2014/chart" uri="{C3380CC4-5D6E-409C-BE32-E72D297353CC}">
              <c16:uniqueId val="{00000002-483B-4BCA-A7FA-C4EA8090B511}"/>
            </c:ext>
          </c:extLst>
        </c:ser>
        <c:dLbls>
          <c:showLegendKey val="0"/>
          <c:showVal val="0"/>
          <c:showCatName val="0"/>
          <c:showSerName val="0"/>
          <c:showPercent val="0"/>
          <c:showBubbleSize val="0"/>
        </c:dLbls>
        <c:marker val="1"/>
        <c:smooth val="0"/>
        <c:axId val="937273952"/>
        <c:axId val="937273624"/>
      </c:lineChart>
      <c:catAx>
        <c:axId val="937273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Configuration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273624"/>
        <c:crosses val="autoZero"/>
        <c:auto val="1"/>
        <c:lblAlgn val="ctr"/>
        <c:lblOffset val="100"/>
        <c:noMultiLvlLbl val="0"/>
      </c:catAx>
      <c:valAx>
        <c:axId val="937273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TFLOP/s per accelerator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273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Current configuration energy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14-4CD1-9A43-9E2CF61160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14-4CD1-9A43-9E2CF61160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14-4CD1-9A43-9E2CF61160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14-4CD1-9A43-9E2CF61160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14-4CD1-9A43-9E2CF61160C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714-4CD1-9A43-9E2CF61160C0}"/>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'Scenario Summary'!$AJ$2:$AO$2</c:f>
              <c:strCache>
                <c:ptCount val="6"/>
                <c:pt idx="0">
                  <c:v>Energy due to accelerators computing</c:v>
                </c:pt>
                <c:pt idx="1">
                  <c:v>Energy due to accelerators idling</c:v>
                </c:pt>
                <c:pt idx="2">
                  <c:v>Energy due to intra node communication</c:v>
                </c:pt>
                <c:pt idx="3">
                  <c:v>Energy due to inter node communication</c:v>
                </c:pt>
                <c:pt idx="4">
                  <c:v>Energy due to overhead of nodes</c:v>
                </c:pt>
                <c:pt idx="5">
                  <c:v>Energy due to overhead of datacenter</c:v>
                </c:pt>
              </c:strCache>
            </c:strRef>
          </c:cat>
          <c:val>
            <c:numRef>
              <c:f>'Scenario Summary'!$AJ$4:$AO$4</c:f>
              <c:numCache>
                <c:formatCode>0%</c:formatCode>
                <c:ptCount val="6"/>
                <c:pt idx="0">
                  <c:v>0.27491408934707906</c:v>
                </c:pt>
                <c:pt idx="1">
                  <c:v>0</c:v>
                </c:pt>
                <c:pt idx="2">
                  <c:v>0</c:v>
                </c:pt>
                <c:pt idx="3">
                  <c:v>0</c:v>
                </c:pt>
                <c:pt idx="4">
                  <c:v>0.5584192439862542</c:v>
                </c:pt>
                <c:pt idx="5">
                  <c:v>0.16666666666666663</c:v>
                </c:pt>
              </c:numCache>
            </c:numRef>
          </c:val>
          <c:extLst>
            <c:ext xmlns:c16="http://schemas.microsoft.com/office/drawing/2014/chart" uri="{C3380CC4-5D6E-409C-BE32-E72D297353CC}">
              <c16:uniqueId val="{00000010-A714-4CD1-9A43-9E2CF61160C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layout>
        <c:manualLayout>
          <c:xMode val="edge"/>
          <c:yMode val="edge"/>
          <c:x val="1.019108280254777E-2"/>
          <c:y val="0.32073216501144008"/>
          <c:w val="0.41781222329071022"/>
          <c:h val="0.60703461948491588"/>
        </c:manualLayout>
      </c:layout>
      <c:overlay val="0"/>
      <c:spPr>
        <a:noFill/>
        <a:ln>
          <a:noFill/>
        </a:ln>
        <a:effectLst/>
      </c:spPr>
      <c:txPr>
        <a:bodyPr rot="0" spcFirstLastPara="1" vertOverflow="ellipsis" vert="horz" wrap="square" anchor="ctr" anchorCtr="1"/>
        <a:lstStyle/>
        <a:p>
          <a:pPr rtl="0">
            <a:defRPr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Current configuration detailed</a:t>
            </a:r>
            <a:r>
              <a:rPr lang="en-GB" baseline="0">
                <a:solidFill>
                  <a:sysClr val="windowText" lastClr="000000"/>
                </a:solidFill>
              </a:rPr>
              <a:t> </a:t>
            </a:r>
            <a:r>
              <a:rPr lang="en-GB">
                <a:solidFill>
                  <a:sysClr val="windowText" lastClr="000000"/>
                </a:solidFill>
              </a:rPr>
              <a:t>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6598773258890686"/>
          <c:y val="0.17796896528076508"/>
          <c:w val="0.41759602783075661"/>
          <c:h val="0.73302485645351334"/>
        </c:manualLayout>
      </c:layout>
      <c:doughnutChart>
        <c:varyColors val="1"/>
        <c:ser>
          <c:idx val="0"/>
          <c:order val="0"/>
          <c:tx>
            <c:strRef>
              <c:f>'Scenario Summary'!$B$4</c:f>
              <c:strCache>
                <c:ptCount val="1"/>
                <c:pt idx="0">
                  <c:v>relative:</c:v>
                </c:pt>
              </c:strCache>
            </c:strRef>
          </c:tx>
          <c:dPt>
            <c:idx val="0"/>
            <c:bubble3D val="0"/>
            <c:spPr>
              <a:solidFill>
                <a:srgbClr val="339966"/>
              </a:solidFill>
              <a:ln w="19050">
                <a:solidFill>
                  <a:schemeClr val="lt1"/>
                </a:solidFill>
              </a:ln>
              <a:effectLst/>
            </c:spPr>
            <c:extLst>
              <c:ext xmlns:c16="http://schemas.microsoft.com/office/drawing/2014/chart" uri="{C3380CC4-5D6E-409C-BE32-E72D297353CC}">
                <c16:uniqueId val="{00000005-2648-4C55-9921-BC198ADC6B15}"/>
              </c:ext>
            </c:extLst>
          </c:dPt>
          <c:dPt>
            <c:idx val="1"/>
            <c:bubble3D val="0"/>
            <c:spPr>
              <a:solidFill>
                <a:srgbClr val="00CC99"/>
              </a:solidFill>
              <a:ln w="19050">
                <a:solidFill>
                  <a:schemeClr val="lt1"/>
                </a:solidFill>
              </a:ln>
              <a:effectLst/>
            </c:spPr>
            <c:extLst>
              <c:ext xmlns:c16="http://schemas.microsoft.com/office/drawing/2014/chart" uri="{C3380CC4-5D6E-409C-BE32-E72D297353CC}">
                <c16:uniqueId val="{00000007-2648-4C55-9921-BC198ADC6B15}"/>
              </c:ext>
            </c:extLst>
          </c:dPt>
          <c:dPt>
            <c:idx val="2"/>
            <c:bubble3D val="0"/>
            <c:spPr>
              <a:solidFill>
                <a:srgbClr val="31CC00"/>
              </a:solidFill>
              <a:ln w="19050">
                <a:solidFill>
                  <a:schemeClr val="lt1"/>
                </a:solidFill>
              </a:ln>
              <a:effectLst/>
            </c:spPr>
            <c:extLst>
              <c:ext xmlns:c16="http://schemas.microsoft.com/office/drawing/2014/chart" uri="{C3380CC4-5D6E-409C-BE32-E72D297353CC}">
                <c16:uniqueId val="{00000009-2648-4C55-9921-BC198ADC6B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D-2648-4C55-9921-BC198ADC6B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0C-42D2-A0E3-626A3CDFB32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0C-42D2-A0E3-626A3CDFB32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60C-42D2-A0E3-626A3CDFB32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60C-42D2-A0E3-626A3CDFB32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60C-42D2-A0E3-626A3CDFB32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60C-42D2-A0E3-626A3CDFB32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60C-42D2-A0E3-626A3CDFB32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60C-42D2-A0E3-626A3CDFB32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60C-42D2-A0E3-626A3CDFB320}"/>
              </c:ext>
            </c:extLst>
          </c:dPt>
          <c:dPt>
            <c:idx val="13"/>
            <c:bubble3D val="0"/>
            <c:spPr>
              <a:solidFill>
                <a:schemeClr val="accent1"/>
              </a:solidFill>
              <a:ln w="19050">
                <a:solidFill>
                  <a:schemeClr val="lt1"/>
                </a:solidFill>
              </a:ln>
              <a:effectLst/>
            </c:spPr>
            <c:extLst>
              <c:ext xmlns:c16="http://schemas.microsoft.com/office/drawing/2014/chart" uri="{C3380CC4-5D6E-409C-BE32-E72D297353CC}">
                <c16:uniqueId val="{0000001B-B60C-42D2-A0E3-626A3CDFB320}"/>
              </c:ext>
            </c:extLst>
          </c:dPt>
          <c:dPt>
            <c:idx val="14"/>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1D-B60C-42D2-A0E3-626A3CDFB320}"/>
              </c:ext>
            </c:extLst>
          </c:dPt>
          <c:dLbls>
            <c:dLbl>
              <c:idx val="13"/>
              <c:layout>
                <c:manualLayout>
                  <c:x val="-5.2322958953540888E-2"/>
                  <c:y val="-0.1340402291981522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B-B60C-42D2-A0E3-626A3CDFB32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'Scenario Summary'!$C$2:$Y$2</c15:sqref>
                  </c15:fullRef>
                </c:ext>
              </c:extLst>
              <c:f>('Scenario Summary'!$F$2:$H$2,'Scenario Summary'!$J$2:$M$2,'Scenario Summary'!$O$2:$R$2,'Scenario Summary'!$T$2:$U$2,'Scenario Summary'!$W$2,'Scenario Summary'!$Y$2)</c:f>
              <c:strCache>
                <c:ptCount val="15"/>
                <c:pt idx="0">
                  <c:v>Computation time forward pass (s)</c:v>
                </c:pt>
                <c:pt idx="1">
                  <c:v>Computation time backward pass (s)</c:v>
                </c:pt>
                <c:pt idx="2">
                  <c:v>Computation time weight updates (s)</c:v>
                </c:pt>
                <c:pt idx="3">
                  <c:v>Communication time forward pass: tensor parallellism intra node (s)</c:v>
                </c:pt>
                <c:pt idx="4">
                  <c:v>Communication time forward pass: tensor parallellism inter node (s)</c:v>
                </c:pt>
                <c:pt idx="5">
                  <c:v>Communication time forward pass: pipeline parallellism (s)</c:v>
                </c:pt>
                <c:pt idx="6">
                  <c:v>Communication time forward pass: Zero-DP (ad-hoc model gathering) (s)</c:v>
                </c:pt>
                <c:pt idx="7">
                  <c:v>Communication time backward pass: tensor parallellism intra node (s)</c:v>
                </c:pt>
                <c:pt idx="8">
                  <c:v>Communication time backward pass: tensor parallellism inter node (s)</c:v>
                </c:pt>
                <c:pt idx="9">
                  <c:v>Communication time backward pass: pipeline parallellism (s)</c:v>
                </c:pt>
                <c:pt idx="10">
                  <c:v>Communication time backward pass: Zero-DP (ad-hoc model gathering) (s)</c:v>
                </c:pt>
                <c:pt idx="11">
                  <c:v>Communication time: all-reduce gradients for DP intra node (s)</c:v>
                </c:pt>
                <c:pt idx="12">
                  <c:v>Communication time: all-reduce gradients for DP inter node (s)</c:v>
                </c:pt>
                <c:pt idx="13">
                  <c:v>Total MoE communication overhead</c:v>
                </c:pt>
                <c:pt idx="14">
                  <c:v>Waiting Time due to pipeline bubbles (s)</c:v>
                </c:pt>
              </c:strCache>
            </c:strRef>
          </c:cat>
          <c:val>
            <c:numRef>
              <c:extLst>
                <c:ext xmlns:c15="http://schemas.microsoft.com/office/drawing/2012/chart" uri="{02D57815-91ED-43cb-92C2-25804820EDAC}">
                  <c15:fullRef>
                    <c15:sqref>'Scenario Summary'!$C$4:$Y$4</c15:sqref>
                  </c15:fullRef>
                </c:ext>
              </c:extLst>
              <c:f>('Scenario Summary'!$F$4:$H$4,'Scenario Summary'!$J$4:$M$4,'Scenario Summary'!$O$4:$R$4,'Scenario Summary'!$T$4:$U$4,'Scenario Summary'!$W$4,'Scenario Summary'!$Y$4)</c:f>
              <c:numCache>
                <c:formatCode>General</c:formatCode>
                <c:ptCount val="15"/>
                <c:pt idx="0" formatCode="0%">
                  <c:v>0.2857699291189349</c:v>
                </c:pt>
                <c:pt idx="1" formatCode="0%">
                  <c:v>0.57141002362702176</c:v>
                </c:pt>
                <c:pt idx="2" formatCode="0%">
                  <c:v>0.1428200472540434</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00%">
                  <c:v>0</c:v>
                </c:pt>
                <c:pt idx="14" formatCode="0%">
                  <c:v>0</c:v>
                </c:pt>
              </c:numCache>
            </c:numRef>
          </c:val>
          <c:extLst>
            <c:ext xmlns:c15="http://schemas.microsoft.com/office/drawing/2012/chart" uri="{02D57815-91ED-43cb-92C2-25804820EDAC}">
              <c15:categoryFilterExceptions>
                <c15:categoryFilterException>
                  <c15:sqref>'Scenario Summary'!$S$4</c15:sqref>
                  <c15:spPr xmlns:c15="http://schemas.microsoft.com/office/drawing/2012/chart">
                    <a:solidFill>
                      <a:srgbClr val="C00000"/>
                    </a:solidFill>
                    <a:ln w="19050">
                      <a:solidFill>
                        <a:schemeClr val="lt1"/>
                      </a:solidFill>
                    </a:ln>
                    <a:effectLst/>
                  </c15:spPr>
                  <c15:bubble3D val="0"/>
                </c15:categoryFilterException>
                <c15:categoryFilterException>
                  <c15:sqref>'Scenario Summary'!$V$4</c15:sqref>
                  <c15:spPr xmlns:c15="http://schemas.microsoft.com/office/drawing/2012/chart">
                    <a:solidFill>
                      <a:srgbClr val="0033CC"/>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E-2648-4C55-9921-BC198ADC6B1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layout>
        <c:manualLayout>
          <c:xMode val="edge"/>
          <c:yMode val="edge"/>
          <c:x val="1.019108280254777E-2"/>
          <c:y val="7.6598316951202686E-2"/>
          <c:w val="0.41781222329071022"/>
          <c:h val="0.92340168304879733"/>
        </c:manualLayout>
      </c:layout>
      <c:overlay val="0"/>
      <c:spPr>
        <a:noFill/>
        <a:ln>
          <a:noFill/>
        </a:ln>
        <a:effectLst/>
      </c:spPr>
      <c:txPr>
        <a:bodyPr rot="0" spcFirstLastPara="1" vertOverflow="ellipsis" vert="horz" wrap="square" anchor="ctr" anchorCtr="1"/>
        <a:lstStyle/>
        <a:p>
          <a:pPr rtl="0">
            <a:defRPr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'Scenario Summary'!$AG$7</c:f>
              <c:strCache>
                <c:ptCount val="1"/>
                <c:pt idx="0">
                  <c:v>Energy efficiency (ops/s/W or ops/J) ) aka inverse of power delay product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'Scenario Summary'!$B$8:$B$10</c:f>
              <c:strCache>
                <c:ptCount val="3"/>
                <c:pt idx="0">
                  <c:v>Test config 1</c:v>
                </c:pt>
                <c:pt idx="1">
                  <c:v>Test config 2</c:v>
                </c:pt>
                <c:pt idx="2">
                  <c:v>Test config 3</c:v>
                </c:pt>
              </c:strCache>
            </c:strRef>
          </c:cat>
          <c:val>
            <c:numRef>
              <c:f>'Scenario Summary'!$AG$8:$AG$10</c:f>
              <c:numCache>
                <c:formatCode>General</c:formatCode>
                <c:ptCount val="3"/>
                <c:pt idx="0">
                  <c:v>158852696623.69916</c:v>
                </c:pt>
                <c:pt idx="1">
                  <c:v>296639849761.8056</c:v>
                </c:pt>
                <c:pt idx="2">
                  <c:v>639129752745.64978</c:v>
                </c:pt>
              </c:numCache>
            </c:numRef>
          </c:val>
          <c:smooth val="0"/>
          <c:extLst>
            <c:ext xmlns:c16="http://schemas.microsoft.com/office/drawing/2014/chart" uri="{C3380CC4-5D6E-409C-BE32-E72D297353CC}">
              <c16:uniqueId val="{00000000-1EF0-4B38-AC39-BA08A34E28FB}"/>
            </c:ext>
          </c:extLst>
        </c:ser>
        <c:dLbls>
          <c:showLegendKey val="0"/>
          <c:showVal val="0"/>
          <c:showCatName val="0"/>
          <c:showSerName val="0"/>
          <c:showPercent val="0"/>
          <c:showBubbleSize val="0"/>
        </c:dLbls>
        <c:marker val="1"/>
        <c:smooth val="0"/>
        <c:axId val="937273952"/>
        <c:axId val="937273624"/>
      </c:lineChart>
      <c:catAx>
        <c:axId val="937273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Configuration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273624"/>
        <c:crosses val="autoZero"/>
        <c:auto val="1"/>
        <c:lblAlgn val="ctr"/>
        <c:lblOffset val="100"/>
        <c:noMultiLvlLbl val="0"/>
      </c:catAx>
      <c:valAx>
        <c:axId val="937273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Energy efficiency (OPS/s/W)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273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Training energy for different configurations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33"/>
          <c:order val="33"/>
          <c:tx>
            <c:strRef>
              <c:f>'Scenario Summary'!$AJ$7</c:f>
              <c:strCache>
                <c:ptCount val="1"/>
                <c:pt idx="0">
                  <c:v>Energy due to accelerators computing</c:v>
                </c:pt>
              </c:strCache>
            </c:strRef>
          </c:tx>
          <c:spPr>
            <a:solidFill>
              <a:schemeClr val="accent4">
                <a:lumMod val="50000"/>
              </a:schemeClr>
            </a:solidFill>
            <a:ln>
              <a:noFill/>
            </a:ln>
            <a:effectLst/>
          </c:spPr>
          <c:invertIfNegative val="0"/>
          <c:cat>
            <c:strRef>
              <c:f>'Scenario Summary'!$B$8:$B$10</c:f>
              <c:strCache>
                <c:ptCount val="3"/>
                <c:pt idx="0">
                  <c:v>Test config 1</c:v>
                </c:pt>
                <c:pt idx="1">
                  <c:v>Test config 2</c:v>
                </c:pt>
                <c:pt idx="2">
                  <c:v>Test config 3</c:v>
                </c:pt>
              </c:strCache>
            </c:strRef>
          </c:cat>
          <c:val>
            <c:numRef>
              <c:f>'Scenario Summary'!$AJ$8:$AJ$10</c:f>
              <c:numCache>
                <c:formatCode>General</c:formatCode>
                <c:ptCount val="3"/>
                <c:pt idx="0">
                  <c:v>239115219700.1236</c:v>
                </c:pt>
                <c:pt idx="1">
                  <c:v>65401434596.733871</c:v>
                </c:pt>
                <c:pt idx="2">
                  <c:v>755040531736.47754</c:v>
                </c:pt>
              </c:numCache>
            </c:numRef>
          </c:val>
          <c:extLst>
            <c:ext xmlns:c16="http://schemas.microsoft.com/office/drawing/2014/chart" uri="{C3380CC4-5D6E-409C-BE32-E72D297353CC}">
              <c16:uniqueId val="{00000021-8A80-4B35-A408-C0BF5ED25355}"/>
            </c:ext>
          </c:extLst>
        </c:ser>
        <c:ser>
          <c:idx val="34"/>
          <c:order val="34"/>
          <c:tx>
            <c:strRef>
              <c:f>'Scenario Summary'!$AK$7</c:f>
              <c:strCache>
                <c:ptCount val="1"/>
                <c:pt idx="0">
                  <c:v>Energy due to accelerators idling</c:v>
                </c:pt>
              </c:strCache>
            </c:strRef>
          </c:tx>
          <c:spPr>
            <a:solidFill>
              <a:schemeClr val="accent5">
                <a:lumMod val="50000"/>
              </a:schemeClr>
            </a:solidFill>
            <a:ln>
              <a:noFill/>
            </a:ln>
            <a:effectLst/>
          </c:spPr>
          <c:invertIfNegative val="0"/>
          <c:cat>
            <c:strRef>
              <c:f>'Scenario Summary'!$B$8:$B$10</c:f>
              <c:strCache>
                <c:ptCount val="3"/>
                <c:pt idx="0">
                  <c:v>Test config 1</c:v>
                </c:pt>
                <c:pt idx="1">
                  <c:v>Test config 2</c:v>
                </c:pt>
                <c:pt idx="2">
                  <c:v>Test config 3</c:v>
                </c:pt>
              </c:strCache>
            </c:strRef>
          </c:cat>
          <c:val>
            <c:numRef>
              <c:f>'Scenario Summary'!$AK$8:$AK$10</c:f>
              <c:numCache>
                <c:formatCode>General</c:formatCode>
                <c:ptCount val="3"/>
                <c:pt idx="0">
                  <c:v>56692696264.283745</c:v>
                </c:pt>
                <c:pt idx="1">
                  <c:v>48363764561.229691</c:v>
                </c:pt>
                <c:pt idx="2">
                  <c:v>83409624778.351318</c:v>
                </c:pt>
              </c:numCache>
            </c:numRef>
          </c:val>
          <c:extLst>
            <c:ext xmlns:c16="http://schemas.microsoft.com/office/drawing/2014/chart" uri="{C3380CC4-5D6E-409C-BE32-E72D297353CC}">
              <c16:uniqueId val="{00000022-8A80-4B35-A408-C0BF5ED25355}"/>
            </c:ext>
          </c:extLst>
        </c:ser>
        <c:ser>
          <c:idx val="35"/>
          <c:order val="35"/>
          <c:tx>
            <c:strRef>
              <c:f>'Scenario Summary'!$AL$7</c:f>
              <c:strCache>
                <c:ptCount val="1"/>
                <c:pt idx="0">
                  <c:v>Energy due to intra node communication</c:v>
                </c:pt>
              </c:strCache>
            </c:strRef>
          </c:tx>
          <c:spPr>
            <a:solidFill>
              <a:schemeClr val="accent6">
                <a:lumMod val="50000"/>
              </a:schemeClr>
            </a:solidFill>
            <a:ln>
              <a:noFill/>
            </a:ln>
            <a:effectLst/>
          </c:spPr>
          <c:invertIfNegative val="0"/>
          <c:cat>
            <c:strRef>
              <c:f>'Scenario Summary'!$B$8:$B$10</c:f>
              <c:strCache>
                <c:ptCount val="3"/>
                <c:pt idx="0">
                  <c:v>Test config 1</c:v>
                </c:pt>
                <c:pt idx="1">
                  <c:v>Test config 2</c:v>
                </c:pt>
                <c:pt idx="2">
                  <c:v>Test config 3</c:v>
                </c:pt>
              </c:strCache>
            </c:strRef>
          </c:cat>
          <c:val>
            <c:numRef>
              <c:f>'Scenario Summary'!$AL$8:$AL$10</c:f>
              <c:numCache>
                <c:formatCode>General</c:formatCode>
                <c:ptCount val="3"/>
                <c:pt idx="0">
                  <c:v>8880128409.6000004</c:v>
                </c:pt>
                <c:pt idx="1">
                  <c:v>8880128409.6000004</c:v>
                </c:pt>
                <c:pt idx="2">
                  <c:v>15223121346.236994</c:v>
                </c:pt>
              </c:numCache>
            </c:numRef>
          </c:val>
          <c:extLst>
            <c:ext xmlns:c16="http://schemas.microsoft.com/office/drawing/2014/chart" uri="{C3380CC4-5D6E-409C-BE32-E72D297353CC}">
              <c16:uniqueId val="{00000023-8A80-4B35-A408-C0BF5ED25355}"/>
            </c:ext>
          </c:extLst>
        </c:ser>
        <c:ser>
          <c:idx val="36"/>
          <c:order val="36"/>
          <c:tx>
            <c:strRef>
              <c:f>'Scenario Summary'!$AM$7</c:f>
              <c:strCache>
                <c:ptCount val="1"/>
                <c:pt idx="0">
                  <c:v>Energy due to inter node communication</c:v>
                </c:pt>
              </c:strCache>
            </c:strRef>
          </c:tx>
          <c:spPr>
            <a:solidFill>
              <a:schemeClr val="accent1">
                <a:lumMod val="70000"/>
                <a:lumOff val="30000"/>
              </a:schemeClr>
            </a:solidFill>
            <a:ln>
              <a:noFill/>
            </a:ln>
            <a:effectLst/>
          </c:spPr>
          <c:invertIfNegative val="0"/>
          <c:cat>
            <c:strRef>
              <c:f>'Scenario Summary'!$B$8:$B$10</c:f>
              <c:strCache>
                <c:ptCount val="3"/>
                <c:pt idx="0">
                  <c:v>Test config 1</c:v>
                </c:pt>
                <c:pt idx="1">
                  <c:v>Test config 2</c:v>
                </c:pt>
                <c:pt idx="2">
                  <c:v>Test config 3</c:v>
                </c:pt>
              </c:strCache>
            </c:strRef>
          </c:cat>
          <c:val>
            <c:numRef>
              <c:f>'Scenario Summary'!$AM$8:$AM$10</c:f>
              <c:numCache>
                <c:formatCode>General</c:formatCode>
                <c:ptCount val="3"/>
                <c:pt idx="0">
                  <c:v>2733922560</c:v>
                </c:pt>
                <c:pt idx="1">
                  <c:v>2733922560</c:v>
                </c:pt>
                <c:pt idx="2">
                  <c:v>3686499360</c:v>
                </c:pt>
              </c:numCache>
            </c:numRef>
          </c:val>
          <c:extLst>
            <c:ext xmlns:c16="http://schemas.microsoft.com/office/drawing/2014/chart" uri="{C3380CC4-5D6E-409C-BE32-E72D297353CC}">
              <c16:uniqueId val="{00000024-8A80-4B35-A408-C0BF5ED25355}"/>
            </c:ext>
          </c:extLst>
        </c:ser>
        <c:ser>
          <c:idx val="37"/>
          <c:order val="37"/>
          <c:tx>
            <c:strRef>
              <c:f>'Scenario Summary'!$AN$7</c:f>
              <c:strCache>
                <c:ptCount val="1"/>
                <c:pt idx="0">
                  <c:v>Energy due to overhead of nodes</c:v>
                </c:pt>
              </c:strCache>
            </c:strRef>
          </c:tx>
          <c:spPr>
            <a:solidFill>
              <a:schemeClr val="accent2">
                <a:lumMod val="70000"/>
                <a:lumOff val="30000"/>
              </a:schemeClr>
            </a:solidFill>
            <a:ln>
              <a:noFill/>
            </a:ln>
            <a:effectLst/>
          </c:spPr>
          <c:invertIfNegative val="0"/>
          <c:cat>
            <c:strRef>
              <c:f>'Scenario Summary'!$B$8:$B$10</c:f>
              <c:strCache>
                <c:ptCount val="3"/>
                <c:pt idx="0">
                  <c:v>Test config 1</c:v>
                </c:pt>
                <c:pt idx="1">
                  <c:v>Test config 2</c:v>
                </c:pt>
                <c:pt idx="2">
                  <c:v>Test config 3</c:v>
                </c:pt>
              </c:strCache>
            </c:strRef>
          </c:cat>
          <c:val>
            <c:numRef>
              <c:f>'Scenario Summary'!$AN$8:$AN$10</c:f>
              <c:numCache>
                <c:formatCode>General</c:formatCode>
                <c:ptCount val="3"/>
                <c:pt idx="0">
                  <c:v>293320928567.85541</c:v>
                </c:pt>
                <c:pt idx="1">
                  <c:v>196322736320.40564</c:v>
                </c:pt>
                <c:pt idx="2">
                  <c:v>708050279447.29016</c:v>
                </c:pt>
              </c:numCache>
            </c:numRef>
          </c:val>
          <c:extLst>
            <c:ext xmlns:c16="http://schemas.microsoft.com/office/drawing/2014/chart" uri="{C3380CC4-5D6E-409C-BE32-E72D297353CC}">
              <c16:uniqueId val="{00000025-8A80-4B35-A408-C0BF5ED25355}"/>
            </c:ext>
          </c:extLst>
        </c:ser>
        <c:ser>
          <c:idx val="38"/>
          <c:order val="38"/>
          <c:tx>
            <c:strRef>
              <c:f>'Scenario Summary'!$AO$7</c:f>
              <c:strCache>
                <c:ptCount val="1"/>
                <c:pt idx="0">
                  <c:v>Energy due to overhead of datacenter</c:v>
                </c:pt>
              </c:strCache>
            </c:strRef>
          </c:tx>
          <c:spPr>
            <a:solidFill>
              <a:schemeClr val="accent3">
                <a:lumMod val="70000"/>
                <a:lumOff val="30000"/>
              </a:schemeClr>
            </a:solidFill>
            <a:ln>
              <a:noFill/>
            </a:ln>
            <a:effectLst/>
          </c:spPr>
          <c:invertIfNegative val="0"/>
          <c:cat>
            <c:strRef>
              <c:f>'Scenario Summary'!$B$8:$B$10</c:f>
              <c:strCache>
                <c:ptCount val="3"/>
                <c:pt idx="0">
                  <c:v>Test config 1</c:v>
                </c:pt>
                <c:pt idx="1">
                  <c:v>Test config 2</c:v>
                </c:pt>
                <c:pt idx="2">
                  <c:v>Test config 3</c:v>
                </c:pt>
              </c:strCache>
            </c:strRef>
          </c:cat>
          <c:val>
            <c:numRef>
              <c:f>'Scenario Summary'!$AO$8:$AO$10</c:f>
              <c:numCache>
                <c:formatCode>General</c:formatCode>
                <c:ptCount val="3"/>
                <c:pt idx="0">
                  <c:v>120148579100.37253</c:v>
                </c:pt>
                <c:pt idx="1">
                  <c:v>64340397289.593834</c:v>
                </c:pt>
                <c:pt idx="2">
                  <c:v>313082011333.67114</c:v>
                </c:pt>
              </c:numCache>
            </c:numRef>
          </c:val>
          <c:extLst>
            <c:ext xmlns:c16="http://schemas.microsoft.com/office/drawing/2014/chart" uri="{C3380CC4-5D6E-409C-BE32-E72D297353CC}">
              <c16:uniqueId val="{00000026-8A80-4B35-A408-C0BF5ED25355}"/>
            </c:ext>
          </c:extLst>
        </c:ser>
        <c:dLbls>
          <c:showLegendKey val="0"/>
          <c:showVal val="0"/>
          <c:showCatName val="0"/>
          <c:showSerName val="0"/>
          <c:showPercent val="0"/>
          <c:showBubbleSize val="0"/>
        </c:dLbls>
        <c:gapWidth val="150"/>
        <c:overlap val="100"/>
        <c:axId val="1244747752"/>
        <c:axId val="1244758904"/>
        <c:extLst>
          <c:ext xmlns:c15="http://schemas.microsoft.com/office/drawing/2012/chart" uri="{02D57815-91ED-43cb-92C2-25804820EDAC}">
            <c15:filteredBarSeries>
              <c15:ser>
                <c:idx val="0"/>
                <c:order val="0"/>
                <c:tx>
                  <c:strRef>
                    <c:extLst>
                      <c:ext uri="{02D57815-91ED-43cb-92C2-25804820EDAC}">
                        <c15:formulaRef>
                          <c15:sqref>'Scenario Summary'!$C$7</c15:sqref>
                        </c15:formulaRef>
                      </c:ext>
                    </c:extLst>
                    <c:strCache>
                      <c:ptCount val="1"/>
                      <c:pt idx="0">
                        <c:v>Total time to train (s)</c:v>
                      </c:pt>
                    </c:strCache>
                  </c:strRef>
                </c:tx>
                <c:spPr>
                  <a:solidFill>
                    <a:schemeClr val="accent1"/>
                  </a:solidFill>
                  <a:ln>
                    <a:noFill/>
                  </a:ln>
                  <a:effectLst/>
                </c:spPr>
                <c:invertIfNegative val="0"/>
                <c:cat>
                  <c:strRef>
                    <c:extLst>
                      <c:ext uri="{02D57815-91ED-43cb-92C2-25804820EDAC}">
                        <c15:formulaRef>
                          <c15:sqref>'Scenario Summary'!$B$8:$B$10</c15:sqref>
                        </c15:formulaRef>
                      </c:ext>
                    </c:extLst>
                    <c:strCache>
                      <c:ptCount val="3"/>
                      <c:pt idx="0">
                        <c:v>Test config 1</c:v>
                      </c:pt>
                      <c:pt idx="1">
                        <c:v>Test config 2</c:v>
                      </c:pt>
                      <c:pt idx="2">
                        <c:v>Test config 3</c:v>
                      </c:pt>
                    </c:strCache>
                  </c:strRef>
                </c:cat>
                <c:val>
                  <c:numRef>
                    <c:extLst>
                      <c:ext uri="{02D57815-91ED-43cb-92C2-25804820EDAC}">
                        <c15:formulaRef>
                          <c15:sqref>'Scenario Summary'!$C$8:$C$10</c15:sqref>
                        </c15:formulaRef>
                      </c:ext>
                    </c:extLst>
                    <c:numCache>
                      <c:formatCode>General</c:formatCode>
                      <c:ptCount val="3"/>
                      <c:pt idx="0">
                        <c:v>1175163.9766340361</c:v>
                      </c:pt>
                      <c:pt idx="1">
                        <c:v>786549.42436059949</c:v>
                      </c:pt>
                      <c:pt idx="2">
                        <c:v>2836739.9016317711</c:v>
                      </c:pt>
                    </c:numCache>
                  </c:numRef>
                </c:val>
                <c:extLst>
                  <c:ext xmlns:c16="http://schemas.microsoft.com/office/drawing/2014/chart" uri="{C3380CC4-5D6E-409C-BE32-E72D297353CC}">
                    <c16:uniqueId val="{00000006-8A80-4B35-A408-C0BF5ED2535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'Scenario Summary'!$D$7</c15:sqref>
                        </c15:formulaRef>
                      </c:ext>
                    </c:extLst>
                    <c:strCache>
                      <c:ptCount val="1"/>
                      <c:pt idx="0">
                        <c:v>Total time to train (days)</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Summary'!$D$8:$D$10</c15:sqref>
                        </c15:formulaRef>
                      </c:ext>
                    </c:extLst>
                    <c:numCache>
                      <c:formatCode>General</c:formatCode>
                      <c:ptCount val="3"/>
                      <c:pt idx="0">
                        <c:v>13.601434914745788</c:v>
                      </c:pt>
                      <c:pt idx="1">
                        <c:v>9.1035813004699015</c:v>
                      </c:pt>
                      <c:pt idx="2">
                        <c:v>32.832637750367724</c:v>
                      </c:pt>
                    </c:numCache>
                  </c:numRef>
                </c:val>
                <c:extLst xmlns:c15="http://schemas.microsoft.com/office/drawing/2012/chart">
                  <c:ext xmlns:c16="http://schemas.microsoft.com/office/drawing/2014/chart" uri="{C3380CC4-5D6E-409C-BE32-E72D297353CC}">
                    <c16:uniqueId val="{00000007-8A80-4B35-A408-C0BF5ED2535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'Scenario Summary'!$E$7</c15:sqref>
                        </c15:formulaRef>
                      </c:ext>
                    </c:extLst>
                    <c:strCache>
                      <c:ptCount val="1"/>
                      <c:pt idx="0">
                        <c:v>Total time to train (years)</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Summary'!$E$8:$E$10</c15:sqref>
                        </c15:formulaRef>
                      </c:ext>
                    </c:extLst>
                    <c:numCache>
                      <c:formatCode>General</c:formatCode>
                      <c:ptCount val="3"/>
                      <c:pt idx="0">
                        <c:v>3.7264205245878868E-2</c:v>
                      </c:pt>
                      <c:pt idx="1">
                        <c:v>2.4941318631424389E-2</c:v>
                      </c:pt>
                      <c:pt idx="2">
                        <c:v>8.9952432192788284E-2</c:v>
                      </c:pt>
                    </c:numCache>
                  </c:numRef>
                </c:val>
                <c:extLst xmlns:c15="http://schemas.microsoft.com/office/drawing/2012/chart">
                  <c:ext xmlns:c16="http://schemas.microsoft.com/office/drawing/2014/chart" uri="{C3380CC4-5D6E-409C-BE32-E72D297353CC}">
                    <c16:uniqueId val="{00000008-8A80-4B35-A408-C0BF5ED2535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'Scenario Summary'!$F$7</c15:sqref>
                        </c15:formulaRef>
                      </c:ext>
                    </c:extLst>
                    <c:strCache>
                      <c:ptCount val="1"/>
                      <c:pt idx="0">
                        <c:v>Computation time forward pass (s)</c:v>
                      </c:pt>
                    </c:strCache>
                  </c:strRef>
                </c:tx>
                <c:spPr>
                  <a:solidFill>
                    <a:srgbClr val="339966"/>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Summary'!$F$8:$F$10</c15:sqref>
                        </c15:formulaRef>
                      </c:ext>
                    </c:extLst>
                    <c:numCache>
                      <c:formatCode>General</c:formatCode>
                      <c:ptCount val="3"/>
                      <c:pt idx="0">
                        <c:v>130803.82896515216</c:v>
                      </c:pt>
                      <c:pt idx="1">
                        <c:v>41966.45270373184</c:v>
                      </c:pt>
                      <c:pt idx="2">
                        <c:v>438548.01197541389</c:v>
                      </c:pt>
                    </c:numCache>
                  </c:numRef>
                </c:val>
                <c:extLst xmlns:c15="http://schemas.microsoft.com/office/drawing/2012/chart">
                  <c:ext xmlns:c16="http://schemas.microsoft.com/office/drawing/2014/chart" uri="{C3380CC4-5D6E-409C-BE32-E72D297353CC}">
                    <c16:uniqueId val="{00000000-8A80-4B35-A408-C0BF5ED2535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'Scenario Summary'!$G$7</c15:sqref>
                        </c15:formulaRef>
                      </c:ext>
                    </c:extLst>
                    <c:strCache>
                      <c:ptCount val="1"/>
                      <c:pt idx="0">
                        <c:v>Computation time backward pass (s)</c:v>
                      </c:pt>
                    </c:strCache>
                  </c:strRef>
                </c:tx>
                <c:spPr>
                  <a:solidFill>
                    <a:srgbClr val="00CC99"/>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Summary'!$G$8:$G$10</c15:sqref>
                        </c15:formulaRef>
                      </c:ext>
                    </c:extLst>
                    <c:numCache>
                      <c:formatCode>General</c:formatCode>
                      <c:ptCount val="3"/>
                      <c:pt idx="0">
                        <c:v>261274.84173645091</c:v>
                      </c:pt>
                      <c:pt idx="1">
                        <c:v>83776.481796352557</c:v>
                      </c:pt>
                      <c:pt idx="2">
                        <c:v>876895.04738832789</c:v>
                      </c:pt>
                    </c:numCache>
                  </c:numRef>
                </c:val>
                <c:extLst xmlns:c15="http://schemas.microsoft.com/office/drawing/2012/chart">
                  <c:ext xmlns:c16="http://schemas.microsoft.com/office/drawing/2014/chart" uri="{C3380CC4-5D6E-409C-BE32-E72D297353CC}">
                    <c16:uniqueId val="{00000001-8A80-4B35-A408-C0BF5ED2535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'Scenario Summary'!$H$7</c15:sqref>
                        </c15:formulaRef>
                      </c:ext>
                    </c:extLst>
                    <c:strCache>
                      <c:ptCount val="1"/>
                      <c:pt idx="0">
                        <c:v>Computation time weight updates (s)</c:v>
                      </c:pt>
                    </c:strCache>
                  </c:strRef>
                </c:tx>
                <c:spPr>
                  <a:solidFill>
                    <a:srgbClr val="31CC00"/>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Summary'!$H$8:$H$10</c15:sqref>
                        </c15:formulaRef>
                      </c:ext>
                    </c:extLst>
                    <c:numCache>
                      <c:formatCode>General</c:formatCode>
                      <c:ptCount val="3"/>
                      <c:pt idx="0">
                        <c:v>65785.950354087065</c:v>
                      </c:pt>
                      <c:pt idx="1">
                        <c:v>21081.40681801426</c:v>
                      </c:pt>
                      <c:pt idx="2">
                        <c:v>379601.2378176463</c:v>
                      </c:pt>
                    </c:numCache>
                  </c:numRef>
                </c:val>
                <c:extLst xmlns:c15="http://schemas.microsoft.com/office/drawing/2012/chart">
                  <c:ext xmlns:c16="http://schemas.microsoft.com/office/drawing/2014/chart" uri="{C3380CC4-5D6E-409C-BE32-E72D297353CC}">
                    <c16:uniqueId val="{00000002-8A80-4B35-A408-C0BF5ED25355}"/>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'Scenario Summary'!$I$7</c15:sqref>
                        </c15:formulaRef>
                      </c:ext>
                    </c:extLst>
                    <c:strCache>
                      <c:ptCount val="1"/>
                      <c:pt idx="0">
                        <c:v>Total computation time (s)</c:v>
                      </c:pt>
                    </c:strCache>
                  </c:strRef>
                </c:tx>
                <c:spPr>
                  <a:solidFill>
                    <a:schemeClr val="accent1">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Summary'!$I$8:$I$10</c15:sqref>
                        </c15:formulaRef>
                      </c:ext>
                    </c:extLst>
                    <c:numCache>
                      <c:formatCode>General</c:formatCode>
                      <c:ptCount val="3"/>
                      <c:pt idx="0">
                        <c:v>457864.62105569011</c:v>
                      </c:pt>
                      <c:pt idx="1">
                        <c:v>146824.34131809865</c:v>
                      </c:pt>
                      <c:pt idx="2">
                        <c:v>1695044.2971813881</c:v>
                      </c:pt>
                    </c:numCache>
                  </c:numRef>
                </c:val>
                <c:extLst xmlns:c15="http://schemas.microsoft.com/office/drawing/2012/chart">
                  <c:ext xmlns:c16="http://schemas.microsoft.com/office/drawing/2014/chart" uri="{C3380CC4-5D6E-409C-BE32-E72D297353CC}">
                    <c16:uniqueId val="{00000009-8A80-4B35-A408-C0BF5ED2535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'Scenario Summary'!$J$7</c15:sqref>
                        </c15:formulaRef>
                      </c:ext>
                    </c:extLst>
                    <c:strCache>
                      <c:ptCount val="1"/>
                      <c:pt idx="0">
                        <c:v>Communication time forward pass: tensor parallellism intra node (s)</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Summary'!$J$8:$J$10</c15:sqref>
                        </c15:formulaRef>
                      </c:ext>
                    </c:extLst>
                    <c:numCache>
                      <c:formatCode>General</c:formatCode>
                      <c:ptCount val="3"/>
                      <c:pt idx="0">
                        <c:v>50177.28173828125</c:v>
                      </c:pt>
                      <c:pt idx="1">
                        <c:v>33451.948404947914</c:v>
                      </c:pt>
                      <c:pt idx="2">
                        <c:v>57344.96130371093</c:v>
                      </c:pt>
                    </c:numCache>
                  </c:numRef>
                </c:val>
                <c:extLst xmlns:c15="http://schemas.microsoft.com/office/drawing/2012/chart">
                  <c:ext xmlns:c16="http://schemas.microsoft.com/office/drawing/2014/chart" uri="{C3380CC4-5D6E-409C-BE32-E72D297353CC}">
                    <c16:uniqueId val="{0000000A-8A80-4B35-A408-C0BF5ED2535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'Scenario Summary'!$K$7</c15:sqref>
                        </c15:formulaRef>
                      </c:ext>
                    </c:extLst>
                    <c:strCache>
                      <c:ptCount val="1"/>
                      <c:pt idx="0">
                        <c:v>Communication time forward pass: tensor parallellism inter node (s)</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Summary'!$K$8:$K$10</c15:sqref>
                        </c15:formulaRef>
                      </c:ext>
                    </c:extLst>
                    <c:numCache>
                      <c:formatCode>General</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8A80-4B35-A408-C0BF5ED25355}"/>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'Scenario Summary'!$L$7</c15:sqref>
                        </c15:formulaRef>
                      </c:ext>
                    </c:extLst>
                    <c:strCache>
                      <c:ptCount val="1"/>
                      <c:pt idx="0">
                        <c:v>Communication time forward pass: pipeline parallellism (s)</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Summary'!$L$8:$L$10</c15:sqref>
                        </c15:formulaRef>
                      </c:ext>
                    </c:extLst>
                    <c:numCache>
                      <c:formatCode>General</c:formatCode>
                      <c:ptCount val="3"/>
                      <c:pt idx="0">
                        <c:v>2688.0143051147461</c:v>
                      </c:pt>
                      <c:pt idx="1">
                        <c:v>2688.0143051147461</c:v>
                      </c:pt>
                      <c:pt idx="2">
                        <c:v>3072.007152557373</c:v>
                      </c:pt>
                    </c:numCache>
                  </c:numRef>
                </c:val>
                <c:extLst xmlns:c15="http://schemas.microsoft.com/office/drawing/2012/chart">
                  <c:ext xmlns:c16="http://schemas.microsoft.com/office/drawing/2014/chart" uri="{C3380CC4-5D6E-409C-BE32-E72D297353CC}">
                    <c16:uniqueId val="{0000000C-8A80-4B35-A408-C0BF5ED25355}"/>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'Scenario Summary'!$M$7</c15:sqref>
                        </c15:formulaRef>
                      </c:ext>
                    </c:extLst>
                    <c:strCache>
                      <c:ptCount val="1"/>
                      <c:pt idx="0">
                        <c:v>Communication time forward pass: Zero-DP (ad-hoc model gathering) (s)</c:v>
                      </c:pt>
                    </c:strCache>
                  </c:strRef>
                </c:tx>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Summary'!$M$8:$M$10</c15:sqref>
                        </c15:formulaRef>
                      </c:ext>
                    </c:extLst>
                    <c:numCache>
                      <c:formatCode>General</c:formatCode>
                      <c:ptCount val="3"/>
                      <c:pt idx="0">
                        <c:v>13216.324010848999</c:v>
                      </c:pt>
                      <c:pt idx="1">
                        <c:v>9034.9906775156651</c:v>
                      </c:pt>
                      <c:pt idx="2">
                        <c:v>15104.242114067074</c:v>
                      </c:pt>
                    </c:numCache>
                  </c:numRef>
                </c:val>
                <c:extLst xmlns:c15="http://schemas.microsoft.com/office/drawing/2012/chart">
                  <c:ext xmlns:c16="http://schemas.microsoft.com/office/drawing/2014/chart" uri="{C3380CC4-5D6E-409C-BE32-E72D297353CC}">
                    <c16:uniqueId val="{0000000D-8A80-4B35-A408-C0BF5ED25355}"/>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'Scenario Summary'!$N$7</c15:sqref>
                        </c15:formulaRef>
                      </c:ext>
                    </c:extLst>
                    <c:strCache>
                      <c:ptCount val="1"/>
                      <c:pt idx="0">
                        <c:v>Total communication time forward pass (s)</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Summary'!$N$8:$N$10</c15:sqref>
                        </c15:formulaRef>
                      </c:ext>
                    </c:extLst>
                    <c:numCache>
                      <c:formatCode>General</c:formatCode>
                      <c:ptCount val="3"/>
                      <c:pt idx="0">
                        <c:v>108328.29827690125</c:v>
                      </c:pt>
                      <c:pt idx="1">
                        <c:v>87397.131610234588</c:v>
                      </c:pt>
                      <c:pt idx="2">
                        <c:v>160787.4879256417</c:v>
                      </c:pt>
                    </c:numCache>
                  </c:numRef>
                </c:val>
                <c:extLst xmlns:c15="http://schemas.microsoft.com/office/drawing/2012/chart">
                  <c:ext xmlns:c16="http://schemas.microsoft.com/office/drawing/2014/chart" uri="{C3380CC4-5D6E-409C-BE32-E72D297353CC}">
                    <c16:uniqueId val="{00000003-8A80-4B35-A408-C0BF5ED25355}"/>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'Scenario Summary'!$O$7</c15:sqref>
                        </c15:formulaRef>
                      </c:ext>
                    </c:extLst>
                    <c:strCache>
                      <c:ptCount val="1"/>
                      <c:pt idx="0">
                        <c:v>Communication time backward pass: tensor parallellism intra node (s)</c:v>
                      </c:pt>
                    </c:strCache>
                  </c:strRef>
                </c:tx>
                <c:spPr>
                  <a:solidFill>
                    <a:schemeClr val="accent1">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Summary'!$O$8:$O$10</c15:sqref>
                        </c15:formulaRef>
                      </c:ext>
                    </c:extLst>
                    <c:numCache>
                      <c:formatCode>General</c:formatCode>
                      <c:ptCount val="3"/>
                      <c:pt idx="0">
                        <c:v>100353.28173828125</c:v>
                      </c:pt>
                      <c:pt idx="1">
                        <c:v>66902.615071614578</c:v>
                      </c:pt>
                      <c:pt idx="2">
                        <c:v>114688.96130371092</c:v>
                      </c:pt>
                    </c:numCache>
                  </c:numRef>
                </c:val>
                <c:extLst xmlns:c15="http://schemas.microsoft.com/office/drawing/2012/chart">
                  <c:ext xmlns:c16="http://schemas.microsoft.com/office/drawing/2014/chart" uri="{C3380CC4-5D6E-409C-BE32-E72D297353CC}">
                    <c16:uniqueId val="{0000000E-8A80-4B35-A408-C0BF5ED25355}"/>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'Scenario Summary'!$P$7</c15:sqref>
                        </c15:formulaRef>
                      </c:ext>
                    </c:extLst>
                    <c:strCache>
                      <c:ptCount val="1"/>
                      <c:pt idx="0">
                        <c:v>Communication time backward pass: tensor parallellism inter node (s)</c:v>
                      </c:pt>
                    </c:strCache>
                  </c:strRef>
                </c:tx>
                <c:spPr>
                  <a:solidFill>
                    <a:schemeClr val="accent2">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Summary'!$P$8:$P$10</c15:sqref>
                        </c15:formulaRef>
                      </c:ext>
                    </c:extLst>
                    <c:numCache>
                      <c:formatCode>General</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8A80-4B35-A408-C0BF5ED25355}"/>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'Scenario Summary'!$Q$7</c15:sqref>
                        </c15:formulaRef>
                      </c:ext>
                    </c:extLst>
                    <c:strCache>
                      <c:ptCount val="1"/>
                      <c:pt idx="0">
                        <c:v>Communication time backward pass: pipeline parallellism (s)</c:v>
                      </c:pt>
                    </c:strCache>
                  </c:strRef>
                </c:tx>
                <c:spPr>
                  <a:solidFill>
                    <a:schemeClr val="accent3">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Summary'!$Q$8:$Q$10</c15:sqref>
                        </c15:formulaRef>
                      </c:ext>
                    </c:extLst>
                    <c:numCache>
                      <c:formatCode>General</c:formatCode>
                      <c:ptCount val="3"/>
                      <c:pt idx="0">
                        <c:v>5376.014305114747</c:v>
                      </c:pt>
                      <c:pt idx="1">
                        <c:v>5376.014305114747</c:v>
                      </c:pt>
                      <c:pt idx="2">
                        <c:v>6144.007152557373</c:v>
                      </c:pt>
                    </c:numCache>
                  </c:numRef>
                </c:val>
                <c:extLst xmlns:c15="http://schemas.microsoft.com/office/drawing/2012/chart">
                  <c:ext xmlns:c16="http://schemas.microsoft.com/office/drawing/2014/chart" uri="{C3380CC4-5D6E-409C-BE32-E72D297353CC}">
                    <c16:uniqueId val="{00000010-8A80-4B35-A408-C0BF5ED25355}"/>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'Scenario Summary'!$R$7</c15:sqref>
                        </c15:formulaRef>
                      </c:ext>
                    </c:extLst>
                    <c:strCache>
                      <c:ptCount val="1"/>
                      <c:pt idx="0">
                        <c:v>Communication time backward pass: Zero-DP (ad-hoc model gathering) (s)</c:v>
                      </c:pt>
                    </c:strCache>
                  </c:strRef>
                </c:tx>
                <c:spPr>
                  <a:solidFill>
                    <a:schemeClr val="accent4">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Summary'!$R$8:$R$10</c15:sqref>
                        </c15:formulaRef>
                      </c:ext>
                    </c:extLst>
                    <c:numCache>
                      <c:formatCode>General</c:formatCode>
                      <c:ptCount val="3"/>
                      <c:pt idx="0">
                        <c:v>26432.324010848999</c:v>
                      </c:pt>
                      <c:pt idx="1">
                        <c:v>18069.657344182331</c:v>
                      </c:pt>
                      <c:pt idx="2">
                        <c:v>30208.242114067074</c:v>
                      </c:pt>
                    </c:numCache>
                  </c:numRef>
                </c:val>
                <c:extLst xmlns:c15="http://schemas.microsoft.com/office/drawing/2012/chart">
                  <c:ext xmlns:c16="http://schemas.microsoft.com/office/drawing/2014/chart" uri="{C3380CC4-5D6E-409C-BE32-E72D297353CC}">
                    <c16:uniqueId val="{00000011-8A80-4B35-A408-C0BF5ED25355}"/>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'Scenario Summary'!$S$7</c15:sqref>
                        </c15:formulaRef>
                      </c:ext>
                    </c:extLst>
                    <c:strCache>
                      <c:ptCount val="1"/>
                      <c:pt idx="0">
                        <c:v>Total communication time backward pass (s)</c:v>
                      </c:pt>
                    </c:strCache>
                  </c:strRef>
                </c:tx>
                <c:spPr>
                  <a:solidFill>
                    <a:srgbClr val="C00000"/>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Summary'!$S$8:$S$10</c15:sqref>
                        </c15:formulaRef>
                      </c:ext>
                    </c:extLst>
                    <c:numCache>
                      <c:formatCode>General</c:formatCode>
                      <c:ptCount val="3"/>
                      <c:pt idx="0">
                        <c:v>216597.29827690125</c:v>
                      </c:pt>
                      <c:pt idx="1">
                        <c:v>174734.96494356793</c:v>
                      </c:pt>
                      <c:pt idx="2">
                        <c:v>309732.56349872146</c:v>
                      </c:pt>
                    </c:numCache>
                  </c:numRef>
                </c:val>
                <c:extLst xmlns:c15="http://schemas.microsoft.com/office/drawing/2012/chart">
                  <c:ext xmlns:c16="http://schemas.microsoft.com/office/drawing/2014/chart" uri="{C3380CC4-5D6E-409C-BE32-E72D297353CC}">
                    <c16:uniqueId val="{00000004-8A80-4B35-A408-C0BF5ED25355}"/>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'Scenario Summary'!$T$7</c15:sqref>
                        </c15:formulaRef>
                      </c:ext>
                    </c:extLst>
                    <c:strCache>
                      <c:ptCount val="1"/>
                      <c:pt idx="0">
                        <c:v>Communication time: all-reduce gradients for DP intra node (s)</c:v>
                      </c:pt>
                    </c:strCache>
                  </c:strRef>
                </c:tx>
                <c:spPr>
                  <a:solidFill>
                    <a:schemeClr val="accent6">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Summary'!$T$8:$T$10</c15:sqref>
                        </c15:formulaRef>
                      </c:ext>
                    </c:extLst>
                    <c:numCache>
                      <c:formatCode>General</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8A80-4B35-A408-C0BF5ED25355}"/>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'Scenario Summary'!$U$7</c15:sqref>
                        </c15:formulaRef>
                      </c:ext>
                    </c:extLst>
                    <c:strCache>
                      <c:ptCount val="1"/>
                      <c:pt idx="0">
                        <c:v>Communication time: all-reduce gradients for DP inter node (s)</c:v>
                      </c:pt>
                    </c:strCache>
                  </c:strRef>
                </c:tx>
                <c:spPr>
                  <a:solidFill>
                    <a:schemeClr val="accent1">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Summary'!$U$8:$U$10</c15:sqref>
                        </c15:formulaRef>
                      </c:ext>
                    </c:extLst>
                    <c:numCache>
                      <c:formatCode>General</c:formatCode>
                      <c:ptCount val="3"/>
                      <c:pt idx="0">
                        <c:v>88364.989257812515</c:v>
                      </c:pt>
                      <c:pt idx="1">
                        <c:v>88364.989257812515</c:v>
                      </c:pt>
                      <c:pt idx="2">
                        <c:v>119266.82006835938</c:v>
                      </c:pt>
                    </c:numCache>
                  </c:numRef>
                </c:val>
                <c:extLst xmlns:c15="http://schemas.microsoft.com/office/drawing/2012/chart">
                  <c:ext xmlns:c16="http://schemas.microsoft.com/office/drawing/2014/chart" uri="{C3380CC4-5D6E-409C-BE32-E72D297353CC}">
                    <c16:uniqueId val="{00000013-8A80-4B35-A408-C0BF5ED25355}"/>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'Scenario Summary'!$V$7</c15:sqref>
                        </c15:formulaRef>
                      </c:ext>
                    </c:extLst>
                    <c:strCache>
                      <c:ptCount val="1"/>
                      <c:pt idx="0">
                        <c:v>Communication time: all-reduce gradients for DP total (s)</c:v>
                      </c:pt>
                    </c:strCache>
                  </c:strRef>
                </c:tx>
                <c:spPr>
                  <a:solidFill>
                    <a:srgbClr val="0033CC"/>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Summary'!$V$8:$V$10</c15:sqref>
                        </c15:formulaRef>
                      </c:ext>
                    </c:extLst>
                    <c:numCache>
                      <c:formatCode>General</c:formatCode>
                      <c:ptCount val="3"/>
                      <c:pt idx="0">
                        <c:v>88364.989257812515</c:v>
                      </c:pt>
                      <c:pt idx="1">
                        <c:v>88364.989257812515</c:v>
                      </c:pt>
                      <c:pt idx="2">
                        <c:v>119266.82006835938</c:v>
                      </c:pt>
                    </c:numCache>
                  </c:numRef>
                </c:val>
                <c:extLst xmlns:c15="http://schemas.microsoft.com/office/drawing/2012/chart">
                  <c:ext xmlns:c16="http://schemas.microsoft.com/office/drawing/2014/chart" uri="{C3380CC4-5D6E-409C-BE32-E72D297353CC}">
                    <c16:uniqueId val="{00000014-8A80-4B35-A408-C0BF5ED25355}"/>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'Scenario Summary'!$W$7</c15:sqref>
                        </c15:formulaRef>
                      </c:ext>
                    </c:extLst>
                    <c:strCache>
                      <c:ptCount val="1"/>
                      <c:pt idx="0">
                        <c:v>Total MoE communication overhead</c:v>
                      </c:pt>
                    </c:strCache>
                  </c:strRef>
                </c:tx>
                <c:spPr>
                  <a:solidFill>
                    <a:schemeClr val="accent1"/>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Summary'!$W$8:$W$10</c15:sqref>
                        </c15:formulaRef>
                      </c:ext>
                    </c:extLst>
                    <c:numCache>
                      <c:formatCode>General</c:formatCode>
                      <c:ptCount val="3"/>
                      <c:pt idx="0">
                        <c:v>126682.35644531251</c:v>
                      </c:pt>
                      <c:pt idx="1">
                        <c:v>126608.85644531253</c:v>
                      </c:pt>
                      <c:pt idx="2">
                        <c:v>243957.63028369239</c:v>
                      </c:pt>
                    </c:numCache>
                  </c:numRef>
                </c:val>
                <c:extLst xmlns:c15="http://schemas.microsoft.com/office/drawing/2012/chart">
                  <c:ext xmlns:c16="http://schemas.microsoft.com/office/drawing/2014/chart" uri="{C3380CC4-5D6E-409C-BE32-E72D297353CC}">
                    <c16:uniqueId val="{00000015-8A80-4B35-A408-C0BF5ED25355}"/>
                  </c:ext>
                </c:extLst>
              </c15:ser>
            </c15:filteredBarSeries>
            <c15:filteredBarSeries>
              <c15:ser>
                <c:idx val="21"/>
                <c:order val="21"/>
                <c:tx>
                  <c:strRef>
                    <c:extLst xmlns:c15="http://schemas.microsoft.com/office/drawing/2012/chart">
                      <c:ext xmlns:c15="http://schemas.microsoft.com/office/drawing/2012/chart" uri="{02D57815-91ED-43cb-92C2-25804820EDAC}">
                        <c15:formulaRef>
                          <c15:sqref>'Scenario Summary'!$X$7</c15:sqref>
                        </c15:formulaRef>
                      </c:ext>
                    </c:extLst>
                    <c:strCache>
                      <c:ptCount val="1"/>
                      <c:pt idx="0">
                        <c:v>Total communication time (s)</c:v>
                      </c:pt>
                    </c:strCache>
                  </c:strRef>
                </c:tx>
                <c:spPr>
                  <a:solidFill>
                    <a:schemeClr val="accent3">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Summary'!$X$8:$X$10</c15:sqref>
                        </c15:formulaRef>
                      </c:ext>
                    </c:extLst>
                    <c:numCache>
                      <c:formatCode>General</c:formatCode>
                      <c:ptCount val="3"/>
                      <c:pt idx="0">
                        <c:v>413290.58581161499</c:v>
                      </c:pt>
                      <c:pt idx="1">
                        <c:v>350497.08581161505</c:v>
                      </c:pt>
                      <c:pt idx="2">
                        <c:v>589786.87149272254</c:v>
                      </c:pt>
                    </c:numCache>
                  </c:numRef>
                </c:val>
                <c:extLst xmlns:c15="http://schemas.microsoft.com/office/drawing/2012/chart">
                  <c:ext xmlns:c16="http://schemas.microsoft.com/office/drawing/2014/chart" uri="{C3380CC4-5D6E-409C-BE32-E72D297353CC}">
                    <c16:uniqueId val="{00000016-8A80-4B35-A408-C0BF5ED25355}"/>
                  </c:ext>
                </c:extLst>
              </c15:ser>
            </c15:filteredBarSeries>
            <c15:filteredBarSeries>
              <c15:ser>
                <c:idx val="22"/>
                <c:order val="22"/>
                <c:tx>
                  <c:strRef>
                    <c:extLst xmlns:c15="http://schemas.microsoft.com/office/drawing/2012/chart">
                      <c:ext xmlns:c15="http://schemas.microsoft.com/office/drawing/2012/chart" uri="{02D57815-91ED-43cb-92C2-25804820EDAC}">
                        <c15:formulaRef>
                          <c15:sqref>'Scenario Summary'!$Y$7</c15:sqref>
                        </c15:formulaRef>
                      </c:ext>
                    </c:extLst>
                    <c:strCache>
                      <c:ptCount val="1"/>
                      <c:pt idx="0">
                        <c:v>Waiting Time due to pipeline bubbles (s)</c:v>
                      </c:pt>
                    </c:strCache>
                  </c:strRef>
                </c:tx>
                <c:spPr>
                  <a:solidFill>
                    <a:schemeClr val="bg1">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Summary'!$Y$8:$Y$10</c15:sqref>
                        </c15:formulaRef>
                      </c:ext>
                    </c:extLst>
                    <c:numCache>
                      <c:formatCode>General</c:formatCode>
                      <c:ptCount val="3"/>
                      <c:pt idx="0">
                        <c:v>113985.2350987621</c:v>
                      </c:pt>
                      <c:pt idx="1">
                        <c:v>99314.712562917048</c:v>
                      </c:pt>
                      <c:pt idx="2">
                        <c:v>185972.2875321224</c:v>
                      </c:pt>
                    </c:numCache>
                  </c:numRef>
                </c:val>
                <c:extLst xmlns:c15="http://schemas.microsoft.com/office/drawing/2012/chart">
                  <c:ext xmlns:c16="http://schemas.microsoft.com/office/drawing/2014/chart" uri="{C3380CC4-5D6E-409C-BE32-E72D297353CC}">
                    <c16:uniqueId val="{00000005-8A80-4B35-A408-C0BF5ED25355}"/>
                  </c:ext>
                </c:extLst>
              </c15:ser>
            </c15:filteredBarSeries>
            <c15:filteredBarSeries>
              <c15:ser>
                <c:idx val="23"/>
                <c:order val="23"/>
                <c:tx>
                  <c:strRef>
                    <c:extLst xmlns:c15="http://schemas.microsoft.com/office/drawing/2012/chart">
                      <c:ext xmlns:c15="http://schemas.microsoft.com/office/drawing/2012/chart" uri="{02D57815-91ED-43cb-92C2-25804820EDAC}">
                        <c15:formulaRef>
                          <c15:sqref>'Scenario Summary'!$Z$7</c15:sqref>
                        </c15:formulaRef>
                      </c:ext>
                    </c:extLst>
                    <c:strCache>
                      <c:ptCount val="1"/>
                      <c:pt idx="0">
                        <c:v>total MACs</c:v>
                      </c:pt>
                    </c:strCache>
                  </c:strRef>
                </c:tx>
                <c:spPr>
                  <a:solidFill>
                    <a:schemeClr val="accent6">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Summary'!$Z$8:$Z$10</c15:sqref>
                        </c15:formulaRef>
                      </c:ext>
                    </c:extLst>
                    <c:numCache>
                      <c:formatCode>General</c:formatCode>
                      <c:ptCount val="3"/>
                      <c:pt idx="0">
                        <c:v>5.7257777356800004E+22</c:v>
                      </c:pt>
                      <c:pt idx="1">
                        <c:v>5.7257777356800004E+22</c:v>
                      </c:pt>
                      <c:pt idx="2">
                        <c:v>6.003000854784E+23</c:v>
                      </c:pt>
                    </c:numCache>
                  </c:numRef>
                </c:val>
                <c:extLst xmlns:c15="http://schemas.microsoft.com/office/drawing/2012/chart">
                  <c:ext xmlns:c16="http://schemas.microsoft.com/office/drawing/2014/chart" uri="{C3380CC4-5D6E-409C-BE32-E72D297353CC}">
                    <c16:uniqueId val="{00000017-8A80-4B35-A408-C0BF5ED25355}"/>
                  </c:ext>
                </c:extLst>
              </c15:ser>
            </c15:filteredBarSeries>
            <c15:filteredBarSeries>
              <c15:ser>
                <c:idx val="24"/>
                <c:order val="24"/>
                <c:tx>
                  <c:strRef>
                    <c:extLst xmlns:c15="http://schemas.microsoft.com/office/drawing/2012/chart">
                      <c:ext xmlns:c15="http://schemas.microsoft.com/office/drawing/2012/chart" uri="{02D57815-91ED-43cb-92C2-25804820EDAC}">
                        <c15:formulaRef>
                          <c15:sqref>'Scenario Summary'!$AA$7</c15:sqref>
                        </c15:formulaRef>
                      </c:ext>
                    </c:extLst>
                    <c:strCache>
                      <c:ptCount val="1"/>
                      <c:pt idx="0">
                        <c:v>TFLOPS</c:v>
                      </c:pt>
                    </c:strCache>
                  </c:strRef>
                </c:tx>
                <c:spPr>
                  <a:solidFill>
                    <a:schemeClr val="accent1">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Summary'!$AA$8:$AA$10</c15:sqref>
                        </c15:formulaRef>
                      </c:ext>
                    </c:extLst>
                    <c:numCache>
                      <c:formatCode>General</c:formatCode>
                      <c:ptCount val="3"/>
                      <c:pt idx="0">
                        <c:v>114515554713.60001</c:v>
                      </c:pt>
                      <c:pt idx="1">
                        <c:v>114515554713.60001</c:v>
                      </c:pt>
                      <c:pt idx="2">
                        <c:v>1200600170956.8</c:v>
                      </c:pt>
                    </c:numCache>
                  </c:numRef>
                </c:val>
                <c:extLst xmlns:c15="http://schemas.microsoft.com/office/drawing/2012/chart">
                  <c:ext xmlns:c16="http://schemas.microsoft.com/office/drawing/2014/chart" uri="{C3380CC4-5D6E-409C-BE32-E72D297353CC}">
                    <c16:uniqueId val="{00000018-8A80-4B35-A408-C0BF5ED25355}"/>
                  </c:ext>
                </c:extLst>
              </c15:ser>
            </c15:filteredBarSeries>
            <c15:filteredBarSeries>
              <c15:ser>
                <c:idx val="25"/>
                <c:order val="25"/>
                <c:tx>
                  <c:strRef>
                    <c:extLst xmlns:c15="http://schemas.microsoft.com/office/drawing/2012/chart">
                      <c:ext xmlns:c15="http://schemas.microsoft.com/office/drawing/2012/chart" uri="{02D57815-91ED-43cb-92C2-25804820EDAC}">
                        <c15:formulaRef>
                          <c15:sqref>'Scenario Summary'!$AB$7</c15:sqref>
                        </c15:formulaRef>
                      </c:ext>
                    </c:extLst>
                    <c:strCache>
                      <c:ptCount val="1"/>
                      <c:pt idx="0">
                        <c:v>total TFLOPS/sec</c:v>
                      </c:pt>
                    </c:strCache>
                  </c:strRef>
                </c:tx>
                <c:spPr>
                  <a:solidFill>
                    <a:schemeClr val="accent2">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Summary'!$AB$8:$AB$10</c15:sqref>
                        </c15:formulaRef>
                      </c:ext>
                    </c:extLst>
                    <c:numCache>
                      <c:formatCode>General</c:formatCode>
                      <c:ptCount val="3"/>
                      <c:pt idx="0">
                        <c:v>97446.447466506957</c:v>
                      </c:pt>
                      <c:pt idx="1">
                        <c:v>145592.3190163057</c:v>
                      </c:pt>
                      <c:pt idx="2">
                        <c:v>423232.37680909049</c:v>
                      </c:pt>
                    </c:numCache>
                  </c:numRef>
                </c:val>
                <c:extLst xmlns:c15="http://schemas.microsoft.com/office/drawing/2012/chart">
                  <c:ext xmlns:c16="http://schemas.microsoft.com/office/drawing/2014/chart" uri="{C3380CC4-5D6E-409C-BE32-E72D297353CC}">
                    <c16:uniqueId val="{00000019-8A80-4B35-A408-C0BF5ED25355}"/>
                  </c:ext>
                </c:extLst>
              </c15:ser>
            </c15:filteredBarSeries>
            <c15:filteredBarSeries>
              <c15:ser>
                <c:idx val="26"/>
                <c:order val="26"/>
                <c:tx>
                  <c:strRef>
                    <c:extLst xmlns:c15="http://schemas.microsoft.com/office/drawing/2012/chart">
                      <c:ext xmlns:c15="http://schemas.microsoft.com/office/drawing/2012/chart" uri="{02D57815-91ED-43cb-92C2-25804820EDAC}">
                        <c15:formulaRef>
                          <c15:sqref>'Scenario Summary'!$AC$7</c15:sqref>
                        </c15:formulaRef>
                      </c:ext>
                    </c:extLst>
                    <c:strCache>
                      <c:ptCount val="1"/>
                      <c:pt idx="0">
                        <c:v>TFLOP/sec/GPU</c:v>
                      </c:pt>
                    </c:strCache>
                  </c:strRef>
                </c:tx>
                <c:spPr>
                  <a:solidFill>
                    <a:schemeClr val="accent3">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Summary'!$AC$8:$AC$10</c15:sqref>
                        </c15:formulaRef>
                      </c:ext>
                    </c:extLst>
                    <c:numCache>
                      <c:formatCode>General</c:formatCode>
                      <c:ptCount val="3"/>
                      <c:pt idx="0">
                        <c:v>63.441697569340469</c:v>
                      </c:pt>
                      <c:pt idx="1">
                        <c:v>94.786666026240695</c:v>
                      </c:pt>
                      <c:pt idx="2">
                        <c:v>275.54191198508494</c:v>
                      </c:pt>
                    </c:numCache>
                  </c:numRef>
                </c:val>
                <c:extLst xmlns:c15="http://schemas.microsoft.com/office/drawing/2012/chart">
                  <c:ext xmlns:c16="http://schemas.microsoft.com/office/drawing/2014/chart" uri="{C3380CC4-5D6E-409C-BE32-E72D297353CC}">
                    <c16:uniqueId val="{0000001A-8A80-4B35-A408-C0BF5ED25355}"/>
                  </c:ext>
                </c:extLst>
              </c15:ser>
            </c15:filteredBarSeries>
            <c15:filteredBarSeries>
              <c15:ser>
                <c:idx val="27"/>
                <c:order val="27"/>
                <c:tx>
                  <c:strRef>
                    <c:extLst xmlns:c15="http://schemas.microsoft.com/office/drawing/2012/chart">
                      <c:ext xmlns:c15="http://schemas.microsoft.com/office/drawing/2012/chart" uri="{02D57815-91ED-43cb-92C2-25804820EDAC}">
                        <c15:formulaRef>
                          <c15:sqref>'Scenario Summary'!$AD$7</c15:sqref>
                        </c15:formulaRef>
                      </c:ext>
                    </c:extLst>
                    <c:strCache>
                      <c:ptCount val="1"/>
                      <c:pt idx="0">
                        <c:v>TFLOP/sec/GPU (peak)</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Summary'!$AD$8:$AD$10</c15:sqref>
                        </c15:formulaRef>
                      </c:ext>
                    </c:extLst>
                    <c:numCache>
                      <c:formatCode>General</c:formatCode>
                      <c:ptCount val="3"/>
                      <c:pt idx="0">
                        <c:v>311.86944</c:v>
                      </c:pt>
                      <c:pt idx="1">
                        <c:v>973.20960000000002</c:v>
                      </c:pt>
                      <c:pt idx="2">
                        <c:v>973.20960000000002</c:v>
                      </c:pt>
                    </c:numCache>
                  </c:numRef>
                </c:val>
                <c:extLst xmlns:c15="http://schemas.microsoft.com/office/drawing/2012/chart">
                  <c:ext xmlns:c16="http://schemas.microsoft.com/office/drawing/2014/chart" uri="{C3380CC4-5D6E-409C-BE32-E72D297353CC}">
                    <c16:uniqueId val="{0000001B-8A80-4B35-A408-C0BF5ED25355}"/>
                  </c:ext>
                </c:extLst>
              </c15:ser>
            </c15:filteredBarSeries>
            <c15:filteredBarSeries>
              <c15:ser>
                <c:idx val="28"/>
                <c:order val="28"/>
                <c:tx>
                  <c:strRef>
                    <c:extLst xmlns:c15="http://schemas.microsoft.com/office/drawing/2012/chart">
                      <c:ext xmlns:c15="http://schemas.microsoft.com/office/drawing/2012/chart" uri="{02D57815-91ED-43cb-92C2-25804820EDAC}">
                        <c15:formulaRef>
                          <c15:sqref>'Scenario Summary'!$AE$7</c15:sqref>
                        </c15:formulaRef>
                      </c:ext>
                    </c:extLst>
                    <c:strCache>
                      <c:ptCount val="1"/>
                      <c:pt idx="0">
                        <c:v>Total energy to train (J)</c:v>
                      </c:pt>
                    </c:strCache>
                  </c:strRef>
                </c:tx>
                <c:spPr>
                  <a:solidFill>
                    <a:schemeClr val="accent5">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Summary'!$AE$8:$AE$10</c15:sqref>
                        </c15:formulaRef>
                      </c:ext>
                    </c:extLst>
                    <c:numCache>
                      <c:formatCode>General</c:formatCode>
                      <c:ptCount val="3"/>
                      <c:pt idx="0">
                        <c:v>720891474602.23535</c:v>
                      </c:pt>
                      <c:pt idx="1">
                        <c:v>386042383737.56305</c:v>
                      </c:pt>
                      <c:pt idx="2">
                        <c:v>1878492068002.0271</c:v>
                      </c:pt>
                    </c:numCache>
                  </c:numRef>
                </c:val>
                <c:extLst xmlns:c15="http://schemas.microsoft.com/office/drawing/2012/chart">
                  <c:ext xmlns:c16="http://schemas.microsoft.com/office/drawing/2014/chart" uri="{C3380CC4-5D6E-409C-BE32-E72D297353CC}">
                    <c16:uniqueId val="{0000001C-8A80-4B35-A408-C0BF5ED25355}"/>
                  </c:ext>
                </c:extLst>
              </c15:ser>
            </c15:filteredBarSeries>
            <c15:filteredBarSeries>
              <c15:ser>
                <c:idx val="29"/>
                <c:order val="29"/>
                <c:tx>
                  <c:strRef>
                    <c:extLst xmlns:c15="http://schemas.microsoft.com/office/drawing/2012/chart">
                      <c:ext xmlns:c15="http://schemas.microsoft.com/office/drawing/2012/chart" uri="{02D57815-91ED-43cb-92C2-25804820EDAC}">
                        <c15:formulaRef>
                          <c15:sqref>'Scenario Summary'!$AF$7</c15:sqref>
                        </c15:formulaRef>
                      </c:ext>
                    </c:extLst>
                    <c:strCache>
                      <c:ptCount val="1"/>
                      <c:pt idx="0">
                        <c:v>Average overall power (W)</c:v>
                      </c:pt>
                    </c:strCache>
                  </c:strRef>
                </c:tx>
                <c:spPr>
                  <a:solidFill>
                    <a:schemeClr val="accent6">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Summary'!$AF$8:$AF$10</c15:sqref>
                        </c15:formulaRef>
                      </c:ext>
                    </c:extLst>
                    <c:numCache>
                      <c:formatCode>General</c:formatCode>
                      <c:ptCount val="3"/>
                      <c:pt idx="0">
                        <c:v>613439.05100550235</c:v>
                      </c:pt>
                      <c:pt idx="1">
                        <c:v>490804.99175418506</c:v>
                      </c:pt>
                      <c:pt idx="2">
                        <c:v>662201.0241127382</c:v>
                      </c:pt>
                    </c:numCache>
                  </c:numRef>
                </c:val>
                <c:extLst xmlns:c15="http://schemas.microsoft.com/office/drawing/2012/chart">
                  <c:ext xmlns:c16="http://schemas.microsoft.com/office/drawing/2014/chart" uri="{C3380CC4-5D6E-409C-BE32-E72D297353CC}">
                    <c16:uniqueId val="{0000001D-8A80-4B35-A408-C0BF5ED25355}"/>
                  </c:ext>
                </c:extLst>
              </c15:ser>
            </c15:filteredBarSeries>
            <c15:filteredBarSeries>
              <c15:ser>
                <c:idx val="30"/>
                <c:order val="30"/>
                <c:tx>
                  <c:strRef>
                    <c:extLst xmlns:c15="http://schemas.microsoft.com/office/drawing/2012/chart">
                      <c:ext xmlns:c15="http://schemas.microsoft.com/office/drawing/2012/chart" uri="{02D57815-91ED-43cb-92C2-25804820EDAC}">
                        <c15:formulaRef>
                          <c15:sqref>'Scenario Summary'!$AG$7</c15:sqref>
                        </c15:formulaRef>
                      </c:ext>
                    </c:extLst>
                    <c:strCache>
                      <c:ptCount val="1"/>
                      <c:pt idx="0">
                        <c:v>Energy efficiency (ops/s/W or ops/J) ) aka inverse of power delay product</c:v>
                      </c:pt>
                    </c:strCache>
                  </c:strRef>
                </c:tx>
                <c:spPr>
                  <a:solidFill>
                    <a:schemeClr val="accent1">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Summary'!$AG$8:$AG$10</c15:sqref>
                        </c15:formulaRef>
                      </c:ext>
                    </c:extLst>
                    <c:numCache>
                      <c:formatCode>General</c:formatCode>
                      <c:ptCount val="3"/>
                      <c:pt idx="0">
                        <c:v>158852696623.69916</c:v>
                      </c:pt>
                      <c:pt idx="1">
                        <c:v>296639849761.8056</c:v>
                      </c:pt>
                      <c:pt idx="2">
                        <c:v>639129752745.64978</c:v>
                      </c:pt>
                    </c:numCache>
                  </c:numRef>
                </c:val>
                <c:extLst xmlns:c15="http://schemas.microsoft.com/office/drawing/2012/chart">
                  <c:ext xmlns:c16="http://schemas.microsoft.com/office/drawing/2014/chart" uri="{C3380CC4-5D6E-409C-BE32-E72D297353CC}">
                    <c16:uniqueId val="{0000001E-8A80-4B35-A408-C0BF5ED25355}"/>
                  </c:ext>
                </c:extLst>
              </c15:ser>
            </c15:filteredBarSeries>
            <c15:filteredBarSeries>
              <c15:ser>
                <c:idx val="31"/>
                <c:order val="31"/>
                <c:tx>
                  <c:strRef>
                    <c:extLst xmlns:c15="http://schemas.microsoft.com/office/drawing/2012/chart">
                      <c:ext xmlns:c15="http://schemas.microsoft.com/office/drawing/2012/chart" uri="{02D57815-91ED-43cb-92C2-25804820EDAC}">
                        <c15:formulaRef>
                          <c15:sqref>'Scenario Summary'!$AH$7</c15:sqref>
                        </c15:formulaRef>
                      </c:ext>
                    </c:extLst>
                    <c:strCache>
                      <c:ptCount val="1"/>
                      <c:pt idx="0">
                        <c:v>(ops/s)^2/W aka inverse of energy-delay product</c:v>
                      </c:pt>
                    </c:strCache>
                  </c:strRef>
                </c:tx>
                <c:spPr>
                  <a:solidFill>
                    <a:schemeClr val="accent2">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Summary'!$AH$8:$AH$10</c15:sqref>
                        </c15:formulaRef>
                      </c:ext>
                    </c:extLst>
                    <c:numCache>
                      <c:formatCode>General</c:formatCode>
                      <c:ptCount val="3"/>
                      <c:pt idx="0">
                        <c:v>1.5479630956454263E+28</c:v>
                      </c:pt>
                      <c:pt idx="1">
                        <c:v>4.3188483639469791E+28</c:v>
                      </c:pt>
                      <c:pt idx="2">
                        <c:v>2.7050040434394772E+29</c:v>
                      </c:pt>
                    </c:numCache>
                  </c:numRef>
                </c:val>
                <c:extLst xmlns:c15="http://schemas.microsoft.com/office/drawing/2012/chart">
                  <c:ext xmlns:c16="http://schemas.microsoft.com/office/drawing/2014/chart" uri="{C3380CC4-5D6E-409C-BE32-E72D297353CC}">
                    <c16:uniqueId val="{0000001F-8A80-4B35-A408-C0BF5ED25355}"/>
                  </c:ext>
                </c:extLst>
              </c15:ser>
            </c15:filteredBarSeries>
            <c15:filteredBarSeries>
              <c15:ser>
                <c:idx val="32"/>
                <c:order val="32"/>
                <c:tx>
                  <c:strRef>
                    <c:extLst xmlns:c15="http://schemas.microsoft.com/office/drawing/2012/chart">
                      <c:ext xmlns:c15="http://schemas.microsoft.com/office/drawing/2012/chart" uri="{02D57815-91ED-43cb-92C2-25804820EDAC}">
                        <c15:formulaRef>
                          <c15:sqref>'Scenario Summary'!$AI$7</c15:sqref>
                        </c15:formulaRef>
                      </c:ext>
                    </c:extLst>
                    <c:strCache>
                      <c:ptCount val="1"/>
                      <c:pt idx="0">
                        <c:v>(ops/s)^3/W aka inverse of energy-delay-square prodct</c:v>
                      </c:pt>
                    </c:strCache>
                  </c:strRef>
                </c:tx>
                <c:spPr>
                  <a:solidFill>
                    <a:schemeClr val="accent3">
                      <a:lumMod val="50000"/>
                    </a:schemeClr>
                  </a:solidFill>
                  <a:ln>
                    <a:noFill/>
                  </a:ln>
                  <a:effectLst/>
                </c:spPr>
                <c:invertIfNegative val="0"/>
                <c:cat>
                  <c:strRef>
                    <c:extLst xmlns:c15="http://schemas.microsoft.com/office/drawing/2012/chart">
                      <c:ext xmlns:c15="http://schemas.microsoft.com/office/drawing/2012/chart" uri="{02D57815-91ED-43cb-92C2-25804820EDAC}">
                        <c15:formulaRef>
                          <c15:sqref>'Scenario Summary'!$B$8:$B$10</c15:sqref>
                        </c15:formulaRef>
                      </c:ext>
                    </c:extLst>
                    <c:strCache>
                      <c:ptCount val="3"/>
                      <c:pt idx="0">
                        <c:v>Test config 1</c:v>
                      </c:pt>
                      <c:pt idx="1">
                        <c:v>Test config 2</c:v>
                      </c:pt>
                      <c:pt idx="2">
                        <c:v>Test config 3</c:v>
                      </c:pt>
                    </c:strCache>
                  </c:strRef>
                </c:cat>
                <c:val>
                  <c:numRef>
                    <c:extLst xmlns:c15="http://schemas.microsoft.com/office/drawing/2012/chart">
                      <c:ext xmlns:c15="http://schemas.microsoft.com/office/drawing/2012/chart" uri="{02D57815-91ED-43cb-92C2-25804820EDAC}">
                        <c15:formulaRef>
                          <c15:sqref>'Scenario Summary'!$AI$8:$AI$10</c15:sqref>
                        </c15:formulaRef>
                      </c:ext>
                    </c:extLst>
                    <c:numCache>
                      <c:formatCode>General</c:formatCode>
                      <c:ptCount val="3"/>
                      <c:pt idx="0">
                        <c:v>1.5084350447990353E+45</c:v>
                      </c:pt>
                      <c:pt idx="1">
                        <c:v>6.2879114878681855E+45</c:v>
                      </c:pt>
                      <c:pt idx="2">
                        <c:v>1.1448452905830902E+47</c:v>
                      </c:pt>
                    </c:numCache>
                  </c:numRef>
                </c:val>
                <c:extLst xmlns:c15="http://schemas.microsoft.com/office/drawing/2012/chart">
                  <c:ext xmlns:c16="http://schemas.microsoft.com/office/drawing/2014/chart" uri="{C3380CC4-5D6E-409C-BE32-E72D297353CC}">
                    <c16:uniqueId val="{00000020-8A80-4B35-A408-C0BF5ED25355}"/>
                  </c:ext>
                </c:extLst>
              </c15:ser>
            </c15:filteredBarSeries>
          </c:ext>
        </c:extLst>
      </c:barChart>
      <c:catAx>
        <c:axId val="1244747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Configuration</a:t>
                </a:r>
              </a:p>
            </c:rich>
          </c:tx>
          <c:layout>
            <c:manualLayout>
              <c:xMode val="edge"/>
              <c:yMode val="edge"/>
              <c:x val="0.67229482365474036"/>
              <c:y val="0.919821297393670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758904"/>
        <c:crosses val="autoZero"/>
        <c:auto val="1"/>
        <c:lblAlgn val="ctr"/>
        <c:lblOffset val="100"/>
        <c:noMultiLvlLbl val="0"/>
      </c:catAx>
      <c:valAx>
        <c:axId val="1244758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Energy (J)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7477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l"/>
      <c:layout>
        <c:manualLayout>
          <c:xMode val="edge"/>
          <c:yMode val="edge"/>
          <c:x val="1.2568732161307307E-2"/>
          <c:y val="0.11475874429485555"/>
          <c:w val="0.28981982883532104"/>
          <c:h val="0.3551872232249865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Communication vs Computation time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1"/>
          <c:tx>
            <c:strRef>
              <c:f>'Scenario Summary'!$B$4</c:f>
              <c:strCache>
                <c:ptCount val="1"/>
                <c:pt idx="0">
                  <c:v>relative: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0D-4DB8-B5CF-23224326BF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0D-4DB8-B5CF-23224326BFCB}"/>
              </c:ext>
            </c:extLst>
          </c:dPt>
          <c:dLbls>
            <c:dLbl>
              <c:idx val="0"/>
              <c:layout>
                <c:manualLayout>
                  <c:x val="-0.16073695212877159"/>
                  <c:y val="6.04273249627579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30D-4DB8-B5CF-23224326BFCB}"/>
                </c:ext>
              </c:extLst>
            </c:dLbl>
            <c:dLbl>
              <c:idx val="1"/>
              <c:layout>
                <c:manualLayout>
                  <c:x val="0.16248159245581029"/>
                  <c:y val="-6.04349861672697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0D-4DB8-B5CF-23224326BFC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('Scenario Summary'!$I$2,'Scenario Summary'!$X$2)</c:f>
              <c:strCache>
                <c:ptCount val="2"/>
                <c:pt idx="0">
                  <c:v>Total computation time (s)</c:v>
                </c:pt>
                <c:pt idx="1">
                  <c:v>Total communication time (s)</c:v>
                </c:pt>
              </c:strCache>
              <c:extLst/>
            </c:strRef>
          </c:cat>
          <c:val>
            <c:numRef>
              <c:f>('Scenario Summary'!$I$4,'Scenario Summary'!$X$4)</c:f>
              <c:numCache>
                <c:formatCode>0%</c:formatCode>
                <c:ptCount val="2"/>
                <c:pt idx="0">
                  <c:v>1.0000000000000002</c:v>
                </c:pt>
                <c:pt idx="1">
                  <c:v>0</c:v>
                </c:pt>
              </c:numCache>
              <c:extLst/>
            </c:numRef>
          </c:val>
          <c:extLst>
            <c:ext xmlns:c16="http://schemas.microsoft.com/office/drawing/2014/chart" uri="{C3380CC4-5D6E-409C-BE32-E72D297353CC}">
              <c16:uniqueId val="{00000004-330D-4DB8-B5CF-23224326BFCB}"/>
            </c:ext>
          </c:extLst>
        </c:ser>
        <c:dLbls>
          <c:showLegendKey val="0"/>
          <c:showVal val="0"/>
          <c:showCatName val="0"/>
          <c:showSerName val="0"/>
          <c:showPercent val="1"/>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'Scenario Summary'!$B$3</c15:sqref>
                        </c15:formulaRef>
                      </c:ext>
                    </c:extLst>
                    <c:strCache>
                      <c:ptCount val="1"/>
                      <c:pt idx="0">
                        <c:v>Current configuration: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30D-4DB8-B5CF-23224326BF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330D-4DB8-B5CF-23224326BF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('Scenario Summary'!$I$2,'Scenario Summary'!$X$2)</c15:sqref>
                        </c15:formulaRef>
                      </c:ext>
                    </c:extLst>
                    <c:strCache>
                      <c:ptCount val="2"/>
                      <c:pt idx="0">
                        <c:v>Total computation time (s)</c:v>
                      </c:pt>
                      <c:pt idx="1">
                        <c:v>Total communication time (s)</c:v>
                      </c:pt>
                    </c:strCache>
                  </c:strRef>
                </c:cat>
                <c:val>
                  <c:numRef>
                    <c:extLst>
                      <c:ext uri="{02D57815-91ED-43cb-92C2-25804820EDAC}">
                        <c15:formulaRef>
                          <c15:sqref>('Scenario Summary'!$I$3,'Scenario Summary'!$X$3)</c15:sqref>
                        </c15:formulaRef>
                      </c:ext>
                    </c:extLst>
                    <c:numCache>
                      <c:formatCode>General</c:formatCode>
                      <c:ptCount val="2"/>
                      <c:pt idx="0">
                        <c:v>35781399367654.922</c:v>
                      </c:pt>
                      <c:pt idx="1">
                        <c:v>0</c:v>
                      </c:pt>
                    </c:numCache>
                  </c:numRef>
                </c:val>
                <c:extLst>
                  <c:ext xmlns:c16="http://schemas.microsoft.com/office/drawing/2014/chart" uri="{C3380CC4-5D6E-409C-BE32-E72D297353CC}">
                    <c16:uniqueId val="{00000009-330D-4DB8-B5CF-23224326BFCB}"/>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Current configuration training time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6598773258890686"/>
          <c:y val="0.17796896528076508"/>
          <c:w val="0.41759602783075661"/>
          <c:h val="0.7330248564535133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EC-400D-AD80-B481621954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EC-400D-AD80-B481621954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EC-400D-AD80-B481621954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EC-400D-AD80-B481621954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EC-400D-AD80-B4816219544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BEC-400D-AD80-B48162195448}"/>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('Scenario Summary'!$W$2,'Scenario Summary'!$F$2,'Scenario Summary'!$G$2,'Scenario Summary'!$H$2,'Scenario Summary'!$N$2,'Scenario Summary'!$S$2,'Scenario Summary'!$V$2,'Scenario Summary'!$Y$2)</c15:sqref>
                  </c15:fullRef>
                </c:ext>
              </c:extLst>
              <c:f>('Scenario Summary'!$F$2,'Scenario Summary'!$G$2,'Scenario Summary'!$H$2,'Scenario Summary'!$N$2,'Scenario Summary'!$S$2,'Scenario Summary'!$V$2)</c:f>
              <c:strCache>
                <c:ptCount val="6"/>
                <c:pt idx="0">
                  <c:v>Computation time forward pass (s)</c:v>
                </c:pt>
                <c:pt idx="1">
                  <c:v>Computation time backward pass (s)</c:v>
                </c:pt>
                <c:pt idx="2">
                  <c:v>Computation time weight updates (s)</c:v>
                </c:pt>
                <c:pt idx="3">
                  <c:v>Total communication time forward pass (s)</c:v>
                </c:pt>
                <c:pt idx="4">
                  <c:v>Total communication time backward pass (s)</c:v>
                </c:pt>
                <c:pt idx="5">
                  <c:v>Communication time: all-reduce gradients for DP total (s)</c:v>
                </c:pt>
              </c:strCache>
            </c:strRef>
          </c:cat>
          <c:val>
            <c:numRef>
              <c:extLst>
                <c:ext xmlns:c15="http://schemas.microsoft.com/office/drawing/2012/chart" uri="{02D57815-91ED-43cb-92C2-25804820EDAC}">
                  <c15:fullRef>
                    <c15:sqref>('Scenario Summary'!$W$4,'Scenario Summary'!$F$4,'Scenario Summary'!$G$4,'Scenario Summary'!$H$4,'Scenario Summary'!$N$4,'Scenario Summary'!$S$4,'Scenario Summary'!$V$4,'Scenario Summary'!$Y$4)</c15:sqref>
                  </c15:fullRef>
                </c:ext>
              </c:extLst>
              <c:f>('Scenario Summary'!$F$4,'Scenario Summary'!$G$4,'Scenario Summary'!$H$4,'Scenario Summary'!$N$4,'Scenario Summary'!$S$4,'Scenario Summary'!$V$4)</c:f>
              <c:numCache>
                <c:formatCode>0%</c:formatCode>
                <c:ptCount val="6"/>
                <c:pt idx="0">
                  <c:v>0.2857699291189349</c:v>
                </c:pt>
                <c:pt idx="1">
                  <c:v>0.57141002362702176</c:v>
                </c:pt>
                <c:pt idx="2">
                  <c:v>0.1428200472540434</c:v>
                </c:pt>
                <c:pt idx="3">
                  <c:v>0</c:v>
                </c:pt>
                <c:pt idx="4">
                  <c:v>0</c:v>
                </c:pt>
                <c:pt idx="5">
                  <c:v>0</c:v>
                </c:pt>
              </c:numCache>
            </c:numRef>
          </c:val>
          <c:extLst>
            <c:ext xmlns:c15="http://schemas.microsoft.com/office/drawing/2012/chart" uri="{02D57815-91ED-43cb-92C2-25804820EDAC}">
              <c15:categoryFilterExceptions>
                <c15:categoryFilterException>
                  <c15:sqref>'Scenario Summary'!$W$4</c15:sqref>
                  <c15:dLbl>
                    <c:idx val="-1"/>
                    <c:layout>
                      <c:manualLayout>
                        <c:x val="1.0825439783491205E-2"/>
                        <c:y val="-0.1520190023752969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uri="{CE6537A1-D6FC-4f65-9D91-7224C49458BB}"/>
                      <c:ext xmlns:c16="http://schemas.microsoft.com/office/drawing/2014/chart" uri="{C3380CC4-5D6E-409C-BE32-E72D297353CC}">
                        <c16:uniqueId val="{0000000C-CB56-47E6-AC28-CE973E340C4B}"/>
                      </c:ext>
                    </c:extLst>
                  </c15:dLbl>
                </c15:categoryFilterException>
                <c15:categoryFilterException>
                  <c15:sqref>'Scenario Summary'!$Y$4</c15:sqref>
                  <c15:spPr xmlns:c15="http://schemas.microsoft.com/office/drawing/2012/chart">
                    <a:solidFill>
                      <a:schemeClr val="bg1">
                        <a:lumMod val="5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E-2BEC-400D-AD80-B4816219544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layout>
        <c:manualLayout>
          <c:xMode val="edge"/>
          <c:yMode val="edge"/>
          <c:x val="1.019108280254777E-2"/>
          <c:y val="0.1433765706822879"/>
          <c:w val="0.41781222329071022"/>
          <c:h val="0.78439017586569793"/>
        </c:manualLayout>
      </c:layout>
      <c:overlay val="0"/>
      <c:spPr>
        <a:noFill/>
        <a:ln>
          <a:noFill/>
        </a:ln>
        <a:effectLst/>
      </c:spPr>
      <c:txPr>
        <a:bodyPr rot="0" spcFirstLastPara="1" vertOverflow="ellipsis" vert="horz" wrap="square" anchor="ctr" anchorCtr="1"/>
        <a:lstStyle/>
        <a:p>
          <a:pPr rtl="0">
            <a:defRPr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traffic b/w GM &amp; SM vs time-</a:t>
            </a:r>
            <a:r>
              <a:rPr lang="en-GB" baseline="0"/>
              <a:t> </a:t>
            </a:r>
            <a:r>
              <a:rPr lang="en-GB" baseline="0">
                <a:solidFill>
                  <a:srgbClr val="FF0000"/>
                </a:solidFill>
              </a:rPr>
              <a:t>(reuse indicator)</a:t>
            </a:r>
            <a:r>
              <a:rPr lang="en-GB">
                <a:solidFill>
                  <a:srgbClr val="FF0000"/>
                </a:solidFill>
              </a:rPr>
              <a:t> less traffic</a:t>
            </a:r>
            <a:r>
              <a:rPr lang="en-GB" baseline="0">
                <a:solidFill>
                  <a:srgbClr val="FF0000"/>
                </a:solidFill>
              </a:rPr>
              <a:t> b/w SM &amp; Reg</a:t>
            </a:r>
            <a:endParaRPr lang="en-GB">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'HBM3+2d SRAM'!$B$65:$B$72</c:f>
              <c:numCache>
                <c:formatCode>0.00E+00</c:formatCode>
                <c:ptCount val="8"/>
                <c:pt idx="0">
                  <c:v>86000</c:v>
                </c:pt>
                <c:pt idx="1">
                  <c:v>160000</c:v>
                </c:pt>
                <c:pt idx="2">
                  <c:v>320000</c:v>
                </c:pt>
                <c:pt idx="3">
                  <c:v>640000</c:v>
                </c:pt>
                <c:pt idx="4">
                  <c:v>1280000</c:v>
                </c:pt>
                <c:pt idx="5">
                  <c:v>2560000</c:v>
                </c:pt>
                <c:pt idx="6">
                  <c:v>5120000</c:v>
                </c:pt>
                <c:pt idx="7">
                  <c:v>10240000</c:v>
                </c:pt>
              </c:numCache>
            </c:numRef>
          </c:xVal>
          <c:yVal>
            <c:numRef>
              <c:f>'HBM3+2d SRAM'!$C$65:$C$72</c:f>
              <c:numCache>
                <c:formatCode>0.00E+00</c:formatCode>
                <c:ptCount val="8"/>
                <c:pt idx="0">
                  <c:v>3.2799999999999999E-3</c:v>
                </c:pt>
                <c:pt idx="1">
                  <c:v>3.2799999999999999E-3</c:v>
                </c:pt>
                <c:pt idx="2">
                  <c:v>3.2799999999999999E-3</c:v>
                </c:pt>
                <c:pt idx="3">
                  <c:v>3.2799999999999999E-3</c:v>
                </c:pt>
                <c:pt idx="4">
                  <c:v>3.2799999999999999E-3</c:v>
                </c:pt>
                <c:pt idx="5">
                  <c:v>3.2799999999999999E-3</c:v>
                </c:pt>
                <c:pt idx="6">
                  <c:v>5.0299999999999997E-3</c:v>
                </c:pt>
                <c:pt idx="7">
                  <c:v>1.7600000000000001E-2</c:v>
                </c:pt>
              </c:numCache>
            </c:numRef>
          </c:yVal>
          <c:smooth val="0"/>
          <c:extLst>
            <c:ext xmlns:c16="http://schemas.microsoft.com/office/drawing/2014/chart" uri="{C3380CC4-5D6E-409C-BE32-E72D297353CC}">
              <c16:uniqueId val="{00000000-2C23-48FE-A3BF-9DA94FB784F6}"/>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'HBM3+2d SRAM'!$B$65:$B$72</c:f>
              <c:numCache>
                <c:formatCode>0.00E+00</c:formatCode>
                <c:ptCount val="8"/>
                <c:pt idx="0">
                  <c:v>86000</c:v>
                </c:pt>
                <c:pt idx="1">
                  <c:v>160000</c:v>
                </c:pt>
                <c:pt idx="2">
                  <c:v>320000</c:v>
                </c:pt>
                <c:pt idx="3">
                  <c:v>640000</c:v>
                </c:pt>
                <c:pt idx="4">
                  <c:v>1280000</c:v>
                </c:pt>
                <c:pt idx="5">
                  <c:v>2560000</c:v>
                </c:pt>
                <c:pt idx="6">
                  <c:v>5120000</c:v>
                </c:pt>
                <c:pt idx="7">
                  <c:v>10240000</c:v>
                </c:pt>
              </c:numCache>
            </c:numRef>
          </c:xVal>
          <c:yVal>
            <c:numRef>
              <c:f>'HBM3+2d SRAM'!$D$65:$D$72</c:f>
              <c:numCache>
                <c:formatCode>0.00E+00</c:formatCode>
                <c:ptCount val="8"/>
                <c:pt idx="0">
                  <c:v>3.7100000000000002E-4</c:v>
                </c:pt>
                <c:pt idx="1">
                  <c:v>3.7100000000000002E-4</c:v>
                </c:pt>
                <c:pt idx="2">
                  <c:v>4.7800000000000002E-4</c:v>
                </c:pt>
                <c:pt idx="3">
                  <c:v>8.2899999999999998E-4</c:v>
                </c:pt>
                <c:pt idx="4">
                  <c:v>1.6199999999999999E-3</c:v>
                </c:pt>
                <c:pt idx="5">
                  <c:v>3.5699999999999998E-3</c:v>
                </c:pt>
                <c:pt idx="6">
                  <c:v>8.8900000000000003E-3</c:v>
                </c:pt>
                <c:pt idx="7">
                  <c:v>2.53E-2</c:v>
                </c:pt>
              </c:numCache>
            </c:numRef>
          </c:yVal>
          <c:smooth val="0"/>
          <c:extLst>
            <c:ext xmlns:c16="http://schemas.microsoft.com/office/drawing/2014/chart" uri="{C3380CC4-5D6E-409C-BE32-E72D297353CC}">
              <c16:uniqueId val="{00000001-2C23-48FE-A3BF-9DA94FB784F6}"/>
            </c:ext>
          </c:extLst>
        </c:ser>
        <c:dLbls>
          <c:showLegendKey val="0"/>
          <c:showVal val="0"/>
          <c:showCatName val="0"/>
          <c:showSerName val="0"/>
          <c:showPercent val="0"/>
          <c:showBubbleSize val="0"/>
        </c:dLbls>
        <c:axId val="244450272"/>
        <c:axId val="244452352"/>
      </c:scatterChart>
      <c:valAx>
        <c:axId val="244450272"/>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52352"/>
        <c:crosses val="autoZero"/>
        <c:crossBetween val="midCat"/>
      </c:valAx>
      <c:valAx>
        <c:axId val="24445235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502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traffic b/w GM &amp; SM vs time: </a:t>
            </a:r>
            <a:r>
              <a:rPr lang="en-GB">
                <a:solidFill>
                  <a:srgbClr val="FF0000"/>
                </a:solidFill>
              </a:rPr>
              <a:t>(reuse indicator)</a:t>
            </a:r>
            <a:r>
              <a:rPr lang="en-GB"/>
              <a:t> </a:t>
            </a:r>
            <a:r>
              <a:rPr lang="en-GB">
                <a:solidFill>
                  <a:srgbClr val="FF0000"/>
                </a:solidFill>
              </a:rPr>
              <a:t>high</a:t>
            </a:r>
            <a:r>
              <a:rPr lang="en-GB" baseline="0">
                <a:solidFill>
                  <a:srgbClr val="FF0000"/>
                </a:solidFill>
              </a:rPr>
              <a:t> traffic b/w SM &amp; Reg</a:t>
            </a:r>
            <a:endParaRPr lang="en-GB">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tx>
            <c:v>HBM+2d SRAM</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'HBM3+2d SRAM'!$B$76:$B$83</c:f>
              <c:numCache>
                <c:formatCode>0.00E+00</c:formatCode>
                <c:ptCount val="8"/>
                <c:pt idx="0">
                  <c:v>86000</c:v>
                </c:pt>
                <c:pt idx="1">
                  <c:v>160000</c:v>
                </c:pt>
                <c:pt idx="2">
                  <c:v>320000</c:v>
                </c:pt>
                <c:pt idx="3">
                  <c:v>640000</c:v>
                </c:pt>
                <c:pt idx="4">
                  <c:v>1280000</c:v>
                </c:pt>
                <c:pt idx="5">
                  <c:v>2560000</c:v>
                </c:pt>
                <c:pt idx="6">
                  <c:v>5120000</c:v>
                </c:pt>
                <c:pt idx="7">
                  <c:v>10240000</c:v>
                </c:pt>
              </c:numCache>
            </c:numRef>
          </c:xVal>
          <c:yVal>
            <c:numRef>
              <c:f>'HBM3+2d SRAM'!$C$76:$C$83</c:f>
              <c:numCache>
                <c:formatCode>0.00E+00</c:formatCode>
                <c:ptCount val="8"/>
                <c:pt idx="0">
                  <c:v>1.5800000000000002E-2</c:v>
                </c:pt>
                <c:pt idx="1">
                  <c:v>1.5800000000000002E-2</c:v>
                </c:pt>
                <c:pt idx="2">
                  <c:v>1.5800000000000002E-2</c:v>
                </c:pt>
                <c:pt idx="3">
                  <c:v>1.5800000000000002E-2</c:v>
                </c:pt>
                <c:pt idx="4">
                  <c:v>1.5800000000000002E-2</c:v>
                </c:pt>
                <c:pt idx="5">
                  <c:v>1.5800000000000002E-2</c:v>
                </c:pt>
                <c:pt idx="6">
                  <c:v>1.5800000000000002E-2</c:v>
                </c:pt>
                <c:pt idx="7">
                  <c:v>1.7600000000000001E-2</c:v>
                </c:pt>
              </c:numCache>
            </c:numRef>
          </c:yVal>
          <c:smooth val="0"/>
          <c:extLst>
            <c:ext xmlns:c16="http://schemas.microsoft.com/office/drawing/2014/chart" uri="{C3380CC4-5D6E-409C-BE32-E72D297353CC}">
              <c16:uniqueId val="{00000000-B8D5-4784-854E-6508E1FC0BDF}"/>
            </c:ext>
          </c:extLst>
        </c:ser>
        <c:ser>
          <c:idx val="1"/>
          <c:order val="1"/>
          <c:tx>
            <c:v>LPDDR+3d SRAM</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'HBM3+2d SRAM'!$B$76:$B$83</c:f>
              <c:numCache>
                <c:formatCode>0.00E+00</c:formatCode>
                <c:ptCount val="8"/>
                <c:pt idx="0">
                  <c:v>86000</c:v>
                </c:pt>
                <c:pt idx="1">
                  <c:v>160000</c:v>
                </c:pt>
                <c:pt idx="2">
                  <c:v>320000</c:v>
                </c:pt>
                <c:pt idx="3">
                  <c:v>640000</c:v>
                </c:pt>
                <c:pt idx="4">
                  <c:v>1280000</c:v>
                </c:pt>
                <c:pt idx="5">
                  <c:v>2560000</c:v>
                </c:pt>
                <c:pt idx="6">
                  <c:v>5120000</c:v>
                </c:pt>
                <c:pt idx="7">
                  <c:v>10240000</c:v>
                </c:pt>
              </c:numCache>
            </c:numRef>
          </c:xVal>
          <c:yVal>
            <c:numRef>
              <c:f>'HBM3+2d SRAM'!$D$76:$D$83</c:f>
              <c:numCache>
                <c:formatCode>0.00E+00</c:formatCode>
                <c:ptCount val="8"/>
                <c:pt idx="0">
                  <c:v>1.7799999999999999E-3</c:v>
                </c:pt>
                <c:pt idx="1">
                  <c:v>1.7799999999999999E-3</c:v>
                </c:pt>
                <c:pt idx="2">
                  <c:v>1.7799999999999999E-3</c:v>
                </c:pt>
                <c:pt idx="3">
                  <c:v>1.7799999999999999E-3</c:v>
                </c:pt>
                <c:pt idx="4">
                  <c:v>1.7799999999999999E-3</c:v>
                </c:pt>
                <c:pt idx="5">
                  <c:v>3.5699999999999998E-3</c:v>
                </c:pt>
                <c:pt idx="6">
                  <c:v>8.8900000000000003E-3</c:v>
                </c:pt>
                <c:pt idx="7">
                  <c:v>2.53E-2</c:v>
                </c:pt>
              </c:numCache>
            </c:numRef>
          </c:yVal>
          <c:smooth val="0"/>
          <c:extLst>
            <c:ext xmlns:c16="http://schemas.microsoft.com/office/drawing/2014/chart" uri="{C3380CC4-5D6E-409C-BE32-E72D297353CC}">
              <c16:uniqueId val="{00000001-B8D5-4784-854E-6508E1FC0BDF}"/>
            </c:ext>
          </c:extLst>
        </c:ser>
        <c:dLbls>
          <c:showLegendKey val="0"/>
          <c:showVal val="0"/>
          <c:showCatName val="0"/>
          <c:showSerName val="0"/>
          <c:showPercent val="0"/>
          <c:showBubbleSize val="0"/>
        </c:dLbls>
        <c:axId val="2049176544"/>
        <c:axId val="2049175712"/>
      </c:scatterChart>
      <c:valAx>
        <c:axId val="2049176544"/>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175712"/>
        <c:crosses val="autoZero"/>
        <c:crossBetween val="midCat"/>
      </c:valAx>
      <c:valAx>
        <c:axId val="204917571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1765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nl-BE"/>
              <a:t>TFLOP/S/GPU w.r.t.</a:t>
            </a:r>
            <a:r>
              <a:rPr lang="nl-BE" baseline="0"/>
              <a:t> Batch Size</a:t>
            </a:r>
            <a:endParaRPr lang="nl-BE"/>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nl-BE"/>
        </a:p>
      </c:txPr>
    </c:title>
    <c:autoTitleDeleted val="0"/>
    <c:plotArea>
      <c:layout/>
      <c:lineChart>
        <c:grouping val="standard"/>
        <c:varyColors val="0"/>
        <c:ser>
          <c:idx val="1"/>
          <c:order val="1"/>
          <c:tx>
            <c:strRef>
              <c:f>Validation!$B$18</c:f>
              <c:strCache>
                <c:ptCount val="1"/>
                <c:pt idx="0">
                  <c:v>modeled</c:v>
                </c:pt>
              </c:strCache>
            </c:strRef>
          </c:tx>
          <c:spPr>
            <a:ln w="22225" cap="rnd">
              <a:solidFill>
                <a:schemeClr val="accent2"/>
              </a:solidFill>
            </a:ln>
            <a:effectLst>
              <a:glow rad="139700">
                <a:schemeClr val="accent2">
                  <a:satMod val="175000"/>
                  <a:alpha val="14000"/>
                </a:schemeClr>
              </a:glow>
            </a:effectLst>
          </c:spPr>
          <c:marker>
            <c:symbol val="none"/>
          </c:marker>
          <c:cat>
            <c:numRef>
              <c:f>Validation!$A$19:$A$23</c:f>
              <c:numCache>
                <c:formatCode>General</c:formatCode>
                <c:ptCount val="5"/>
                <c:pt idx="0">
                  <c:v>12</c:v>
                </c:pt>
                <c:pt idx="1">
                  <c:v>24</c:v>
                </c:pt>
                <c:pt idx="2">
                  <c:v>36</c:v>
                </c:pt>
                <c:pt idx="3">
                  <c:v>48</c:v>
                </c:pt>
                <c:pt idx="4">
                  <c:v>60</c:v>
                </c:pt>
              </c:numCache>
            </c:numRef>
          </c:cat>
          <c:val>
            <c:numRef>
              <c:f>Validation!$B$19:$B$23</c:f>
              <c:numCache>
                <c:formatCode>General</c:formatCode>
                <c:ptCount val="5"/>
                <c:pt idx="0">
                  <c:v>106.7</c:v>
                </c:pt>
                <c:pt idx="1">
                  <c:v>123</c:v>
                </c:pt>
                <c:pt idx="2">
                  <c:v>134</c:v>
                </c:pt>
                <c:pt idx="3">
                  <c:v>142</c:v>
                </c:pt>
                <c:pt idx="4">
                  <c:v>148</c:v>
                </c:pt>
              </c:numCache>
            </c:numRef>
          </c:val>
          <c:smooth val="0"/>
          <c:extLst>
            <c:ext xmlns:c16="http://schemas.microsoft.com/office/drawing/2014/chart" uri="{C3380CC4-5D6E-409C-BE32-E72D297353CC}">
              <c16:uniqueId val="{00000001-D43B-47BE-8E21-B3C47B6BEBCB}"/>
            </c:ext>
          </c:extLst>
        </c:ser>
        <c:ser>
          <c:idx val="2"/>
          <c:order val="2"/>
          <c:tx>
            <c:strRef>
              <c:f>Validation!$C$18</c:f>
              <c:strCache>
                <c:ptCount val="1"/>
                <c:pt idx="0">
                  <c:v>paper</c:v>
                </c:pt>
              </c:strCache>
            </c:strRef>
          </c:tx>
          <c:spPr>
            <a:ln w="22225" cap="rnd">
              <a:solidFill>
                <a:schemeClr val="accent3"/>
              </a:solidFill>
            </a:ln>
            <a:effectLst>
              <a:glow rad="139700">
                <a:schemeClr val="accent3">
                  <a:satMod val="175000"/>
                  <a:alpha val="14000"/>
                </a:schemeClr>
              </a:glow>
            </a:effectLst>
          </c:spPr>
          <c:marker>
            <c:symbol val="none"/>
          </c:marker>
          <c:cat>
            <c:numRef>
              <c:f>Validation!$A$19:$A$23</c:f>
              <c:numCache>
                <c:formatCode>General</c:formatCode>
                <c:ptCount val="5"/>
                <c:pt idx="0">
                  <c:v>12</c:v>
                </c:pt>
                <c:pt idx="1">
                  <c:v>24</c:v>
                </c:pt>
                <c:pt idx="2">
                  <c:v>36</c:v>
                </c:pt>
                <c:pt idx="3">
                  <c:v>48</c:v>
                </c:pt>
                <c:pt idx="4">
                  <c:v>60</c:v>
                </c:pt>
              </c:numCache>
            </c:numRef>
          </c:cat>
          <c:val>
            <c:numRef>
              <c:f>Validation!$C$19:$C$23</c:f>
              <c:numCache>
                <c:formatCode>General</c:formatCode>
                <c:ptCount val="5"/>
                <c:pt idx="0">
                  <c:v>121</c:v>
                </c:pt>
                <c:pt idx="1">
                  <c:v>130</c:v>
                </c:pt>
                <c:pt idx="2">
                  <c:v>137</c:v>
                </c:pt>
                <c:pt idx="3">
                  <c:v>142</c:v>
                </c:pt>
                <c:pt idx="4">
                  <c:v>145</c:v>
                </c:pt>
              </c:numCache>
            </c:numRef>
          </c:val>
          <c:smooth val="0"/>
          <c:extLst>
            <c:ext xmlns:c16="http://schemas.microsoft.com/office/drawing/2014/chart" uri="{C3380CC4-5D6E-409C-BE32-E72D297353CC}">
              <c16:uniqueId val="{00000002-D43B-47BE-8E21-B3C47B6BEBCB}"/>
            </c:ext>
          </c:extLst>
        </c:ser>
        <c:dLbls>
          <c:showLegendKey val="0"/>
          <c:showVal val="0"/>
          <c:showCatName val="0"/>
          <c:showSerName val="0"/>
          <c:showPercent val="0"/>
          <c:showBubbleSize val="0"/>
        </c:dLbls>
        <c:smooth val="0"/>
        <c:axId val="152407535"/>
        <c:axId val="152403791"/>
        <c:extLst>
          <c:ext xmlns:c15="http://schemas.microsoft.com/office/drawing/2012/chart" uri="{02D57815-91ED-43cb-92C2-25804820EDAC}">
            <c15:filteredLineSeries>
              <c15:ser>
                <c:idx val="0"/>
                <c:order val="0"/>
                <c:tx>
                  <c:strRef>
                    <c:extLst>
                      <c:ext uri="{02D57815-91ED-43cb-92C2-25804820EDAC}">
                        <c15:formulaRef>
                          <c15:sqref>Validation!$A$18</c15:sqref>
                        </c15:formulaRef>
                      </c:ext>
                    </c:extLst>
                    <c:strCache>
                      <c:ptCount val="1"/>
                      <c:pt idx="0">
                        <c:v>batchsize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numRef>
                    <c:extLst>
                      <c:ext uri="{02D57815-91ED-43cb-92C2-25804820EDAC}">
                        <c15:formulaRef>
                          <c15:sqref>Validation!$A$19:$A$23</c15:sqref>
                        </c15:formulaRef>
                      </c:ext>
                    </c:extLst>
                    <c:numCache>
                      <c:formatCode>General</c:formatCode>
                      <c:ptCount val="5"/>
                      <c:pt idx="0">
                        <c:v>12</c:v>
                      </c:pt>
                      <c:pt idx="1">
                        <c:v>24</c:v>
                      </c:pt>
                      <c:pt idx="2">
                        <c:v>36</c:v>
                      </c:pt>
                      <c:pt idx="3">
                        <c:v>48</c:v>
                      </c:pt>
                      <c:pt idx="4">
                        <c:v>60</c:v>
                      </c:pt>
                    </c:numCache>
                  </c:numRef>
                </c:cat>
                <c:val>
                  <c:numRef>
                    <c:extLst>
                      <c:ext uri="{02D57815-91ED-43cb-92C2-25804820EDAC}">
                        <c15:formulaRef>
                          <c15:sqref>Validation!$A$19:$A$23</c15:sqref>
                        </c15:formulaRef>
                      </c:ext>
                    </c:extLst>
                    <c:numCache>
                      <c:formatCode>General</c:formatCode>
                      <c:ptCount val="5"/>
                      <c:pt idx="0">
                        <c:v>12</c:v>
                      </c:pt>
                      <c:pt idx="1">
                        <c:v>24</c:v>
                      </c:pt>
                      <c:pt idx="2">
                        <c:v>36</c:v>
                      </c:pt>
                      <c:pt idx="3">
                        <c:v>48</c:v>
                      </c:pt>
                      <c:pt idx="4">
                        <c:v>60</c:v>
                      </c:pt>
                    </c:numCache>
                  </c:numRef>
                </c:val>
                <c:smooth val="0"/>
                <c:extLst>
                  <c:ext xmlns:c16="http://schemas.microsoft.com/office/drawing/2014/chart" uri="{C3380CC4-5D6E-409C-BE32-E72D297353CC}">
                    <c16:uniqueId val="{00000000-D43B-47BE-8E21-B3C47B6BEBCB}"/>
                  </c:ext>
                </c:extLst>
              </c15:ser>
            </c15:filteredLineSeries>
          </c:ext>
        </c:extLst>
      </c:lineChart>
      <c:catAx>
        <c:axId val="152407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nl-BE"/>
                  <a:t>Batch Size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403791"/>
        <c:crosses val="autoZero"/>
        <c:auto val="1"/>
        <c:lblAlgn val="ctr"/>
        <c:lblOffset val="100"/>
        <c:noMultiLvlLbl val="0"/>
      </c:catAx>
      <c:valAx>
        <c:axId val="152403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nl-BE"/>
                  <a:t>TFLOP/S/GPU</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4075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TFLOP/S/GPU w.r.t. Accelerators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Validation!$B$31</c:f>
              <c:strCache>
                <c:ptCount val="1"/>
                <c:pt idx="0">
                  <c:v>TFLOP/S/GPU</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Validation!$A$32:$A$33</c:f>
              <c:strCache>
                <c:ptCount val="2"/>
                <c:pt idx="0">
                  <c:v>Megatron 145B - A100</c:v>
                </c:pt>
                <c:pt idx="1">
                  <c:v>Megatron 145B - V100</c:v>
                </c:pt>
              </c:strCache>
            </c:strRef>
          </c:cat>
          <c:val>
            <c:numRef>
              <c:f>Validation!$B$32:$B$33</c:f>
              <c:numCache>
                <c:formatCode>General</c:formatCode>
                <c:ptCount val="2"/>
                <c:pt idx="0">
                  <c:v>115.35</c:v>
                </c:pt>
                <c:pt idx="1">
                  <c:v>43.14</c:v>
                </c:pt>
              </c:numCache>
            </c:numRef>
          </c:val>
          <c:extLst>
            <c:ext xmlns:c16="http://schemas.microsoft.com/office/drawing/2014/chart" uri="{C3380CC4-5D6E-409C-BE32-E72D297353CC}">
              <c16:uniqueId val="{00000000-D24C-4AD2-81CC-0AC1B078DF69}"/>
            </c:ext>
          </c:extLst>
        </c:ser>
        <c:dLbls>
          <c:showLegendKey val="0"/>
          <c:showVal val="0"/>
          <c:showCatName val="0"/>
          <c:showSerName val="0"/>
          <c:showPercent val="0"/>
          <c:showBubbleSize val="0"/>
        </c:dLbls>
        <c:gapWidth val="100"/>
        <c:overlap val="-24"/>
        <c:axId val="970196175"/>
        <c:axId val="970216143"/>
      </c:barChart>
      <c:catAx>
        <c:axId val="9701961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nl-BE"/>
                  <a:t>Model-Accelerator Combination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0216143"/>
        <c:crosses val="autoZero"/>
        <c:auto val="1"/>
        <c:lblAlgn val="ctr"/>
        <c:lblOffset val="100"/>
        <c:noMultiLvlLbl val="0"/>
      </c:catAx>
      <c:valAx>
        <c:axId val="97021614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nl-BE"/>
                  <a:t>TFLOP/S/GPU</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019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nl-BE"/>
              <a:t>TFLOP/S/GPU w.r.t Model Size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Modeled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Validation!$F$43:$F$46</c:f>
              <c:strCache>
                <c:ptCount val="4"/>
                <c:pt idx="0">
                  <c:v>model 145B</c:v>
                </c:pt>
                <c:pt idx="1">
                  <c:v>model 310B</c:v>
                </c:pt>
                <c:pt idx="2">
                  <c:v>model 530B</c:v>
                </c:pt>
                <c:pt idx="3">
                  <c:v>model 1T</c:v>
                </c:pt>
              </c:strCache>
            </c:strRef>
          </c:cat>
          <c:val>
            <c:numRef>
              <c:f>Validation!$G$43:$G$46</c:f>
              <c:numCache>
                <c:formatCode>General</c:formatCode>
                <c:ptCount val="4"/>
                <c:pt idx="0">
                  <c:v>147</c:v>
                </c:pt>
                <c:pt idx="1">
                  <c:v>162</c:v>
                </c:pt>
                <c:pt idx="2">
                  <c:v>148.6</c:v>
                </c:pt>
                <c:pt idx="3">
                  <c:v>144.30000000000001</c:v>
                </c:pt>
              </c:numCache>
            </c:numRef>
          </c:val>
          <c:extLst>
            <c:ext xmlns:c16="http://schemas.microsoft.com/office/drawing/2014/chart" uri="{C3380CC4-5D6E-409C-BE32-E72D297353CC}">
              <c16:uniqueId val="{00000000-D317-4630-B719-843503CBDD61}"/>
            </c:ext>
          </c:extLst>
        </c:ser>
        <c:ser>
          <c:idx val="1"/>
          <c:order val="1"/>
          <c:tx>
            <c:strRef>
              <c:f>Validation!$H$42</c:f>
              <c:strCache>
                <c:ptCount val="1"/>
                <c:pt idx="0">
                  <c:v>paper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Validation!$F$43:$F$46</c:f>
              <c:strCache>
                <c:ptCount val="4"/>
                <c:pt idx="0">
                  <c:v>model 145B</c:v>
                </c:pt>
                <c:pt idx="1">
                  <c:v>model 310B</c:v>
                </c:pt>
                <c:pt idx="2">
                  <c:v>model 530B</c:v>
                </c:pt>
                <c:pt idx="3">
                  <c:v>model 1T</c:v>
                </c:pt>
              </c:strCache>
            </c:strRef>
          </c:cat>
          <c:val>
            <c:numRef>
              <c:f>Validation!$H$43:$H$46</c:f>
              <c:numCache>
                <c:formatCode>General</c:formatCode>
                <c:ptCount val="4"/>
                <c:pt idx="0">
                  <c:v>148</c:v>
                </c:pt>
                <c:pt idx="1">
                  <c:v>155</c:v>
                </c:pt>
                <c:pt idx="2">
                  <c:v>163</c:v>
                </c:pt>
                <c:pt idx="3">
                  <c:v>163</c:v>
                </c:pt>
              </c:numCache>
            </c:numRef>
          </c:val>
          <c:extLst>
            <c:ext xmlns:c16="http://schemas.microsoft.com/office/drawing/2014/chart" uri="{C3380CC4-5D6E-409C-BE32-E72D297353CC}">
              <c16:uniqueId val="{00000001-D317-4630-B719-843503CBDD61}"/>
            </c:ext>
          </c:extLst>
        </c:ser>
        <c:dLbls>
          <c:showLegendKey val="0"/>
          <c:showVal val="0"/>
          <c:showCatName val="0"/>
          <c:showSerName val="0"/>
          <c:showPercent val="0"/>
          <c:showBubbleSize val="0"/>
        </c:dLbls>
        <c:gapWidth val="100"/>
        <c:overlap val="-24"/>
        <c:axId val="1138597471"/>
        <c:axId val="1138601215"/>
      </c:barChart>
      <c:catAx>
        <c:axId val="11385974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nl-BE"/>
                  <a:t>Model Size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8601215"/>
        <c:crosses val="autoZero"/>
        <c:auto val="1"/>
        <c:lblAlgn val="ctr"/>
        <c:lblOffset val="100"/>
        <c:noMultiLvlLbl val="0"/>
      </c:catAx>
      <c:valAx>
        <c:axId val="1138601215"/>
        <c:scaling>
          <c:orientation val="minMax"/>
          <c:min val="5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nl-BE"/>
                  <a:t>TFLOP/S/GPU</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859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(seq/s) on V100</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Validation!$A$29</c:f>
              <c:strCache>
                <c:ptCount val="1"/>
                <c:pt idx="0">
                  <c:v>Performance (seq/s/GPU)</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Validation!$B$28:$C$28</c:f>
              <c:strCache>
                <c:ptCount val="2"/>
                <c:pt idx="0">
                  <c:v>modeled</c:v>
                </c:pt>
                <c:pt idx="1">
                  <c:v>Paper (MS, PipeDream'21)</c:v>
                </c:pt>
              </c:strCache>
            </c:strRef>
          </c:cat>
          <c:val>
            <c:numRef>
              <c:f>Validation!$B$29:$C$29</c:f>
              <c:numCache>
                <c:formatCode>General</c:formatCode>
                <c:ptCount val="2"/>
                <c:pt idx="0">
                  <c:v>108</c:v>
                </c:pt>
                <c:pt idx="1">
                  <c:v>80</c:v>
                </c:pt>
              </c:numCache>
            </c:numRef>
          </c:val>
          <c:extLst>
            <c:ext xmlns:c16="http://schemas.microsoft.com/office/drawing/2014/chart" uri="{C3380CC4-5D6E-409C-BE32-E72D297353CC}">
              <c16:uniqueId val="{00000000-F97E-4F1A-B568-6AE9DB4803FA}"/>
            </c:ext>
          </c:extLst>
        </c:ser>
        <c:dLbls>
          <c:showLegendKey val="0"/>
          <c:showVal val="0"/>
          <c:showCatName val="0"/>
          <c:showSerName val="0"/>
          <c:showPercent val="0"/>
          <c:showBubbleSize val="0"/>
        </c:dLbls>
        <c:gapWidth val="100"/>
        <c:overlap val="-24"/>
        <c:axId val="1170233855"/>
        <c:axId val="1170234271"/>
      </c:barChart>
      <c:catAx>
        <c:axId val="11702338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nl-BE"/>
                  <a:t>GPT3-2.5B</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0234271"/>
        <c:crosses val="autoZero"/>
        <c:auto val="1"/>
        <c:lblAlgn val="ctr"/>
        <c:lblOffset val="100"/>
        <c:noMultiLvlLbl val="0"/>
      </c:catAx>
      <c:valAx>
        <c:axId val="11702342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nl-BE"/>
                  <a:t>Performance (seq/s)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023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training time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0D-46CE-9FF2-36EF35B560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0D-46CE-9FF2-36EF35B560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0D-46CE-9FF2-36EF35B560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0D-46CE-9FF2-36EF35B560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B0D-46CE-9FF2-36EF35B560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B0D-46CE-9FF2-36EF35B5609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5C7-4F1C-949F-BDB86671950E}"/>
              </c:ext>
            </c:extLst>
          </c:dPt>
          <c:cat>
            <c:strRef>
              <c:f>Cluster!$M$14:$M$20</c:f>
              <c:strCache>
                <c:ptCount val="7"/>
                <c:pt idx="0">
                  <c:v>total forward pass compute</c:v>
                </c:pt>
                <c:pt idx="1">
                  <c:v>total forward pass comm</c:v>
                </c:pt>
                <c:pt idx="2">
                  <c:v>total backward pass comp</c:v>
                </c:pt>
                <c:pt idx="3">
                  <c:v>Total backward pass communication</c:v>
                </c:pt>
                <c:pt idx="4">
                  <c:v>total weight update time</c:v>
                </c:pt>
                <c:pt idx="5">
                  <c:v>overhead cpu2accel</c:v>
                </c:pt>
                <c:pt idx="6">
                  <c:v>all_reduce</c:v>
                </c:pt>
              </c:strCache>
            </c:strRef>
          </c:cat>
          <c:val>
            <c:numRef>
              <c:f>Cluster!$N$14:$N$20</c:f>
              <c:numCache>
                <c:formatCode>0.00E+00</c:formatCode>
                <c:ptCount val="7"/>
                <c:pt idx="0">
                  <c:v>581.56619962507375</c:v>
                </c:pt>
                <c:pt idx="1">
                  <c:v>1294501.2</c:v>
                </c:pt>
                <c:pt idx="2">
                  <c:v>581.56619962507375</c:v>
                </c:pt>
                <c:pt idx="3">
                  <c:v>1294501.2</c:v>
                </c:pt>
                <c:pt idx="4">
                  <c:v>581.56028368794318</c:v>
                </c:pt>
                <c:pt idx="5">
                  <c:v>38364.285714285717</c:v>
                </c:pt>
                <c:pt idx="6">
                  <c:v>0</c:v>
                </c:pt>
              </c:numCache>
            </c:numRef>
          </c:val>
          <c:extLst>
            <c:ext xmlns:c16="http://schemas.microsoft.com/office/drawing/2014/chart" uri="{C3380CC4-5D6E-409C-BE32-E72D297353CC}">
              <c16:uniqueId val="{00000000-1922-46F1-A31D-D60D98995C62}"/>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3.6877199715737143E-2"/>
          <c:y val="0.16432129815402005"/>
          <c:w val="0.22886732241254965"/>
          <c:h val="0.8104421171441194"/>
        </c:manualLayout>
      </c:layout>
      <c:overlay val="1"/>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511175</xdr:colOff>
      <xdr:row>16</xdr:row>
      <xdr:rowOff>0</xdr:rowOff>
    </xdr:from>
    <xdr:ext cx="65" cy="172227"/>
    <xdr:sp macro="" textlink="">
      <xdr:nvSpPr>
        <xdr:cNvPr id="2" name="TextBox 8">
          <a:extLst>
            <a:ext uri="{FF2B5EF4-FFF2-40B4-BE49-F238E27FC236}">
              <a16:creationId xmlns:a16="http://schemas.microsoft.com/office/drawing/2014/main" id="{7297AB37-0016-4431-BC74-A5283E48EE67}"/>
            </a:ext>
          </a:extLst>
        </xdr:cNvPr>
        <xdr:cNvSpPr txBox="1"/>
      </xdr:nvSpPr>
      <xdr:spPr>
        <a:xfrm>
          <a:off x="24123650" y="1692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7</xdr:row>
      <xdr:rowOff>0</xdr:rowOff>
    </xdr:from>
    <xdr:ext cx="6912428" cy="253403"/>
    <mc:AlternateContent xmlns:mc="http://schemas.openxmlformats.org/markup-compatibility/2006" xmlns:a14="http://schemas.microsoft.com/office/drawing/2010/main">
      <mc:Choice Requires="a14">
        <xdr:sp macro="" textlink="">
          <xdr:nvSpPr>
            <xdr:cNvPr id="3" name="TextBox 1">
              <a:extLst>
                <a:ext uri="{FF2B5EF4-FFF2-40B4-BE49-F238E27FC236}">
                  <a16:creationId xmlns:a16="http://schemas.microsoft.com/office/drawing/2014/main" id="{712FF3F2-FA38-4B9C-BC7D-263057326C87}"/>
                </a:ext>
              </a:extLst>
            </xdr:cNvPr>
            <xdr:cNvSpPr txBox="1"/>
          </xdr:nvSpPr>
          <xdr:spPr>
            <a:xfrm>
              <a:off x="3415393" y="12831536"/>
              <a:ext cx="6912428" cy="253403"/>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𝑇</m:t>
                    </m:r>
                    <m:r>
                      <a:rPr lang="en-US" sz="1100" b="0" i="1">
                        <a:latin typeface="Cambria Math" panose="02040503050406030204" pitchFamily="18" charset="0"/>
                      </a:rPr>
                      <m:t> =</m:t>
                    </m:r>
                    <m:func>
                      <m:funcPr>
                        <m:ctrlPr>
                          <a:rPr lang="en-US" sz="1100" b="0" i="1">
                            <a:latin typeface="Cambria Math" panose="02040503050406030204" pitchFamily="18" charset="0"/>
                          </a:rPr>
                        </m:ctrlPr>
                      </m:funcPr>
                      <m:fName>
                        <m:r>
                          <m:rPr>
                            <m:sty m:val="p"/>
                          </m:rPr>
                          <a:rPr lang="en-US" sz="1100" b="0" i="0">
                            <a:latin typeface="Cambria Math" panose="02040503050406030204" pitchFamily="18" charset="0"/>
                          </a:rPr>
                          <m:t>max</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𝑇</m:t>
                                </m:r>
                              </m:e>
                              <m:sub>
                                <m:r>
                                  <a:rPr lang="en-US" sz="1100" b="0" i="1">
                                    <a:latin typeface="Cambria Math" panose="02040503050406030204" pitchFamily="18" charset="0"/>
                                  </a:rPr>
                                  <m:t>𝑚𝑢𝑙𝑡</m:t>
                                </m:r>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𝑎𝑐𝑐𝑒𝑙</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𝑇</m:t>
                                </m:r>
                              </m:e>
                              <m:sub>
                                <m:r>
                                  <a:rPr lang="en-US" sz="1100" b="0" i="1">
                                    <a:latin typeface="Cambria Math" panose="02040503050406030204" pitchFamily="18" charset="0"/>
                                  </a:rPr>
                                  <m:t>𝑚𝑢𝑙𝑡</m:t>
                                </m:r>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𝑐𝑝𝑢</m:t>
                                    </m:r>
                                  </m:sub>
                                </m:sSub>
                              </m:sub>
                            </m:sSub>
                            <m:r>
                              <a:rPr lang="en-US" sz="1100" b="0" i="1">
                                <a:latin typeface="Cambria Math" panose="02040503050406030204" pitchFamily="18" charset="0"/>
                              </a:rPr>
                              <m:t>,</m:t>
                            </m:r>
                            <m:sSub>
                              <m:sSubPr>
                                <m:ctrlPr>
                                  <a:rPr lang="en-US" sz="1100" b="0" i="1">
                                    <a:solidFill>
                                      <a:schemeClr val="bg2">
                                        <a:lumMod val="75000"/>
                                      </a:schemeClr>
                                    </a:solidFill>
                                    <a:latin typeface="Cambria Math" panose="02040503050406030204" pitchFamily="18" charset="0"/>
                                  </a:rPr>
                                </m:ctrlPr>
                              </m:sSubPr>
                              <m:e>
                                <m:r>
                                  <a:rPr lang="en-US" sz="1100" b="0" i="1">
                                    <a:solidFill>
                                      <a:schemeClr val="bg2">
                                        <a:lumMod val="75000"/>
                                      </a:schemeClr>
                                    </a:solidFill>
                                    <a:latin typeface="Cambria Math" panose="02040503050406030204" pitchFamily="18" charset="0"/>
                                  </a:rPr>
                                  <m:t>𝑇</m:t>
                                </m:r>
                              </m:e>
                              <m:sub>
                                <m:r>
                                  <a:rPr lang="en-US" sz="1100" b="0" i="1">
                                    <a:solidFill>
                                      <a:schemeClr val="bg2">
                                        <a:lumMod val="75000"/>
                                      </a:schemeClr>
                                    </a:solidFill>
                                    <a:latin typeface="Cambria Math" panose="02040503050406030204" pitchFamily="18" charset="0"/>
                                  </a:rPr>
                                  <m:t>𝑜𝑡h𝑒𝑟</m:t>
                                </m:r>
                              </m:sub>
                            </m:sSub>
                          </m:e>
                        </m:d>
                      </m:e>
                    </m:func>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𝐷</m:t>
                        </m:r>
                      </m:e>
                      <m:sub>
                        <m:r>
                          <a:rPr lang="en-US" sz="1100" b="0" i="1">
                            <a:latin typeface="Cambria Math" panose="02040503050406030204" pitchFamily="18" charset="0"/>
                          </a:rPr>
                          <m:t>𝑐𝑝𝑢</m:t>
                        </m:r>
                        <m:r>
                          <a:rPr lang="en-US" sz="1100" b="0" i="1">
                            <a:latin typeface="Cambria Math" panose="02040503050406030204" pitchFamily="18" charset="0"/>
                          </a:rPr>
                          <m:t>2</m:t>
                        </m:r>
                        <m:r>
                          <a:rPr lang="en-US" sz="1100" b="0" i="1">
                            <a:latin typeface="Cambria Math" panose="02040503050406030204" pitchFamily="18" charset="0"/>
                          </a:rPr>
                          <m:t>𝑎𝑐𝑐𝑒𝑙</m:t>
                        </m:r>
                      </m:sub>
                    </m:sSub>
                    <m:r>
                      <a:rPr lang="en-US" sz="1100" b="0" i="1">
                        <a:solidFill>
                          <a:schemeClr val="bg2">
                            <a:lumMod val="75000"/>
                          </a:schemeClr>
                        </a:solidFill>
                        <a:latin typeface="Cambria Math" panose="02040503050406030204" pitchFamily="18" charset="0"/>
                      </a:rPr>
                      <m:t>+</m:t>
                    </m:r>
                    <m:sSub>
                      <m:sSubPr>
                        <m:ctrlPr>
                          <a:rPr lang="en-US" sz="1100" b="0" i="1">
                            <a:solidFill>
                              <a:schemeClr val="bg2">
                                <a:lumMod val="75000"/>
                              </a:schemeClr>
                            </a:solidFill>
                            <a:latin typeface="Cambria Math" panose="02040503050406030204" pitchFamily="18" charset="0"/>
                          </a:rPr>
                        </m:ctrlPr>
                      </m:sSubPr>
                      <m:e>
                        <m:r>
                          <a:rPr lang="en-US" sz="1100" b="0" i="1">
                            <a:solidFill>
                              <a:schemeClr val="bg2">
                                <a:lumMod val="75000"/>
                              </a:schemeClr>
                            </a:solidFill>
                            <a:latin typeface="Cambria Math" panose="02040503050406030204" pitchFamily="18" charset="0"/>
                          </a:rPr>
                          <m:t>𝐷</m:t>
                        </m:r>
                      </m:e>
                      <m:sub>
                        <m:r>
                          <a:rPr lang="en-US" sz="1100" b="0" i="1">
                            <a:solidFill>
                              <a:schemeClr val="bg2">
                                <a:lumMod val="75000"/>
                              </a:schemeClr>
                            </a:solidFill>
                            <a:latin typeface="Cambria Math" panose="02040503050406030204" pitchFamily="18" charset="0"/>
                          </a:rPr>
                          <m:t>𝑐𝑝𝑢</m:t>
                        </m:r>
                        <m:r>
                          <a:rPr lang="en-US" sz="1100" b="0" i="1">
                            <a:solidFill>
                              <a:schemeClr val="bg2">
                                <a:lumMod val="75000"/>
                              </a:schemeClr>
                            </a:solidFill>
                            <a:latin typeface="Cambria Math" panose="02040503050406030204" pitchFamily="18" charset="0"/>
                          </a:rPr>
                          <m:t>2</m:t>
                        </m:r>
                        <m:r>
                          <a:rPr lang="en-US" sz="1100" b="0" i="1">
                            <a:solidFill>
                              <a:schemeClr val="bg2">
                                <a:lumMod val="75000"/>
                              </a:schemeClr>
                            </a:solidFill>
                            <a:latin typeface="Cambria Math" panose="02040503050406030204" pitchFamily="18" charset="0"/>
                          </a:rPr>
                          <m:t>𝑜𝑡h𝑒𝑟</m:t>
                        </m:r>
                      </m:sub>
                    </m:sSub>
                    <m:r>
                      <a:rPr lang="en-US" sz="1100" b="0" i="1">
                        <a:solidFill>
                          <a:schemeClr val="bg2">
                            <a:lumMod val="75000"/>
                          </a:schemeClr>
                        </a:solidFill>
                        <a:latin typeface="Cambria Math" panose="02040503050406030204" pitchFamily="18" charset="0"/>
                      </a:rPr>
                      <m:t>+ </m:t>
                    </m:r>
                    <m:sSub>
                      <m:sSubPr>
                        <m:ctrlPr>
                          <a:rPr lang="en-US" sz="1100" b="0" i="1">
                            <a:solidFill>
                              <a:schemeClr val="bg2">
                                <a:lumMod val="75000"/>
                              </a:schemeClr>
                            </a:solidFill>
                            <a:latin typeface="Cambria Math" panose="02040503050406030204" pitchFamily="18" charset="0"/>
                          </a:rPr>
                        </m:ctrlPr>
                      </m:sSubPr>
                      <m:e>
                        <m:r>
                          <a:rPr lang="en-US" sz="1100" b="0" i="1">
                            <a:solidFill>
                              <a:schemeClr val="bg2">
                                <a:lumMod val="75000"/>
                              </a:schemeClr>
                            </a:solidFill>
                            <a:latin typeface="Cambria Math" panose="02040503050406030204" pitchFamily="18" charset="0"/>
                          </a:rPr>
                          <m:t>𝐷</m:t>
                        </m:r>
                      </m:e>
                      <m:sub>
                        <m:r>
                          <a:rPr lang="en-US" sz="1100" b="0" i="1">
                            <a:solidFill>
                              <a:schemeClr val="bg2">
                                <a:lumMod val="75000"/>
                              </a:schemeClr>
                            </a:solidFill>
                            <a:latin typeface="Cambria Math" panose="02040503050406030204" pitchFamily="18" charset="0"/>
                          </a:rPr>
                          <m:t>𝑎𝑐𝑐𝑒𝑙</m:t>
                        </m:r>
                        <m:r>
                          <a:rPr lang="en-US" sz="1100" b="0" i="1">
                            <a:solidFill>
                              <a:schemeClr val="bg2">
                                <a:lumMod val="75000"/>
                              </a:schemeClr>
                            </a:solidFill>
                            <a:latin typeface="Cambria Math" panose="02040503050406030204" pitchFamily="18" charset="0"/>
                          </a:rPr>
                          <m:t>2</m:t>
                        </m:r>
                        <m:r>
                          <a:rPr lang="en-US" sz="1100" b="0" i="1">
                            <a:solidFill>
                              <a:schemeClr val="bg2">
                                <a:lumMod val="75000"/>
                              </a:schemeClr>
                            </a:solidFill>
                            <a:latin typeface="Cambria Math" panose="02040503050406030204" pitchFamily="18" charset="0"/>
                          </a:rPr>
                          <m:t>𝑜𝑡h𝑒𝑟</m:t>
                        </m:r>
                      </m:sub>
                    </m:sSub>
                  </m:oMath>
                </m:oMathPara>
              </a14:m>
              <a:br>
                <a:rPr lang="en-US" sz="1100" b="0" i="1">
                  <a:solidFill>
                    <a:schemeClr val="bg2">
                      <a:lumMod val="75000"/>
                    </a:schemeClr>
                  </a:solidFill>
                  <a:latin typeface="Cambria Math" panose="02040503050406030204" pitchFamily="18" charset="0"/>
                </a:rPr>
              </a:br>
              <a:endParaRPr lang="en-GB" sz="1100"/>
            </a:p>
          </xdr:txBody>
        </xdr:sp>
      </mc:Choice>
      <mc:Fallback xmlns="">
        <xdr:sp macro="" textlink="">
          <xdr:nvSpPr>
            <xdr:cNvPr id="480" name="TextBox 1">
              <a:extLst>
                <a:ext uri="{FF2B5EF4-FFF2-40B4-BE49-F238E27FC236}">
                  <a16:creationId xmlns:a16="http://schemas.microsoft.com/office/drawing/2014/main" id="{712FF3F2-FA38-4B9C-BC7D-263057326C87}"/>
                </a:ext>
              </a:extLst>
            </xdr:cNvPr>
            <xdr:cNvSpPr txBox="1"/>
          </xdr:nvSpPr>
          <xdr:spPr>
            <a:xfrm>
              <a:off x="3415393" y="12831536"/>
              <a:ext cx="6912428" cy="253403"/>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𝑇 =max⁡(𝑇_(𝑚𝑢𝑙𝑡𝑖_𝑎𝑐𝑐𝑒𝑙 ),𝑇_(𝑚𝑢𝑙𝑡𝑖_𝑐𝑝𝑢 ),</a:t>
              </a:r>
              <a:r>
                <a:rPr lang="en-US" sz="1100" b="0" i="0">
                  <a:solidFill>
                    <a:schemeClr val="bg2">
                      <a:lumMod val="75000"/>
                    </a:schemeClr>
                  </a:solidFill>
                  <a:latin typeface="Cambria Math" panose="02040503050406030204" pitchFamily="18" charset="0"/>
                </a:rPr>
                <a:t>𝑇_𝑜𝑡ℎ𝑒𝑟 )</a:t>
              </a:r>
              <a:r>
                <a:rPr lang="en-US" sz="1100" b="0" i="0">
                  <a:latin typeface="Cambria Math" panose="02040503050406030204" pitchFamily="18" charset="0"/>
                </a:rPr>
                <a:t>+𝐷_𝑐𝑝𝑢2𝑎𝑐𝑐𝑒𝑙</a:t>
              </a:r>
              <a:r>
                <a:rPr lang="en-US" sz="1100" b="0" i="0">
                  <a:solidFill>
                    <a:schemeClr val="bg2">
                      <a:lumMod val="75000"/>
                    </a:schemeClr>
                  </a:solidFill>
                  <a:latin typeface="Cambria Math" panose="02040503050406030204" pitchFamily="18" charset="0"/>
                </a:rPr>
                <a:t>+𝐷_𝑐𝑝𝑢2𝑜𝑡ℎ𝑒𝑟+ 𝐷_𝑎𝑐𝑐𝑒𝑙2𝑜𝑡ℎ𝑒𝑟</a:t>
              </a:r>
              <a:br>
                <a:rPr lang="en-US" sz="1100" b="0" i="1">
                  <a:solidFill>
                    <a:schemeClr val="bg2">
                      <a:lumMod val="75000"/>
                    </a:schemeClr>
                  </a:solidFill>
                  <a:latin typeface="Cambria Math" panose="02040503050406030204" pitchFamily="18" charset="0"/>
                </a:rPr>
              </a:br>
              <a:endParaRPr lang="en-GB" sz="1100"/>
            </a:p>
          </xdr:txBody>
        </xdr:sp>
      </mc:Fallback>
    </mc:AlternateContent>
    <xdr:clientData/>
  </xdr:oneCellAnchor>
  <xdr:oneCellAnchor>
    <xdr:from>
      <xdr:col>1</xdr:col>
      <xdr:colOff>0</xdr:colOff>
      <xdr:row>253</xdr:row>
      <xdr:rowOff>0</xdr:rowOff>
    </xdr:from>
    <xdr:ext cx="4515216" cy="469872"/>
    <mc:AlternateContent xmlns:mc="http://schemas.openxmlformats.org/markup-compatibility/2006" xmlns:a14="http://schemas.microsoft.com/office/drawing/2010/main">
      <mc:Choice Requires="a14">
        <xdr:sp macro="" textlink="">
          <xdr:nvSpPr>
            <xdr:cNvPr id="5" name="TextBox 483">
              <a:extLst>
                <a:ext uri="{FF2B5EF4-FFF2-40B4-BE49-F238E27FC236}">
                  <a16:creationId xmlns:a16="http://schemas.microsoft.com/office/drawing/2014/main" id="{0A281B25-EB86-40A0-80E4-532771FCE97B}"/>
                </a:ext>
              </a:extLst>
            </xdr:cNvPr>
            <xdr:cNvSpPr txBox="1"/>
          </xdr:nvSpPr>
          <xdr:spPr>
            <a:xfrm>
              <a:off x="3255065" y="100807630"/>
              <a:ext cx="4515216" cy="46987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𝐷</m:t>
                      </m:r>
                    </m:e>
                    <m:sub>
                      <m:r>
                        <a:rPr lang="en-US" sz="1100" b="0" i="1">
                          <a:latin typeface="Cambria Math" panose="02040503050406030204" pitchFamily="18" charset="0"/>
                        </a:rPr>
                        <m:t>𝑐𝑝𝑢</m:t>
                      </m:r>
                      <m:r>
                        <a:rPr lang="en-US" sz="1100" b="0" i="1">
                          <a:latin typeface="Cambria Math" panose="02040503050406030204" pitchFamily="18" charset="0"/>
                        </a:rPr>
                        <m:t>2</m:t>
                      </m:r>
                      <m:r>
                        <a:rPr lang="en-US" sz="1100" b="0" i="1">
                          <a:latin typeface="Cambria Math" panose="02040503050406030204" pitchFamily="18" charset="0"/>
                        </a:rPr>
                        <m:t>𝑎𝑐𝑐𝑒𝑙</m:t>
                      </m:r>
                    </m:sub>
                  </m:sSub>
                  <m:r>
                    <a:rPr lang="en-US" sz="1100" b="0" i="1">
                      <a:latin typeface="Cambria Math" panose="02040503050406030204" pitchFamily="18" charset="0"/>
                    </a:rPr>
                    <m:t>= </m:t>
                  </m:r>
                  <m:nary>
                    <m:naryPr>
                      <m:chr m:val="∑"/>
                      <m:supHide m:val="on"/>
                      <m:ctrlPr>
                        <a:rPr lang="en-US" sz="1100" b="0" i="1">
                          <a:latin typeface="Cambria Math" panose="02040503050406030204" pitchFamily="18" charset="0"/>
                        </a:rPr>
                      </m:ctrlPr>
                    </m:naryPr>
                    <m:sub>
                      <m:r>
                        <m:rPr>
                          <m:brk m:alnAt="7"/>
                        </m:rPr>
                        <a:rPr lang="en-US" sz="1100" b="0" i="1">
                          <a:latin typeface="Cambria Math" panose="02040503050406030204" pitchFamily="18" charset="0"/>
                        </a:rPr>
                        <m:t>𝐿</m:t>
                      </m:r>
                    </m:sub>
                    <m:sup/>
                    <m:e>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𝑐𝑝𝑢</m:t>
                          </m:r>
                          <m:r>
                            <a:rPr lang="en-US" sz="1100" b="0" i="1">
                              <a:latin typeface="Cambria Math" panose="02040503050406030204" pitchFamily="18" charset="0"/>
                            </a:rPr>
                            <m:t>2</m:t>
                          </m:r>
                          <m:r>
                            <a:rPr lang="en-US" sz="1100" b="0" i="1">
                              <a:latin typeface="Cambria Math" panose="02040503050406030204" pitchFamily="18" charset="0"/>
                            </a:rPr>
                            <m:t>𝑎𝑐𝑐𝑒𝑙</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𝑀𝑅</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𝑤𝑒𝑖𝑔h𝑡𝑠</m:t>
                              </m:r>
                            </m:sub>
                          </m:sSub>
                          <m:r>
                            <a:rPr lang="en-US" sz="1100" b="0" i="1">
                              <a:latin typeface="Cambria Math" panose="02040503050406030204" pitchFamily="18" charset="0"/>
                            </a:rPr>
                            <m:t>(</m:t>
                          </m:r>
                          <m:r>
                            <a:rPr lang="en-US" sz="1100" b="0" i="1">
                              <a:latin typeface="Cambria Math" panose="02040503050406030204" pitchFamily="18" charset="0"/>
                            </a:rPr>
                            <m:t>𝑙</m:t>
                          </m:r>
                          <m:r>
                            <a:rPr lang="en-US" sz="1100" b="0" i="1">
                              <a:latin typeface="Cambria Math" panose="02040503050406030204" pitchFamily="18" charset="0"/>
                            </a:rPr>
                            <m:t>)</m:t>
                          </m:r>
                        </m:num>
                        <m:den>
                          <m:r>
                            <a:rPr lang="en-US" sz="1100" b="0" i="1">
                              <a:latin typeface="Cambria Math" panose="02040503050406030204" pitchFamily="18" charset="0"/>
                            </a:rPr>
                            <m:t>𝐵</m:t>
                          </m:r>
                          <m:sSub>
                            <m:sSubPr>
                              <m:ctrlPr>
                                <a:rPr lang="en-US" sz="1100" b="0" i="1">
                                  <a:latin typeface="Cambria Math" panose="02040503050406030204" pitchFamily="18" charset="0"/>
                                </a:rPr>
                              </m:ctrlPr>
                            </m:sSubPr>
                            <m:e>
                              <m:r>
                                <a:rPr lang="en-US" sz="1100" b="0" i="1">
                                  <a:latin typeface="Cambria Math" panose="02040503050406030204" pitchFamily="18" charset="0"/>
                                </a:rPr>
                                <m:t>𝑊</m:t>
                              </m:r>
                            </m:e>
                            <m:sub>
                              <m:r>
                                <a:rPr lang="en-US" sz="1100" b="0" i="1">
                                  <a:latin typeface="Cambria Math" panose="02040503050406030204" pitchFamily="18" charset="0"/>
                                </a:rPr>
                                <m:t>𝑐𝑝𝑢</m:t>
                              </m:r>
                              <m:r>
                                <a:rPr lang="en-US" sz="1100" b="0" i="1">
                                  <a:latin typeface="Cambria Math" panose="02040503050406030204" pitchFamily="18" charset="0"/>
                                </a:rPr>
                                <m:t>2</m:t>
                              </m:r>
                              <m:r>
                                <a:rPr lang="en-US" sz="1100" b="0" i="1">
                                  <a:latin typeface="Cambria Math" panose="02040503050406030204" pitchFamily="18" charset="0"/>
                                </a:rPr>
                                <m:t>𝑎𝑐𝑐𝑒𝑙</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𝑃𝑆</m:t>
                              </m:r>
                            </m:sub>
                          </m:sSub>
                        </m:den>
                      </m:f>
                      <m:r>
                        <a:rPr lang="en-US" sz="1100" b="0" i="1">
                          <a:latin typeface="Cambria Math" panose="02040503050406030204" pitchFamily="18" charset="0"/>
                        </a:rPr>
                        <m:t>)</m:t>
                      </m:r>
                    </m:e>
                  </m:nary>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𝑠𝑎𝑚𝑝𝑙𝑒𝑠</m:t>
                          </m:r>
                        </m:sub>
                      </m:sSub>
                    </m:num>
                    <m:den>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𝑚𝑖𝑛𝑖𝑏𝑎𝑡𝑐h</m:t>
                          </m:r>
                        </m:sub>
                      </m:sSub>
                    </m:den>
                  </m:f>
                </m:oMath>
              </a14:m>
              <a:r>
                <a:rPr lang="en-US" sz="1100" b="0" i="1">
                  <a:latin typeface="Cambria Math" panose="02040503050406030204" pitchFamily="18" charset="0"/>
                </a:rPr>
                <a:t> </a:t>
              </a:r>
            </a:p>
            <a:p>
              <a:pPr/>
              <a14:m>
                <m:oMathPara xmlns:m="http://schemas.openxmlformats.org/officeDocument/2006/math">
                  <m:oMathParaPr>
                    <m:jc m:val="left"/>
                  </m:oMathParaPr>
                  <m:oMath xmlns:m="http://schemas.openxmlformats.org/officeDocument/2006/math">
                    <m:r>
                      <a:rPr lang="en-US" sz="1100" b="0" i="1">
                        <a:solidFill>
                          <a:schemeClr val="bg1">
                            <a:lumMod val="75000"/>
                          </a:schemeClr>
                        </a:solidFill>
                        <a:latin typeface="Cambria Math" panose="02040503050406030204" pitchFamily="18" charset="0"/>
                      </a:rPr>
                      <m:t>𝑓</m:t>
                    </m:r>
                    <m:r>
                      <a:rPr lang="en-US" sz="1100" b="0" i="1">
                        <a:solidFill>
                          <a:schemeClr val="bg1">
                            <a:lumMod val="75000"/>
                          </a:schemeClr>
                        </a:solidFill>
                        <a:latin typeface="Cambria Math" panose="02040503050406030204" pitchFamily="18" charset="0"/>
                      </a:rPr>
                      <m:t>(</m:t>
                    </m:r>
                    <m:r>
                      <a:rPr lang="en-US" sz="1100" b="0" i="1">
                        <a:solidFill>
                          <a:schemeClr val="bg1">
                            <a:lumMod val="75000"/>
                          </a:schemeClr>
                        </a:solidFill>
                        <a:latin typeface="Cambria Math" panose="02040503050406030204" pitchFamily="18" charset="0"/>
                      </a:rPr>
                      <m:t>𝐵𝑊</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𝑙𝑎𝑡</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𝑘𝑒𝑟𝑛𝑒𝑙</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𝑙𝑎𝑢𝑛𝑐h</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𝑠𝑖𝑧𝑒</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𝑎𝑛𝑑</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𝑘𝑒𝑟𝑛𝑒𝑙</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𝑑𝑒𝑝𝑒𝑛𝑑𝑒𝑛𝑐𝑖𝑒𝑠</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𝑝𝑖𝑝𝑒𝑙𝑖𝑛𝑖𝑛𝑔</m:t>
                    </m:r>
                    <m:r>
                      <a:rPr lang="en-US" sz="1100" b="0" i="1">
                        <a:solidFill>
                          <a:schemeClr val="bg1">
                            <a:lumMod val="75000"/>
                          </a:schemeClr>
                        </a:solidFill>
                        <a:latin typeface="Cambria Math" panose="02040503050406030204" pitchFamily="18" charset="0"/>
                      </a:rPr>
                      <m:t>) </m:t>
                    </m:r>
                  </m:oMath>
                </m:oMathPara>
              </a14:m>
              <a:endParaRPr lang="en-GB" sz="1100">
                <a:solidFill>
                  <a:schemeClr val="bg1">
                    <a:lumMod val="75000"/>
                  </a:schemeClr>
                </a:solidFill>
              </a:endParaRPr>
            </a:p>
          </xdr:txBody>
        </xdr:sp>
      </mc:Choice>
      <mc:Fallback xmlns="">
        <xdr:sp macro="" textlink="">
          <xdr:nvSpPr>
            <xdr:cNvPr id="5" name="TextBox 483">
              <a:extLst>
                <a:ext uri="{FF2B5EF4-FFF2-40B4-BE49-F238E27FC236}">
                  <a16:creationId xmlns:a16="http://schemas.microsoft.com/office/drawing/2014/main" id="{0A281B25-EB86-40A0-80E4-532771FCE97B}"/>
                </a:ext>
              </a:extLst>
            </xdr:cNvPr>
            <xdr:cNvSpPr txBox="1"/>
          </xdr:nvSpPr>
          <xdr:spPr>
            <a:xfrm>
              <a:off x="3257550" y="41195625"/>
              <a:ext cx="4515216" cy="46987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a:latin typeface="Cambria Math" panose="02040503050406030204" pitchFamily="18" charset="0"/>
                </a:rPr>
                <a:t>𝐷_𝑐𝑝𝑢2𝑎𝑐𝑐𝑒𝑙= ∑_𝐿▒〖(𝐶_𝑐𝑝𝑢2𝑎𝑐𝑐𝑒𝑙+𝑁_𝑀𝑅∗(𝑆_𝑤𝑒𝑖𝑔ℎ𝑡𝑠 (𝑙))/(𝐵𝑊_𝑐𝑝𝑢2𝑎𝑐𝑐𝑒𝑙∗𝑁_𝑃𝑆 ))〗∗𝑁_𝑠𝑎𝑚𝑝𝑙𝑒𝑠/𝑆_𝑚𝑖𝑛𝑖𝑏𝑎𝑡𝑐ℎ </a:t>
              </a:r>
              <a:r>
                <a:rPr lang="en-US" sz="1100" b="0" i="1">
                  <a:latin typeface="Cambria Math" panose="02040503050406030204" pitchFamily="18" charset="0"/>
                </a:rPr>
                <a:t> </a:t>
              </a:r>
            </a:p>
            <a:p>
              <a:pPr/>
              <a:r>
                <a:rPr lang="en-US" sz="1100" b="0" i="0">
                  <a:solidFill>
                    <a:schemeClr val="bg1">
                      <a:lumMod val="75000"/>
                    </a:schemeClr>
                  </a:solidFill>
                  <a:latin typeface="Cambria Math" panose="02040503050406030204" pitchFamily="18" charset="0"/>
                </a:rPr>
                <a:t>𝑓(𝐵𝑊, 𝑙𝑎𝑡, 𝑘𝑒𝑟𝑛𝑒𝑙 𝑙𝑎𝑢𝑛𝑐ℎ 𝑠𝑖𝑧𝑒 𝑎𝑛𝑑 𝑘𝑒𝑟𝑛𝑒𝑙 𝑑𝑒𝑝𝑒𝑛𝑑𝑒𝑛𝑐𝑖𝑒𝑠, 𝑝𝑖𝑝𝑒𝑙𝑖𝑛𝑖𝑛𝑔) </a:t>
              </a:r>
              <a:endParaRPr lang="en-GB" sz="1100">
                <a:solidFill>
                  <a:schemeClr val="bg1">
                    <a:lumMod val="75000"/>
                  </a:schemeClr>
                </a:solidFill>
              </a:endParaRPr>
            </a:p>
          </xdr:txBody>
        </xdr:sp>
      </mc:Fallback>
    </mc:AlternateContent>
    <xdr:clientData/>
  </xdr:oneCellAnchor>
  <xdr:oneCellAnchor>
    <xdr:from>
      <xdr:col>1</xdr:col>
      <xdr:colOff>130175</xdr:colOff>
      <xdr:row>137</xdr:row>
      <xdr:rowOff>33565</xdr:rowOff>
    </xdr:from>
    <xdr:ext cx="9543143" cy="802720"/>
    <mc:AlternateContent xmlns:mc="http://schemas.openxmlformats.org/markup-compatibility/2006" xmlns:a14="http://schemas.microsoft.com/office/drawing/2010/main">
      <mc:Choice Requires="a14">
        <xdr:sp macro="" textlink="">
          <xdr:nvSpPr>
            <xdr:cNvPr id="243" name="TextBox 93">
              <a:extLst>
                <a:ext uri="{FF2B5EF4-FFF2-40B4-BE49-F238E27FC236}">
                  <a16:creationId xmlns:a16="http://schemas.microsoft.com/office/drawing/2014/main" id="{D7CA2BC8-453C-4EFC-8D6B-82C99969AAEC}"/>
                </a:ext>
              </a:extLst>
            </xdr:cNvPr>
            <xdr:cNvSpPr txBox="1"/>
          </xdr:nvSpPr>
          <xdr:spPr>
            <a:xfrm>
              <a:off x="3385240" y="57721935"/>
              <a:ext cx="9543143" cy="80272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GB" sz="1400">
                <a:solidFill>
                  <a:schemeClr val="tx1"/>
                </a:solidFill>
              </a:endParaRPr>
            </a:p>
            <a:p>
              <a14:m>
                <m:oMath xmlns:m="http://schemas.openxmlformats.org/officeDocument/2006/math">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𝑈</m:t>
                      </m:r>
                    </m:e>
                    <m:sub>
                      <m:r>
                        <a:rPr lang="en-US" sz="1400" b="0" i="1">
                          <a:solidFill>
                            <a:schemeClr val="tx1"/>
                          </a:solidFill>
                          <a:effectLst/>
                          <a:latin typeface="Cambria Math" panose="02040503050406030204" pitchFamily="18" charset="0"/>
                          <a:ea typeface="+mn-ea"/>
                          <a:cs typeface="+mn-cs"/>
                        </a:rPr>
                        <m:t>𝑏</m:t>
                      </m:r>
                    </m:sub>
                  </m:sSub>
                  <m:d>
                    <m:dPr>
                      <m:ctrlPr>
                        <a:rPr lang="en-US" sz="1400" b="0" i="1">
                          <a:solidFill>
                            <a:schemeClr val="tx1"/>
                          </a:solidFill>
                          <a:effectLst/>
                          <a:latin typeface="Cambria Math" panose="02040503050406030204" pitchFamily="18" charset="0"/>
                          <a:ea typeface="+mn-ea"/>
                          <a:cs typeface="+mn-cs"/>
                        </a:rPr>
                      </m:ctrlPr>
                    </m:dPr>
                    <m:e>
                      <m:r>
                        <a:rPr lang="en-US" sz="1400" b="0" i="1">
                          <a:solidFill>
                            <a:schemeClr val="tx1"/>
                          </a:solidFill>
                          <a:effectLst/>
                          <a:latin typeface="Cambria Math" panose="02040503050406030204" pitchFamily="18" charset="0"/>
                          <a:ea typeface="+mn-ea"/>
                          <a:cs typeface="+mn-cs"/>
                        </a:rPr>
                        <m:t>𝑙</m:t>
                      </m:r>
                    </m:e>
                  </m:d>
                  <m:r>
                    <a:rPr lang="en-US" sz="1400" b="0" i="1">
                      <a:solidFill>
                        <a:schemeClr val="tx1"/>
                      </a:solidFill>
                      <a:effectLst/>
                      <a:latin typeface="Cambria Math" panose="02040503050406030204" pitchFamily="18" charset="0"/>
                      <a:ea typeface="+mn-ea"/>
                      <a:cs typeface="+mn-cs"/>
                    </a:rPr>
                    <m:t>=</m:t>
                  </m:r>
                  <m:nary>
                    <m:naryPr>
                      <m:chr m:val="∑"/>
                      <m:supHide m:val="on"/>
                      <m:ctrlPr>
                        <a:rPr lang="en-US" sz="1400" b="0" i="1">
                          <a:solidFill>
                            <a:schemeClr val="tx1"/>
                          </a:solidFill>
                          <a:effectLst/>
                          <a:latin typeface="Cambria Math" panose="02040503050406030204" pitchFamily="18" charset="0"/>
                          <a:ea typeface="+mn-ea"/>
                          <a:cs typeface="+mn-cs"/>
                        </a:rPr>
                      </m:ctrlPr>
                    </m:naryPr>
                    <m:sub>
                      <m:r>
                        <m:rPr>
                          <m:brk m:alnAt="7"/>
                        </m:rPr>
                        <a:rPr lang="en-US" sz="1400" b="0" i="1">
                          <a:solidFill>
                            <a:schemeClr val="tx1"/>
                          </a:solidFill>
                          <a:effectLst/>
                          <a:latin typeface="Cambria Math" panose="02040503050406030204" pitchFamily="18" charset="0"/>
                          <a:ea typeface="+mn-ea"/>
                          <a:cs typeface="+mn-cs"/>
                        </a:rPr>
                        <m:t>𝑖</m:t>
                      </m:r>
                    </m:sub>
                    <m:sup/>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𝑀𝐴𝐶</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e>
                      </m:d>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𝑀𝐴𝐶</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𝑐𝑒𝑖𝑙</m:t>
                      </m:r>
                      <m:d>
                        <m:dPr>
                          <m:begChr m:val="["/>
                          <m:endChr m:val="]"/>
                          <m:ctrlPr>
                            <a:rPr lang="en-US" sz="1100" b="0" i="1">
                              <a:solidFill>
                                <a:schemeClr val="tx1"/>
                              </a:solidFill>
                              <a:effectLst/>
                              <a:latin typeface="Cambria Math" panose="02040503050406030204" pitchFamily="18" charset="0"/>
                              <a:ea typeface="+mn-ea"/>
                              <a:cs typeface="+mn-cs"/>
                            </a:rPr>
                          </m:ctrlPr>
                        </m:dPr>
                        <m:e>
                          <m:f>
                            <m:fPr>
                              <m:ctrlPr>
                                <a:rPr lang="en-US" sz="1100" b="0" i="1">
                                  <a:solidFill>
                                    <a:schemeClr val="tx1"/>
                                  </a:solidFill>
                                  <a:effectLst/>
                                  <a:latin typeface="Cambria Math" panose="02040503050406030204" pitchFamily="18" charset="0"/>
                                  <a:ea typeface="+mn-ea"/>
                                  <a:cs typeface="+mn-cs"/>
                                </a:rPr>
                              </m:ctrlPr>
                            </m:fPr>
                            <m:num>
                              <m:sSub>
                                <m:sSubPr>
                                  <m:ctrlPr>
                                    <a:rPr lang="en-US" sz="1100" b="0" i="1">
                                      <a:solidFill>
                                        <a:schemeClr val="tx1"/>
                                      </a:solidFill>
                                      <a:effectLst/>
                                      <a:latin typeface="Cambria Math" panose="02040503050406030204" pitchFamily="18" charset="0"/>
                                      <a:ea typeface="+mn-ea"/>
                                      <a:cs typeface="+mn-cs"/>
                                    </a:rPr>
                                  </m:ctrlPr>
                                </m:sSubPr>
                                <m:e>
                                  <m:r>
                                    <m:rPr>
                                      <m:sty m:val="p"/>
                                    </m:rPr>
                                    <a:rPr lang="en-US" sz="1100" b="0" i="0">
                                      <a:solidFill>
                                        <a:schemeClr val="tx1"/>
                                      </a:solidFill>
                                      <a:effectLst/>
                                      <a:latin typeface="Cambria Math" panose="02040503050406030204" pitchFamily="18" charset="0"/>
                                      <a:ea typeface="+mn-ea"/>
                                      <a:cs typeface="+mn-cs"/>
                                    </a:rPr>
                                    <m:t>max</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𝑝𝑎𝑟𝑎𝑚</m:t>
                                  </m:r>
                                </m:sub>
                              </m:sSub>
                              <m:r>
                                <a:rPr lang="en-US" sz="1100" b="0" i="1">
                                  <a:solidFill>
                                    <a:schemeClr val="tx1"/>
                                  </a:solidFill>
                                  <a:effectLst/>
                                  <a:latin typeface="Cambria Math" panose="02040503050406030204" pitchFamily="18" charset="0"/>
                                  <a:ea typeface="+mn-ea"/>
                                  <a:cs typeface="+mn-cs"/>
                                </a:rPr>
                                <m:t> </m:t>
                              </m:r>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e>
                              </m:d>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𝑒𝑟𝑟𝑜𝑟</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num>
                            <m:den>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𝑊</m:t>
                                  </m:r>
                                </m:e>
                                <m:sub>
                                  <m:r>
                                    <a:rPr lang="en-US" sz="1100" b="0" i="1">
                                      <a:solidFill>
                                        <a:schemeClr val="tx1"/>
                                      </a:solidFill>
                                      <a:effectLst/>
                                      <a:latin typeface="Cambria Math" panose="02040503050406030204" pitchFamily="18" charset="0"/>
                                      <a:ea typeface="+mn-ea"/>
                                      <a:cs typeface="+mn-cs"/>
                                    </a:rPr>
                                    <m:t>𝐹</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𝑀𝐴𝐶</m:t>
                                      </m:r>
                                    </m:sub>
                                  </m:sSub>
                                </m:sub>
                              </m:sSub>
                            </m:den>
                          </m:f>
                        </m:e>
                      </m:d>
                      <m:r>
                        <a:rPr lang="en-US" sz="1100" b="0" i="1">
                          <a:solidFill>
                            <a:schemeClr val="tx1"/>
                          </a:solidFill>
                          <a:effectLst/>
                          <a:latin typeface="Cambria Math" panose="02040503050406030204" pitchFamily="18" charset="0"/>
                          <a:ea typeface="+mn-ea"/>
                          <a:cs typeface="+mn-cs"/>
                        </a:rPr>
                        <m:t> +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𝑛𝑜𝑛𝑙𝑖𝑛</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𝑛𝑜𝑛𝑙𝑖𝑛</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𝑐𝑒𝑖𝑙</m:t>
                      </m:r>
                      <m:r>
                        <a:rPr lang="en-US" sz="1100" b="0" i="1">
                          <a:solidFill>
                            <a:schemeClr val="tx1"/>
                          </a:solidFill>
                          <a:effectLst/>
                          <a:latin typeface="Cambria Math" panose="02040503050406030204" pitchFamily="18" charset="0"/>
                          <a:ea typeface="+mn-ea"/>
                          <a:cs typeface="+mn-cs"/>
                        </a:rPr>
                        <m:t>[</m:t>
                      </m:r>
                      <m:f>
                        <m:fPr>
                          <m:ctrlPr>
                            <a:rPr lang="en-US" sz="1100" b="0" i="1">
                              <a:solidFill>
                                <a:schemeClr val="tx1"/>
                              </a:solidFill>
                              <a:effectLst/>
                              <a:latin typeface="Cambria Math" panose="02040503050406030204" pitchFamily="18" charset="0"/>
                              <a:ea typeface="+mn-ea"/>
                              <a:cs typeface="+mn-cs"/>
                            </a:rPr>
                          </m:ctrlPr>
                        </m:fPr>
                        <m:num>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𝑛𝑜𝑛𝑙𝑖𝑛</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e>
                          </m:d>
                        </m:num>
                        <m:den>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𝑊</m:t>
                              </m:r>
                            </m:e>
                            <m:sub>
                              <m:r>
                                <a:rPr lang="en-US" sz="1100" b="0" i="1">
                                  <a:solidFill>
                                    <a:schemeClr val="tx1"/>
                                  </a:solidFill>
                                  <a:effectLst/>
                                  <a:latin typeface="Cambria Math" panose="02040503050406030204" pitchFamily="18" charset="0"/>
                                  <a:ea typeface="+mn-ea"/>
                                  <a:cs typeface="+mn-cs"/>
                                </a:rPr>
                                <m:t>𝐹</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𝑛𝑜𝑛𝑙𝑖𝑛</m:t>
                                  </m:r>
                                </m:sub>
                              </m:sSub>
                            </m:sub>
                          </m:sSub>
                        </m:den>
                      </m:f>
                      <m:r>
                        <a:rPr lang="en-US" sz="1100" b="0" i="1">
                          <a:solidFill>
                            <a:schemeClr val="tx1"/>
                          </a:solidFill>
                          <a:effectLst/>
                          <a:latin typeface="Cambria Math" panose="02040503050406030204" pitchFamily="18" charset="0"/>
                          <a:ea typeface="+mn-ea"/>
                          <a:cs typeface="+mn-cs"/>
                        </a:rPr>
                        <m:t>]</m:t>
                      </m:r>
                      <m:r>
                        <a:rPr lang="en-US" sz="1100" b="0" i="0">
                          <a:solidFill>
                            <a:schemeClr val="tx1"/>
                          </a:solidFill>
                          <a:effectLst/>
                          <a:latin typeface="Cambria Math" panose="02040503050406030204" pitchFamily="18" charset="0"/>
                          <a:ea typeface="+mn-ea"/>
                          <a:cs typeface="+mn-cs"/>
                        </a:rPr>
                        <m:t> </m:t>
                      </m:r>
                    </m:e>
                  </m:nary>
                  <m:r>
                    <a:rPr lang="en-US" sz="1400" b="0" i="0">
                      <a:solidFill>
                        <a:schemeClr val="tx1"/>
                      </a:solidFill>
                      <a:effectLst/>
                      <a:latin typeface="Cambria Math" panose="02040503050406030204" pitchFamily="18" charset="0"/>
                      <a:ea typeface="+mn-ea"/>
                      <a:cs typeface="+mn-cs"/>
                    </a:rPr>
                    <m:t> </m:t>
                  </m:r>
                </m:oMath>
              </a14:m>
              <a:r>
                <a:rPr lang="en-GB" sz="1400" i="1">
                  <a:solidFill>
                    <a:schemeClr val="tx1"/>
                  </a:solidFill>
                  <a:effectLst/>
                  <a:latin typeface="+mn-lt"/>
                  <a:ea typeface="+mn-ea"/>
                  <a:cs typeface="+mn-cs"/>
                </a:rPr>
                <a:t>	</a:t>
              </a:r>
              <a:endParaRPr lang="en-GB" sz="1400">
                <a:solidFill>
                  <a:schemeClr val="tx1"/>
                </a:solidFill>
              </a:endParaRPr>
            </a:p>
            <a:p>
              <a:endParaRPr lang="en-GB" sz="1400">
                <a:solidFill>
                  <a:schemeClr val="tx1"/>
                </a:solidFill>
              </a:endParaRPr>
            </a:p>
          </xdr:txBody>
        </xdr:sp>
      </mc:Choice>
      <mc:Fallback xmlns="">
        <xdr:sp macro="" textlink="">
          <xdr:nvSpPr>
            <xdr:cNvPr id="243" name="TextBox 93">
              <a:extLst>
                <a:ext uri="{FF2B5EF4-FFF2-40B4-BE49-F238E27FC236}">
                  <a16:creationId xmlns:a16="http://schemas.microsoft.com/office/drawing/2014/main" id="{D7CA2BC8-453C-4EFC-8D6B-82C99969AAEC}"/>
                </a:ext>
              </a:extLst>
            </xdr:cNvPr>
            <xdr:cNvSpPr txBox="1"/>
          </xdr:nvSpPr>
          <xdr:spPr>
            <a:xfrm>
              <a:off x="3387725" y="57936040"/>
              <a:ext cx="9543143" cy="80272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GB" sz="1400">
                <a:solidFill>
                  <a:schemeClr val="tx1"/>
                </a:solidFill>
              </a:endParaRPr>
            </a:p>
            <a:p>
              <a:r>
                <a:rPr lang="en-US" sz="1400" b="0" i="0">
                  <a:solidFill>
                    <a:schemeClr val="tx1"/>
                  </a:solidFill>
                  <a:effectLst/>
                  <a:latin typeface="Cambria Math" panose="02040503050406030204" pitchFamily="18" charset="0"/>
                  <a:ea typeface="+mn-ea"/>
                  <a:cs typeface="+mn-cs"/>
                </a:rPr>
                <a:t>𝑈_𝑏 (𝑙)=∑_𝑖</a:t>
              </a:r>
              <a:r>
                <a:rPr lang="en-US" sz="1100" b="0" i="0">
                  <a:solidFill>
                    <a:schemeClr val="tx1"/>
                  </a:solidFill>
                  <a:effectLst/>
                  <a:latin typeface="Cambria Math" panose="02040503050406030204" pitchFamily="18" charset="0"/>
                  <a:ea typeface="+mn-ea"/>
                  <a:cs typeface="+mn-cs"/>
                </a:rPr>
                <a:t>▒</a:t>
              </a:r>
              <a:r>
                <a:rPr lang="en-US" sz="14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𝑁_𝑀𝐴𝐶 (𝑙,𝑖)∗𝐶_𝑀𝐴𝐶∗</a:t>
              </a:r>
              <a:r>
                <a:rPr lang="en-US" sz="1100" b="0" i="0">
                  <a:solidFill>
                    <a:schemeClr val="tx1"/>
                  </a:solidFill>
                  <a:effectLst/>
                  <a:latin typeface="+mn-lt"/>
                  <a:ea typeface="+mn-ea"/>
                  <a:cs typeface="+mn-cs"/>
                </a:rPr>
                <a:t>𝑐𝑒𝑖𝑙[(〖max(𝑆〗_𝑝𝑎𝑟𝑎𝑚  (𝑙,𝑖),   𝑆_</a:t>
              </a:r>
              <a:r>
                <a:rPr lang="en-US" sz="1100" b="0" i="0">
                  <a:solidFill>
                    <a:schemeClr val="tx1"/>
                  </a:solidFill>
                  <a:effectLst/>
                  <a:latin typeface="Cambria Math" panose="02040503050406030204" pitchFamily="18" charset="0"/>
                  <a:ea typeface="+mn-ea"/>
                  <a:cs typeface="+mn-cs"/>
                </a:rPr>
                <a:t>𝑒𝑟𝑟𝑜𝑟</a:t>
              </a:r>
              <a:r>
                <a:rPr lang="en-US" sz="1100" b="0" i="0">
                  <a:solidFill>
                    <a:schemeClr val="tx1"/>
                  </a:solidFill>
                  <a:effectLst/>
                  <a:latin typeface="+mn-lt"/>
                  <a:ea typeface="+mn-ea"/>
                  <a:cs typeface="+mn-cs"/>
                </a:rPr>
                <a:t> (𝑙,𝑖)))/𝑊_(𝐹𝑈_𝑀𝐴𝐶 ) ]</a:t>
              </a:r>
              <a:r>
                <a:rPr lang="en-US" sz="1100" b="0" i="0">
                  <a:solidFill>
                    <a:schemeClr val="tx1"/>
                  </a:solidFill>
                  <a:effectLst/>
                  <a:latin typeface="Cambria Math" panose="02040503050406030204" pitchFamily="18" charset="0"/>
                  <a:ea typeface="+mn-ea"/>
                  <a:cs typeface="+mn-cs"/>
                </a:rPr>
                <a:t>  + 𝑁_𝑛𝑜𝑛𝑙𝑖𝑛 (𝑙,𝑖)∗𝐶_𝑛𝑜𝑛𝑙𝑖𝑛</a:t>
              </a:r>
              <a:r>
                <a:rPr lang="en-US" sz="1100" b="0" i="0">
                  <a:solidFill>
                    <a:schemeClr val="tx1"/>
                  </a:solidFill>
                  <a:effectLst/>
                  <a:latin typeface="+mn-lt"/>
                  <a:ea typeface="+mn-ea"/>
                  <a:cs typeface="+mn-cs"/>
                </a:rPr>
                <a:t>∗𝑐𝑒𝑖𝑙[(𝑆_𝑛𝑜𝑛𝑙𝑖𝑛 (𝑙,𝑖))/𝑊_(𝐹𝑈_𝑛𝑜𝑛𝑙𝑖𝑛 ) ] </a:t>
              </a:r>
              <a:r>
                <a:rPr lang="en-US" sz="1400" b="0" i="0">
                  <a:solidFill>
                    <a:schemeClr val="tx1"/>
                  </a:solidFill>
                  <a:effectLst/>
                  <a:latin typeface="Cambria Math" panose="02040503050406030204" pitchFamily="18" charset="0"/>
                  <a:ea typeface="+mn-ea"/>
                  <a:cs typeface="+mn-cs"/>
                </a:rPr>
                <a:t>〗  </a:t>
              </a:r>
              <a:r>
                <a:rPr lang="en-GB" sz="1400" i="1">
                  <a:solidFill>
                    <a:schemeClr val="tx1"/>
                  </a:solidFill>
                  <a:effectLst/>
                  <a:latin typeface="+mn-lt"/>
                  <a:ea typeface="+mn-ea"/>
                  <a:cs typeface="+mn-cs"/>
                </a:rPr>
                <a:t>	</a:t>
              </a:r>
              <a:endParaRPr lang="en-GB" sz="1400">
                <a:solidFill>
                  <a:schemeClr val="tx1"/>
                </a:solidFill>
              </a:endParaRPr>
            </a:p>
            <a:p>
              <a:endParaRPr lang="en-GB" sz="1400">
                <a:solidFill>
                  <a:schemeClr val="tx1"/>
                </a:solidFill>
              </a:endParaRPr>
            </a:p>
          </xdr:txBody>
        </xdr:sp>
      </mc:Fallback>
    </mc:AlternateContent>
    <xdr:clientData/>
  </xdr:oneCellAnchor>
  <xdr:oneCellAnchor>
    <xdr:from>
      <xdr:col>1</xdr:col>
      <xdr:colOff>376360</xdr:colOff>
      <xdr:row>201</xdr:row>
      <xdr:rowOff>36286</xdr:rowOff>
    </xdr:from>
    <xdr:ext cx="2890716" cy="672797"/>
    <mc:AlternateContent xmlns:mc="http://schemas.openxmlformats.org/markup-compatibility/2006" xmlns:a14="http://schemas.microsoft.com/office/drawing/2010/main">
      <mc:Choice Requires="a14">
        <xdr:sp macro="" textlink="">
          <xdr:nvSpPr>
            <xdr:cNvPr id="78" name="TextBox 1">
              <a:extLst>
                <a:ext uri="{FF2B5EF4-FFF2-40B4-BE49-F238E27FC236}">
                  <a16:creationId xmlns:a16="http://schemas.microsoft.com/office/drawing/2014/main" id="{EA05FA7E-29B2-4E7E-9257-9C2061F31BEE}"/>
                </a:ext>
              </a:extLst>
            </xdr:cNvPr>
            <xdr:cNvSpPr txBox="1"/>
          </xdr:nvSpPr>
          <xdr:spPr>
            <a:xfrm>
              <a:off x="3633910" y="73312111"/>
              <a:ext cx="2890716" cy="672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panose="02040503050406030204" pitchFamily="18" charset="0"/>
                          </a:rPr>
                          <m:t>𝑈</m:t>
                        </m:r>
                      </m:e>
                      <m:sub>
                        <m:r>
                          <a:rPr lang="en-US" sz="1400" b="0" i="1">
                            <a:latin typeface="Cambria Math" panose="02040503050406030204" pitchFamily="18" charset="0"/>
                          </a:rPr>
                          <m:t>𝑤</m:t>
                        </m:r>
                        <m:r>
                          <a:rPr lang="en-US" sz="1400" b="0" i="1">
                            <a:latin typeface="Cambria Math" panose="02040503050406030204" pitchFamily="18" charset="0"/>
                          </a:rPr>
                          <m:t> (</m:t>
                        </m:r>
                        <m:r>
                          <a:rPr lang="en-US" sz="1400" b="0" i="1">
                            <a:latin typeface="Cambria Math" panose="02040503050406030204" pitchFamily="18" charset="0"/>
                          </a:rPr>
                          <m:t>𝑙</m:t>
                        </m:r>
                        <m:r>
                          <a:rPr lang="en-US" sz="1400" b="0" i="1">
                            <a:latin typeface="Cambria Math" panose="02040503050406030204" pitchFamily="18" charset="0"/>
                          </a:rPr>
                          <m:t>)  </m:t>
                        </m:r>
                      </m:sub>
                    </m:sSub>
                    <m:r>
                      <a:rPr lang="en-US" sz="1400" b="0" i="1">
                        <a:latin typeface="Cambria Math" panose="02040503050406030204" pitchFamily="18" charset="0"/>
                      </a:rPr>
                      <m:t>=</m:t>
                    </m:r>
                    <m:sSub>
                      <m:sSubPr>
                        <m:ctrlPr>
                          <a:rPr lang="en-US" sz="1400" b="0" i="1">
                            <a:latin typeface="Cambria Math" panose="02040503050406030204" pitchFamily="18" charset="0"/>
                          </a:rPr>
                        </m:ctrlPr>
                      </m:sSubPr>
                      <m:e>
                        <m:r>
                          <a:rPr lang="en-US" sz="1400" b="0" i="1">
                            <a:latin typeface="Cambria Math" panose="02040503050406030204" pitchFamily="18" charset="0"/>
                          </a:rPr>
                          <m:t>𝐶</m:t>
                        </m:r>
                      </m:e>
                      <m:sub>
                        <m:r>
                          <a:rPr lang="en-US" sz="1400" b="0" i="1">
                            <a:latin typeface="Cambria Math" panose="02040503050406030204" pitchFamily="18" charset="0"/>
                          </a:rPr>
                          <m:t>𝑀𝐴𝐶</m:t>
                        </m:r>
                      </m:sub>
                    </m:sSub>
                    <m:r>
                      <a:rPr lang="en-US" sz="1400" b="0" i="1">
                        <a:latin typeface="Cambria Math" panose="02040503050406030204" pitchFamily="18" charset="0"/>
                      </a:rPr>
                      <m:t>∗</m:t>
                    </m:r>
                    <m:sSub>
                      <m:sSubPr>
                        <m:ctrlPr>
                          <a:rPr lang="en-US" sz="1400" b="0" i="1">
                            <a:latin typeface="Cambria Math" panose="02040503050406030204" pitchFamily="18" charset="0"/>
                          </a:rPr>
                        </m:ctrlPr>
                      </m:sSubPr>
                      <m:e>
                        <m:r>
                          <a:rPr lang="en-US" sz="1400" b="0" i="1">
                            <a:latin typeface="Cambria Math" panose="02040503050406030204" pitchFamily="18" charset="0"/>
                          </a:rPr>
                          <m:t>𝑁</m:t>
                        </m:r>
                      </m:e>
                      <m:sub>
                        <m:r>
                          <a:rPr lang="en-US" sz="1400" b="0" i="1">
                            <a:latin typeface="Cambria Math" panose="02040503050406030204" pitchFamily="18" charset="0"/>
                          </a:rPr>
                          <m:t>𝑀𝐴𝐶</m:t>
                        </m:r>
                      </m:sub>
                    </m:sSub>
                    <m:d>
                      <m:dPr>
                        <m:ctrlPr>
                          <a:rPr lang="en-US" sz="1400" b="0" i="1">
                            <a:latin typeface="Cambria Math" panose="02040503050406030204" pitchFamily="18" charset="0"/>
                          </a:rPr>
                        </m:ctrlPr>
                      </m:dPr>
                      <m:e>
                        <m:r>
                          <a:rPr lang="en-US" sz="1400" b="0" i="1">
                            <a:latin typeface="Cambria Math" panose="02040503050406030204" pitchFamily="18" charset="0"/>
                          </a:rPr>
                          <m:t>𝑙</m:t>
                        </m:r>
                      </m:e>
                    </m:d>
                  </m:oMath>
                </m:oMathPara>
              </a14:m>
              <a:endParaRPr lang="nl-BE" sz="1400"/>
            </a:p>
          </xdr:txBody>
        </xdr:sp>
      </mc:Choice>
      <mc:Fallback xmlns="">
        <xdr:sp macro="" textlink="">
          <xdr:nvSpPr>
            <xdr:cNvPr id="78" name="TextBox 1">
              <a:extLst>
                <a:ext uri="{FF2B5EF4-FFF2-40B4-BE49-F238E27FC236}">
                  <a16:creationId xmlns:a16="http://schemas.microsoft.com/office/drawing/2014/main" id="{EA05FA7E-29B2-4E7E-9257-9C2061F31BEE}"/>
                </a:ext>
              </a:extLst>
            </xdr:cNvPr>
            <xdr:cNvSpPr txBox="1"/>
          </xdr:nvSpPr>
          <xdr:spPr>
            <a:xfrm>
              <a:off x="3633910" y="73312111"/>
              <a:ext cx="2890716" cy="672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400" b="0" i="0">
                  <a:latin typeface="Cambria Math" panose="02040503050406030204" pitchFamily="18" charset="0"/>
                </a:rPr>
                <a:t>𝑈_(𝑤 (𝑙)  )=𝐶_𝑀𝐴𝐶∗𝑁_𝑀𝐴𝐶 (𝑙)</a:t>
              </a:r>
              <a:endParaRPr lang="nl-BE" sz="1400"/>
            </a:p>
          </xdr:txBody>
        </xdr:sp>
      </mc:Fallback>
    </mc:AlternateContent>
    <xdr:clientData/>
  </xdr:oneCellAnchor>
  <xdr:oneCellAnchor>
    <xdr:from>
      <xdr:col>1</xdr:col>
      <xdr:colOff>18143</xdr:colOff>
      <xdr:row>79</xdr:row>
      <xdr:rowOff>33563</xdr:rowOff>
    </xdr:from>
    <xdr:ext cx="7363731" cy="1052287"/>
    <mc:AlternateContent xmlns:mc="http://schemas.openxmlformats.org/markup-compatibility/2006" xmlns:a14="http://schemas.microsoft.com/office/drawing/2010/main">
      <mc:Choice Requires="a14">
        <xdr:sp macro="" textlink="">
          <xdr:nvSpPr>
            <xdr:cNvPr id="184" name="TextBox 90">
              <a:extLst>
                <a:ext uri="{FF2B5EF4-FFF2-40B4-BE49-F238E27FC236}">
                  <a16:creationId xmlns:a16="http://schemas.microsoft.com/office/drawing/2014/main" id="{FBBEFCEE-0878-4026-BB66-240BED73A69D}"/>
                </a:ext>
              </a:extLst>
            </xdr:cNvPr>
            <xdr:cNvSpPr txBox="1"/>
          </xdr:nvSpPr>
          <xdr:spPr>
            <a:xfrm>
              <a:off x="3273208" y="34994454"/>
              <a:ext cx="7363731" cy="105228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400" b="0" i="1">
                        <a:solidFill>
                          <a:schemeClr val="tx1"/>
                        </a:solidFill>
                        <a:latin typeface="Cambria Math" panose="02040503050406030204" pitchFamily="18" charset="0"/>
                      </a:rPr>
                      <m:t>𝑀</m:t>
                    </m:r>
                    <m:r>
                      <a:rPr lang="en-US" sz="1400" b="0" i="1" baseline="-25000">
                        <a:solidFill>
                          <a:schemeClr val="tx1"/>
                        </a:solidFill>
                        <a:latin typeface="Cambria Math" panose="02040503050406030204" pitchFamily="18" charset="0"/>
                      </a:rPr>
                      <m:t>𝑓</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e>
                    </m:d>
                    <m:r>
                      <a:rPr lang="en-US" sz="1400" b="0" i="1" baseline="0">
                        <a:solidFill>
                          <a:schemeClr val="tx1"/>
                        </a:solidFill>
                        <a:latin typeface="Cambria Math" panose="02040503050406030204" pitchFamily="18" charset="0"/>
                      </a:rPr>
                      <m:t>= </m:t>
                    </m:r>
                    <m:r>
                      <a:rPr lang="en-GB" sz="1400" i="1">
                        <a:solidFill>
                          <a:schemeClr val="tx1"/>
                        </a:solidFill>
                        <a:latin typeface="Cambria Math" panose="02040503050406030204" pitchFamily="18" charset="0"/>
                      </a:rPr>
                      <m:t> </m:t>
                    </m:r>
                    <m:d>
                      <m:dPr>
                        <m:begChr m:val="{"/>
                        <m:endChr m:val="}"/>
                        <m:ctrlPr>
                          <a:rPr lang="en-US" sz="1400" b="0" i="1">
                            <a:solidFill>
                              <a:schemeClr val="tx1"/>
                            </a:solidFill>
                            <a:effectLst/>
                            <a:latin typeface="Cambria Math" panose="02040503050406030204" pitchFamily="18" charset="0"/>
                            <a:ea typeface="+mn-ea"/>
                            <a:cs typeface="+mn-cs"/>
                          </a:rPr>
                        </m:ctrlPr>
                      </m:dPr>
                      <m:e>
                        <m:d>
                          <m:dPr>
                            <m:begChr m:val="["/>
                            <m:endChr m:val="]"/>
                            <m:ctrlPr>
                              <a:rPr lang="en-US" sz="1400" b="0" i="1">
                                <a:solidFill>
                                  <a:schemeClr val="tx1"/>
                                </a:solidFill>
                                <a:effectLst/>
                                <a:latin typeface="Cambria Math" panose="02040503050406030204" pitchFamily="18" charset="0"/>
                                <a:ea typeface="+mn-ea"/>
                                <a:cs typeface="+mn-cs"/>
                              </a:rPr>
                            </m:ctrlPr>
                          </m:dPr>
                          <m:e>
                            <m:r>
                              <a:rPr lang="en-US" sz="1400" b="0" i="1">
                                <a:solidFill>
                                  <a:schemeClr val="tx1"/>
                                </a:solidFill>
                                <a:effectLst/>
                                <a:latin typeface="Cambria Math" panose="02040503050406030204" pitchFamily="18" charset="0"/>
                                <a:ea typeface="+mn-ea"/>
                                <a:cs typeface="+mn-cs"/>
                              </a:rPr>
                              <m:t>𝑀</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𝑓</m:t>
                                </m:r>
                              </m:e>
                              <m:sub>
                                <m:r>
                                  <a:rPr lang="en-US" sz="1400" b="0" i="1" baseline="-25000">
                                    <a:solidFill>
                                      <a:schemeClr val="tx1"/>
                                    </a:solidFill>
                                    <a:effectLst/>
                                    <a:latin typeface="Cambria Math" panose="02040503050406030204" pitchFamily="18" charset="0"/>
                                    <a:ea typeface="+mn-ea"/>
                                    <a:cs typeface="+mn-cs"/>
                                  </a:rPr>
                                  <m:t>𝑇</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𝑃</m:t>
                                    </m:r>
                                  </m:e>
                                  <m:sub>
                                    <m:r>
                                      <a:rPr lang="en-US" sz="1400" b="0" i="1" baseline="-25000">
                                        <a:solidFill>
                                          <a:schemeClr val="tx1"/>
                                        </a:solidFill>
                                        <a:effectLst/>
                                        <a:latin typeface="Cambria Math" panose="02040503050406030204" pitchFamily="18" charset="0"/>
                                        <a:ea typeface="+mn-ea"/>
                                        <a:cs typeface="+mn-cs"/>
                                      </a:rPr>
                                      <m:t>𝑖𝑛𝑡𝑟𝑎</m:t>
                                    </m:r>
                                    <m:d>
                                      <m:dPr>
                                        <m:ctrlPr>
                                          <a:rPr lang="en-US" sz="1400" b="0" i="1" baseline="0">
                                            <a:solidFill>
                                              <a:schemeClr val="tx1"/>
                                            </a:solidFill>
                                            <a:effectLst/>
                                            <a:latin typeface="Cambria Math" panose="02040503050406030204" pitchFamily="18" charset="0"/>
                                            <a:ea typeface="+mn-ea"/>
                                            <a:cs typeface="+mn-cs"/>
                                          </a:rPr>
                                        </m:ctrlPr>
                                      </m:dPr>
                                      <m:e>
                                        <m:r>
                                          <a:rPr lang="en-US" sz="1400" b="0" i="1" baseline="0">
                                            <a:solidFill>
                                              <a:schemeClr val="tx1"/>
                                            </a:solidFill>
                                            <a:effectLst/>
                                            <a:latin typeface="Cambria Math" panose="02040503050406030204" pitchFamily="18" charset="0"/>
                                            <a:ea typeface="+mn-ea"/>
                                            <a:cs typeface="+mn-cs"/>
                                          </a:rPr>
                                          <m:t>𝑙</m:t>
                                        </m:r>
                                      </m:e>
                                    </m:d>
                                  </m:sub>
                                </m:sSub>
                              </m:sub>
                            </m:sSub>
                            <m:r>
                              <a:rPr lang="en-US" sz="1400" b="0" i="1" baseline="0">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𝑀</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𝑓</m:t>
                                </m:r>
                              </m:e>
                              <m:sub>
                                <m:r>
                                  <a:rPr lang="en-US" sz="1400" b="0" i="1" baseline="-25000">
                                    <a:solidFill>
                                      <a:schemeClr val="tx1"/>
                                    </a:solidFill>
                                    <a:effectLst/>
                                    <a:latin typeface="Cambria Math" panose="02040503050406030204" pitchFamily="18" charset="0"/>
                                    <a:ea typeface="+mn-ea"/>
                                    <a:cs typeface="+mn-cs"/>
                                  </a:rPr>
                                  <m:t>𝑇</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𝑃</m:t>
                                    </m:r>
                                  </m:e>
                                  <m:sub>
                                    <m:r>
                                      <a:rPr lang="en-US" sz="1400" b="0" i="1" baseline="-25000">
                                        <a:solidFill>
                                          <a:schemeClr val="tx1"/>
                                        </a:solidFill>
                                        <a:effectLst/>
                                        <a:latin typeface="Cambria Math" panose="02040503050406030204" pitchFamily="18" charset="0"/>
                                        <a:ea typeface="+mn-ea"/>
                                        <a:cs typeface="+mn-cs"/>
                                      </a:rPr>
                                      <m:t>𝑖𝑛𝑡𝑒𝑟</m:t>
                                    </m:r>
                                    <m:d>
                                      <m:dPr>
                                        <m:ctrlPr>
                                          <a:rPr lang="en-US" sz="1400" b="0" i="1" baseline="0">
                                            <a:solidFill>
                                              <a:schemeClr val="tx1"/>
                                            </a:solidFill>
                                            <a:effectLst/>
                                            <a:latin typeface="Cambria Math" panose="02040503050406030204" pitchFamily="18" charset="0"/>
                                            <a:ea typeface="+mn-ea"/>
                                            <a:cs typeface="+mn-cs"/>
                                          </a:rPr>
                                        </m:ctrlPr>
                                      </m:dPr>
                                      <m:e>
                                        <m:r>
                                          <a:rPr lang="en-US" sz="1400" b="0" i="1" baseline="0">
                                            <a:solidFill>
                                              <a:schemeClr val="tx1"/>
                                            </a:solidFill>
                                            <a:effectLst/>
                                            <a:latin typeface="Cambria Math" panose="02040503050406030204" pitchFamily="18" charset="0"/>
                                            <a:ea typeface="+mn-ea"/>
                                            <a:cs typeface="+mn-cs"/>
                                          </a:rPr>
                                          <m:t>𝑙</m:t>
                                        </m:r>
                                      </m:e>
                                    </m:d>
                                  </m:sub>
                                </m:sSub>
                              </m:sub>
                            </m:sSub>
                            <m:r>
                              <a:rPr lang="en-US" sz="1400" b="0" i="1" baseline="0">
                                <a:solidFill>
                                  <a:srgbClr val="0033CC"/>
                                </a:solidFill>
                                <a:effectLst/>
                                <a:latin typeface="Cambria Math" panose="02040503050406030204" pitchFamily="18" charset="0"/>
                                <a:ea typeface="+mn-ea"/>
                                <a:cs typeface="+mn-cs"/>
                              </a:rPr>
                              <m:t>+2 </m:t>
                            </m:r>
                            <m:r>
                              <a:rPr lang="en-US" sz="1400" b="0" i="1" baseline="0">
                                <a:solidFill>
                                  <a:srgbClr val="0033CC"/>
                                </a:solidFill>
                                <a:effectLst/>
                                <a:latin typeface="Cambria Math" panose="02040503050406030204" pitchFamily="18" charset="0"/>
                                <a:ea typeface="+mn-ea"/>
                                <a:cs typeface="+mn-cs"/>
                              </a:rPr>
                              <m:t>𝑀𝑓</m:t>
                            </m:r>
                            <m:r>
                              <a:rPr lang="en-US" sz="1400" b="0" i="1" baseline="-25000">
                                <a:solidFill>
                                  <a:srgbClr val="0033CC"/>
                                </a:solidFill>
                                <a:effectLst/>
                                <a:latin typeface="Cambria Math" panose="02040503050406030204" pitchFamily="18" charset="0"/>
                                <a:ea typeface="+mn-ea"/>
                                <a:cs typeface="+mn-cs"/>
                              </a:rPr>
                              <m:t>_</m:t>
                            </m:r>
                            <m:r>
                              <a:rPr lang="en-US" sz="1400" b="0" i="1" baseline="-25000">
                                <a:solidFill>
                                  <a:srgbClr val="0033CC"/>
                                </a:solidFill>
                                <a:effectLst/>
                                <a:latin typeface="Cambria Math" panose="02040503050406030204" pitchFamily="18" charset="0"/>
                                <a:ea typeface="+mn-ea"/>
                                <a:cs typeface="+mn-cs"/>
                              </a:rPr>
                              <m:t>𝑀𝑜𝐸</m:t>
                            </m:r>
                          </m:e>
                        </m:d>
                        <m:r>
                          <a:rPr lang="en-US" sz="1400" b="0" i="0" baseline="0">
                            <a:solidFill>
                              <a:schemeClr val="tx1"/>
                            </a:solidFill>
                            <a:effectLst/>
                            <a:latin typeface="Cambria Math" panose="02040503050406030204" pitchFamily="18" charset="0"/>
                            <a:ea typeface="+mn-ea"/>
                            <a:cs typeface="+mn-cs"/>
                          </a:rPr>
                          <m:t>+</m:t>
                        </m:r>
                        <m:r>
                          <a:rPr lang="en-US" sz="1400" b="0" i="1" baseline="0">
                            <a:solidFill>
                              <a:schemeClr val="tx1"/>
                            </a:solidFill>
                            <a:effectLst/>
                            <a:latin typeface="Cambria Math" panose="02040503050406030204" pitchFamily="18" charset="0"/>
                            <a:ea typeface="+mn-ea"/>
                            <a:cs typeface="+mn-cs"/>
                          </a:rPr>
                          <m:t>𝑚𝑎𝑥</m:t>
                        </m:r>
                        <m:d>
                          <m:dPr>
                            <m:begChr m:val="["/>
                            <m:endChr m:val="]"/>
                            <m:ctrlPr>
                              <a:rPr lang="en-US" sz="1400" b="0" i="1">
                                <a:solidFill>
                                  <a:schemeClr val="tx1"/>
                                </a:solidFill>
                                <a:effectLst/>
                                <a:latin typeface="Cambria Math" panose="02040503050406030204" pitchFamily="18" charset="0"/>
                                <a:ea typeface="+mn-ea"/>
                                <a:cs typeface="+mn-cs"/>
                              </a:rPr>
                            </m:ctrlPr>
                          </m:dPr>
                          <m:e>
                            <m:r>
                              <a:rPr lang="en-US" sz="1400" b="0" i="1">
                                <a:solidFill>
                                  <a:schemeClr val="tx1"/>
                                </a:solidFill>
                                <a:effectLst/>
                                <a:latin typeface="Cambria Math" panose="02040503050406030204" pitchFamily="18" charset="0"/>
                                <a:ea typeface="+mn-ea"/>
                                <a:cs typeface="+mn-cs"/>
                              </a:rPr>
                              <m:t>𝑀</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𝑓</m:t>
                                </m:r>
                              </m:e>
                              <m:sub>
                                <m:r>
                                  <a:rPr lang="en-US" sz="1400" b="0" i="1" baseline="-25000">
                                    <a:solidFill>
                                      <a:schemeClr val="tx1"/>
                                    </a:solidFill>
                                    <a:effectLst/>
                                    <a:latin typeface="Cambria Math" panose="02040503050406030204" pitchFamily="18" charset="0"/>
                                    <a:ea typeface="+mn-ea"/>
                                    <a:cs typeface="+mn-cs"/>
                                  </a:rPr>
                                  <m:t>𝑃</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𝑃</m:t>
                                    </m:r>
                                  </m:e>
                                  <m:sub>
                                    <m:r>
                                      <a:rPr lang="en-US" sz="1400" b="0" i="1" baseline="-25000">
                                        <a:solidFill>
                                          <a:schemeClr val="tx1"/>
                                        </a:solidFill>
                                        <a:effectLst/>
                                        <a:latin typeface="Cambria Math" panose="02040503050406030204" pitchFamily="18" charset="0"/>
                                        <a:ea typeface="+mn-ea"/>
                                        <a:cs typeface="+mn-cs"/>
                                      </a:rPr>
                                      <m:t>𝑖𝑛𝑡𝑟𝑎</m:t>
                                    </m:r>
                                    <m:d>
                                      <m:dPr>
                                        <m:ctrlPr>
                                          <a:rPr lang="en-US" sz="1400" b="0" i="1" baseline="0">
                                            <a:solidFill>
                                              <a:schemeClr val="tx1"/>
                                            </a:solidFill>
                                            <a:effectLst/>
                                            <a:latin typeface="Cambria Math" panose="02040503050406030204" pitchFamily="18" charset="0"/>
                                            <a:ea typeface="+mn-ea"/>
                                            <a:cs typeface="+mn-cs"/>
                                          </a:rPr>
                                        </m:ctrlPr>
                                      </m:dPr>
                                      <m:e>
                                        <m:r>
                                          <a:rPr lang="en-US" sz="1400" b="0" i="1" baseline="0">
                                            <a:solidFill>
                                              <a:schemeClr val="tx1"/>
                                            </a:solidFill>
                                            <a:effectLst/>
                                            <a:latin typeface="Cambria Math" panose="02040503050406030204" pitchFamily="18" charset="0"/>
                                            <a:ea typeface="+mn-ea"/>
                                            <a:cs typeface="+mn-cs"/>
                                          </a:rPr>
                                          <m:t>𝑙</m:t>
                                        </m:r>
                                      </m:e>
                                    </m:d>
                                  </m:sub>
                                </m:sSub>
                              </m:sub>
                            </m:sSub>
                            <m:r>
                              <a:rPr lang="en-US" sz="1400" b="0" i="1" baseline="0">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𝑀</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𝑓</m:t>
                                </m:r>
                              </m:e>
                              <m:sub>
                                <m:r>
                                  <a:rPr lang="en-US" sz="1400" b="0" i="1" baseline="-25000">
                                    <a:solidFill>
                                      <a:schemeClr val="tx1"/>
                                    </a:solidFill>
                                    <a:effectLst/>
                                    <a:latin typeface="Cambria Math" panose="02040503050406030204" pitchFamily="18" charset="0"/>
                                    <a:ea typeface="+mn-ea"/>
                                    <a:cs typeface="+mn-cs"/>
                                  </a:rPr>
                                  <m:t>𝑃</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𝑃</m:t>
                                    </m:r>
                                  </m:e>
                                  <m:sub>
                                    <m:r>
                                      <a:rPr lang="en-US" sz="1400" b="0" i="1" baseline="-25000">
                                        <a:solidFill>
                                          <a:schemeClr val="tx1"/>
                                        </a:solidFill>
                                        <a:effectLst/>
                                        <a:latin typeface="Cambria Math" panose="02040503050406030204" pitchFamily="18" charset="0"/>
                                        <a:ea typeface="+mn-ea"/>
                                        <a:cs typeface="+mn-cs"/>
                                      </a:rPr>
                                      <m:t>𝑖𝑛𝑡𝑒𝑟</m:t>
                                    </m:r>
                                    <m:d>
                                      <m:dPr>
                                        <m:ctrlPr>
                                          <a:rPr lang="en-US" sz="1400" b="0" i="1" baseline="0">
                                            <a:solidFill>
                                              <a:schemeClr val="tx1"/>
                                            </a:solidFill>
                                            <a:effectLst/>
                                            <a:latin typeface="Cambria Math" panose="02040503050406030204" pitchFamily="18" charset="0"/>
                                            <a:ea typeface="+mn-ea"/>
                                            <a:cs typeface="+mn-cs"/>
                                          </a:rPr>
                                        </m:ctrlPr>
                                      </m:dPr>
                                      <m:e>
                                        <m:r>
                                          <a:rPr lang="en-US" sz="1400" b="0" i="1" baseline="0">
                                            <a:solidFill>
                                              <a:schemeClr val="tx1"/>
                                            </a:solidFill>
                                            <a:effectLst/>
                                            <a:latin typeface="Cambria Math" panose="02040503050406030204" pitchFamily="18" charset="0"/>
                                            <a:ea typeface="+mn-ea"/>
                                            <a:cs typeface="+mn-cs"/>
                                          </a:rPr>
                                          <m:t>𝑙</m:t>
                                        </m:r>
                                      </m:e>
                                    </m:d>
                                  </m:sub>
                                </m:sSub>
                              </m:sub>
                            </m:sSub>
                          </m:e>
                        </m:d>
                      </m:e>
                    </m:d>
                    <m:r>
                      <a:rPr lang="en-US" sz="1400" b="0" i="1" baseline="0">
                        <a:solidFill>
                          <a:schemeClr val="tx1"/>
                        </a:solidFill>
                        <a:effectLst/>
                        <a:latin typeface="Cambria Math" panose="02040503050406030204" pitchFamily="18" charset="0"/>
                        <a:ea typeface="+mn-ea"/>
                        <a:cs typeface="+mn-cs"/>
                      </a:rPr>
                      <m:t>∗</m:t>
                    </m:r>
                    <m:r>
                      <a:rPr lang="en-US" sz="1400" b="0" i="1" baseline="0">
                        <a:solidFill>
                          <a:srgbClr val="FF0000"/>
                        </a:solidFill>
                        <a:effectLst/>
                        <a:latin typeface="Cambria Math" panose="02040503050406030204" pitchFamily="18" charset="0"/>
                        <a:ea typeface="+mn-ea"/>
                        <a:cs typeface="+mn-cs"/>
                      </a:rPr>
                      <m:t>(1+</m:t>
                    </m:r>
                    <m:sSub>
                      <m:sSubPr>
                        <m:ctrlPr>
                          <a:rPr lang="en-US" sz="1400" b="0" i="1" baseline="0">
                            <a:solidFill>
                              <a:srgbClr val="FF0000"/>
                            </a:solidFill>
                            <a:effectLst/>
                            <a:latin typeface="Cambria Math" panose="02040503050406030204" pitchFamily="18" charset="0"/>
                            <a:ea typeface="+mn-ea"/>
                            <a:cs typeface="+mn-cs"/>
                          </a:rPr>
                        </m:ctrlPr>
                      </m:sSubPr>
                      <m:e>
                        <m:sSub>
                          <m:sSubPr>
                            <m:ctrlPr>
                              <a:rPr lang="en-US" sz="1400" b="0" i="1" baseline="0">
                                <a:solidFill>
                                  <a:srgbClr val="FF0000"/>
                                </a:solidFill>
                                <a:effectLst/>
                                <a:latin typeface="Cambria Math" panose="02040503050406030204" pitchFamily="18" charset="0"/>
                                <a:ea typeface="+mn-ea"/>
                                <a:cs typeface="+mn-cs"/>
                              </a:rPr>
                            </m:ctrlPr>
                          </m:sSubPr>
                          <m:e>
                            <m:r>
                              <a:rPr lang="en-US" sz="1400" b="0" i="1" baseline="0">
                                <a:solidFill>
                                  <a:srgbClr val="FF0000"/>
                                </a:solidFill>
                                <a:effectLst/>
                                <a:latin typeface="Cambria Math" panose="02040503050406030204" pitchFamily="18" charset="0"/>
                                <a:ea typeface="+mn-ea"/>
                                <a:cs typeface="+mn-cs"/>
                              </a:rPr>
                              <m:t>𝑀</m:t>
                            </m:r>
                          </m:e>
                          <m:sub>
                            <m:r>
                              <a:rPr lang="en-US" sz="1400" b="0" i="1" baseline="0">
                                <a:solidFill>
                                  <a:srgbClr val="FF0000"/>
                                </a:solidFill>
                                <a:effectLst/>
                                <a:latin typeface="Cambria Math" panose="02040503050406030204" pitchFamily="18" charset="0"/>
                                <a:ea typeface="+mn-ea"/>
                                <a:cs typeface="+mn-cs"/>
                              </a:rPr>
                              <m:t>𝑓</m:t>
                            </m:r>
                          </m:sub>
                        </m:sSub>
                      </m:e>
                      <m:sub>
                        <m:r>
                          <a:rPr lang="en-US" sz="1400" b="0" i="1" baseline="0">
                            <a:solidFill>
                              <a:srgbClr val="FF0000"/>
                            </a:solidFill>
                            <a:effectLst/>
                            <a:latin typeface="Cambria Math" panose="02040503050406030204" pitchFamily="18" charset="0"/>
                            <a:ea typeface="+mn-ea"/>
                            <a:cs typeface="+mn-cs"/>
                          </a:rPr>
                          <m:t>𝐷𝑃</m:t>
                        </m:r>
                      </m:sub>
                    </m:sSub>
                    <m:r>
                      <a:rPr lang="en-US" sz="1400" b="0" i="1" baseline="0">
                        <a:solidFill>
                          <a:srgbClr val="FF0000"/>
                        </a:solidFill>
                        <a:effectLst/>
                        <a:latin typeface="Cambria Math" panose="02040503050406030204" pitchFamily="18" charset="0"/>
                        <a:ea typeface="+mn-ea"/>
                        <a:cs typeface="+mn-cs"/>
                      </a:rPr>
                      <m:t>(</m:t>
                    </m:r>
                    <m:r>
                      <a:rPr lang="en-US" sz="1400" b="0" i="1" baseline="0">
                        <a:solidFill>
                          <a:srgbClr val="FF0000"/>
                        </a:solidFill>
                        <a:effectLst/>
                        <a:latin typeface="Cambria Math" panose="02040503050406030204" pitchFamily="18" charset="0"/>
                        <a:ea typeface="+mn-ea"/>
                        <a:cs typeface="+mn-cs"/>
                      </a:rPr>
                      <m:t>𝑙</m:t>
                    </m:r>
                    <m:r>
                      <a:rPr lang="en-US" sz="1400" b="0" i="1" baseline="0">
                        <a:solidFill>
                          <a:srgbClr val="FF0000"/>
                        </a:solidFill>
                        <a:effectLst/>
                        <a:latin typeface="Cambria Math" panose="02040503050406030204" pitchFamily="18" charset="0"/>
                        <a:ea typeface="+mn-ea"/>
                        <a:cs typeface="+mn-cs"/>
                      </a:rPr>
                      <m:t>))</m:t>
                    </m:r>
                  </m:oMath>
                </m:oMathPara>
              </a14:m>
              <a:endParaRPr lang="en-GB" sz="1400" baseline="0">
                <a:solidFill>
                  <a:schemeClr val="tx1"/>
                </a:solidFill>
              </a:endParaRPr>
            </a:p>
            <a:p>
              <a:endParaRPr lang="en-GB" sz="1400" baseline="0">
                <a:solidFill>
                  <a:schemeClr val="tx1"/>
                </a:solidFill>
              </a:endParaRPr>
            </a:p>
            <a:p>
              <a:r>
                <a:rPr lang="en-GB" sz="1400" baseline="0">
                  <a:solidFill>
                    <a:schemeClr val="tx1"/>
                  </a:solidFill>
                </a:rPr>
                <a:t>Tensor model parallelism + Pipeline model parallelism (layer-to-layer)+MoE overhead, </a:t>
              </a:r>
              <a:r>
                <a:rPr lang="en-GB" sz="1400" baseline="0">
                  <a:solidFill>
                    <a:srgbClr val="FF0000"/>
                  </a:solidFill>
                </a:rPr>
                <a:t> zero-DP model communication is just overhead modeled</a:t>
              </a:r>
            </a:p>
          </xdr:txBody>
        </xdr:sp>
      </mc:Choice>
      <mc:Fallback xmlns="">
        <xdr:sp macro="" textlink="">
          <xdr:nvSpPr>
            <xdr:cNvPr id="184" name="TextBox 90">
              <a:extLst>
                <a:ext uri="{FF2B5EF4-FFF2-40B4-BE49-F238E27FC236}">
                  <a16:creationId xmlns:a16="http://schemas.microsoft.com/office/drawing/2014/main" id="{FBBEFCEE-0878-4026-BB66-240BED73A69D}"/>
                </a:ext>
              </a:extLst>
            </xdr:cNvPr>
            <xdr:cNvSpPr txBox="1"/>
          </xdr:nvSpPr>
          <xdr:spPr>
            <a:xfrm>
              <a:off x="3273208" y="34994454"/>
              <a:ext cx="7363731" cy="105228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𝑓</a:t>
              </a:r>
              <a:r>
                <a:rPr lang="en-US" sz="1400" b="0" i="0" baseline="0">
                  <a:solidFill>
                    <a:schemeClr val="tx1"/>
                  </a:solidFill>
                  <a:latin typeface="Cambria Math" panose="02040503050406030204" pitchFamily="18" charset="0"/>
                </a:rPr>
                <a:t>(𝑙)= </a:t>
              </a:r>
              <a:r>
                <a:rPr lang="en-GB" sz="1400" i="0">
                  <a:solidFill>
                    <a:schemeClr val="tx1"/>
                  </a:solidFill>
                  <a:latin typeface="Cambria Math" panose="02040503050406030204" pitchFamily="18" charset="0"/>
                </a:rPr>
                <a:t> </a:t>
              </a:r>
              <a:r>
                <a:rPr lang="en-US" sz="1400" b="0" i="0">
                  <a:solidFill>
                    <a:schemeClr val="tx1"/>
                  </a:solidFill>
                  <a:effectLst/>
                  <a:latin typeface="Cambria Math" panose="02040503050406030204" pitchFamily="18" charset="0"/>
                  <a:ea typeface="+mn-ea"/>
                  <a:cs typeface="+mn-cs"/>
                </a:rPr>
                <a:t>{[𝑀</a:t>
              </a:r>
              <a:r>
                <a:rPr lang="en-US" sz="1400" b="0" i="0" baseline="-25000">
                  <a:solidFill>
                    <a:schemeClr val="tx1"/>
                  </a:solidFill>
                  <a:effectLst/>
                  <a:latin typeface="Cambria Math" panose="02040503050406030204" pitchFamily="18" charset="0"/>
                  <a:ea typeface="+mn-ea"/>
                  <a:cs typeface="+mn-cs"/>
                </a:rPr>
                <a:t>𝑓_(𝑇𝑃_𝑖𝑛𝑡𝑟𝑎</a:t>
              </a:r>
              <a:r>
                <a:rPr lang="en-US" sz="1400" b="0" i="0" baseline="0">
                  <a:solidFill>
                    <a:schemeClr val="tx1"/>
                  </a:solidFill>
                  <a:effectLst/>
                  <a:latin typeface="Cambria Math" panose="02040503050406030204" pitchFamily="18" charset="0"/>
                  <a:ea typeface="+mn-ea"/>
                  <a:cs typeface="+mn-cs"/>
                </a:rPr>
                <a:t>(𝑙)  </a:t>
              </a:r>
              <a:r>
                <a:rPr lang="en-US" sz="1400" b="0" i="0" baseline="-25000">
                  <a:solidFill>
                    <a:schemeClr val="tx1"/>
                  </a:solidFill>
                  <a:effectLst/>
                  <a:latin typeface="Cambria Math" panose="02040503050406030204" pitchFamily="18" charset="0"/>
                  <a:ea typeface="+mn-ea"/>
                  <a:cs typeface="+mn-cs"/>
                </a:rPr>
                <a:t>)</a:t>
              </a:r>
              <a:r>
                <a:rPr lang="en-US" sz="1400" b="0" i="0" baseline="0">
                  <a:solidFill>
                    <a:schemeClr val="tx1"/>
                  </a:solidFill>
                  <a:effectLst/>
                  <a:latin typeface="Cambria Math" panose="02040503050406030204" pitchFamily="18" charset="0"/>
                  <a:ea typeface="+mn-ea"/>
                  <a:cs typeface="+mn-cs"/>
                </a:rPr>
                <a:t>+</a:t>
              </a:r>
              <a:r>
                <a:rPr lang="en-US" sz="1400" b="0" i="0">
                  <a:solidFill>
                    <a:schemeClr val="tx1"/>
                  </a:solidFill>
                  <a:effectLst/>
                  <a:latin typeface="Cambria Math" panose="02040503050406030204" pitchFamily="18" charset="0"/>
                  <a:ea typeface="+mn-ea"/>
                  <a:cs typeface="+mn-cs"/>
                </a:rPr>
                <a:t>𝑀𝑓</a:t>
              </a:r>
              <a:r>
                <a:rPr lang="en-US" sz="1400" b="0" i="0" baseline="-25000">
                  <a:solidFill>
                    <a:schemeClr val="tx1"/>
                  </a:solidFill>
                  <a:effectLst/>
                  <a:latin typeface="Cambria Math" panose="02040503050406030204" pitchFamily="18" charset="0"/>
                  <a:ea typeface="+mn-ea"/>
                  <a:cs typeface="+mn-cs"/>
                </a:rPr>
                <a:t>_(𝑇𝑃_𝑖𝑛𝑡𝑒𝑟</a:t>
              </a:r>
              <a:r>
                <a:rPr lang="en-US" sz="1400" b="0" i="0" baseline="0">
                  <a:solidFill>
                    <a:schemeClr val="tx1"/>
                  </a:solidFill>
                  <a:effectLst/>
                  <a:latin typeface="Cambria Math" panose="02040503050406030204" pitchFamily="18" charset="0"/>
                  <a:ea typeface="+mn-ea"/>
                  <a:cs typeface="+mn-cs"/>
                </a:rPr>
                <a:t>(𝑙)  </a:t>
              </a:r>
              <a:r>
                <a:rPr lang="en-US" sz="1400" b="0" i="0" baseline="-25000">
                  <a:solidFill>
                    <a:schemeClr val="tx1"/>
                  </a:solidFill>
                  <a:effectLst/>
                  <a:latin typeface="Cambria Math" panose="02040503050406030204" pitchFamily="18" charset="0"/>
                  <a:ea typeface="+mn-ea"/>
                  <a:cs typeface="+mn-cs"/>
                </a:rPr>
                <a:t>)</a:t>
              </a:r>
              <a:r>
                <a:rPr lang="en-US" sz="1400" b="0" i="0" baseline="0">
                  <a:solidFill>
                    <a:srgbClr val="0033CC"/>
                  </a:solidFill>
                  <a:effectLst/>
                  <a:latin typeface="Cambria Math" panose="02040503050406030204" pitchFamily="18" charset="0"/>
                  <a:ea typeface="+mn-ea"/>
                  <a:cs typeface="+mn-cs"/>
                </a:rPr>
                <a:t>+2 𝑀𝑓</a:t>
              </a:r>
              <a:r>
                <a:rPr lang="en-US" sz="1400" b="0" i="0" baseline="-25000">
                  <a:solidFill>
                    <a:srgbClr val="0033CC"/>
                  </a:solidFill>
                  <a:effectLst/>
                  <a:latin typeface="Cambria Math" panose="02040503050406030204" pitchFamily="18" charset="0"/>
                  <a:ea typeface="+mn-ea"/>
                  <a:cs typeface="+mn-cs"/>
                </a:rPr>
                <a:t>_𝑀𝑜𝐸]</a:t>
              </a:r>
              <a:r>
                <a:rPr lang="en-US" sz="1400" b="0" i="0" baseline="0">
                  <a:solidFill>
                    <a:schemeClr val="tx1"/>
                  </a:solidFill>
                  <a:effectLst/>
                  <a:latin typeface="Cambria Math" panose="02040503050406030204" pitchFamily="18" charset="0"/>
                  <a:ea typeface="+mn-ea"/>
                  <a:cs typeface="+mn-cs"/>
                </a:rPr>
                <a:t>+𝑚𝑎𝑥[</a:t>
              </a:r>
              <a:r>
                <a:rPr lang="en-US" sz="1400" b="0" i="0">
                  <a:solidFill>
                    <a:schemeClr val="tx1"/>
                  </a:solidFill>
                  <a:effectLst/>
                  <a:latin typeface="Cambria Math" panose="02040503050406030204" pitchFamily="18" charset="0"/>
                  <a:ea typeface="+mn-ea"/>
                  <a:cs typeface="+mn-cs"/>
                </a:rPr>
                <a:t>𝑀</a:t>
              </a:r>
              <a:r>
                <a:rPr lang="en-US" sz="1400" b="0" i="0" baseline="-25000">
                  <a:solidFill>
                    <a:schemeClr val="tx1"/>
                  </a:solidFill>
                  <a:effectLst/>
                  <a:latin typeface="Cambria Math" panose="02040503050406030204" pitchFamily="18" charset="0"/>
                  <a:ea typeface="+mn-ea"/>
                  <a:cs typeface="+mn-cs"/>
                </a:rPr>
                <a:t>𝑓_(𝑃𝑃_𝑖𝑛𝑡𝑟𝑎</a:t>
              </a:r>
              <a:r>
                <a:rPr lang="en-US" sz="1400" b="0" i="0" baseline="0">
                  <a:solidFill>
                    <a:schemeClr val="tx1"/>
                  </a:solidFill>
                  <a:effectLst/>
                  <a:latin typeface="Cambria Math" panose="02040503050406030204" pitchFamily="18" charset="0"/>
                  <a:ea typeface="+mn-ea"/>
                  <a:cs typeface="+mn-cs"/>
                </a:rPr>
                <a:t>(𝑙)  </a:t>
              </a:r>
              <a:r>
                <a:rPr lang="en-US" sz="1400" b="0" i="0" baseline="-25000">
                  <a:solidFill>
                    <a:schemeClr val="tx1"/>
                  </a:solidFill>
                  <a:effectLst/>
                  <a:latin typeface="Cambria Math" panose="02040503050406030204" pitchFamily="18" charset="0"/>
                  <a:ea typeface="+mn-ea"/>
                  <a:cs typeface="+mn-cs"/>
                </a:rPr>
                <a:t>)</a:t>
              </a:r>
              <a:r>
                <a:rPr lang="en-US" sz="1400" b="0" i="0" baseline="0">
                  <a:solidFill>
                    <a:schemeClr val="tx1"/>
                  </a:solidFill>
                  <a:effectLst/>
                  <a:latin typeface="Cambria Math" panose="02040503050406030204" pitchFamily="18" charset="0"/>
                  <a:ea typeface="+mn-ea"/>
                  <a:cs typeface="+mn-cs"/>
                </a:rPr>
                <a:t>,</a:t>
              </a:r>
              <a:r>
                <a:rPr lang="en-US" sz="1400" b="0" i="0">
                  <a:solidFill>
                    <a:schemeClr val="tx1"/>
                  </a:solidFill>
                  <a:effectLst/>
                  <a:latin typeface="Cambria Math" panose="02040503050406030204" pitchFamily="18" charset="0"/>
                  <a:ea typeface="+mn-ea"/>
                  <a:cs typeface="+mn-cs"/>
                </a:rPr>
                <a:t>𝑀𝑓</a:t>
              </a:r>
              <a:r>
                <a:rPr lang="en-US" sz="1400" b="0" i="0" baseline="-25000">
                  <a:solidFill>
                    <a:schemeClr val="tx1"/>
                  </a:solidFill>
                  <a:effectLst/>
                  <a:latin typeface="Cambria Math" panose="02040503050406030204" pitchFamily="18" charset="0"/>
                  <a:ea typeface="+mn-ea"/>
                  <a:cs typeface="+mn-cs"/>
                </a:rPr>
                <a:t>_(𝑃𝑃_𝑖𝑛𝑡𝑒𝑟</a:t>
              </a:r>
              <a:r>
                <a:rPr lang="en-US" sz="1400" b="0" i="0" baseline="0">
                  <a:solidFill>
                    <a:schemeClr val="tx1"/>
                  </a:solidFill>
                  <a:effectLst/>
                  <a:latin typeface="Cambria Math" panose="02040503050406030204" pitchFamily="18" charset="0"/>
                  <a:ea typeface="+mn-ea"/>
                  <a:cs typeface="+mn-cs"/>
                </a:rPr>
                <a:t>(𝑙)  </a:t>
              </a:r>
              <a:r>
                <a:rPr lang="en-US" sz="1400" b="0" i="0" baseline="-25000">
                  <a:solidFill>
                    <a:schemeClr val="tx1"/>
                  </a:solidFill>
                  <a:effectLst/>
                  <a:latin typeface="Cambria Math" panose="02040503050406030204" pitchFamily="18" charset="0"/>
                  <a:ea typeface="+mn-ea"/>
                  <a:cs typeface="+mn-cs"/>
                </a:rPr>
                <a:t>)</a:t>
              </a:r>
              <a:r>
                <a:rPr lang="en-US" sz="1400" b="0" i="0" baseline="0">
                  <a:solidFill>
                    <a:schemeClr val="tx1"/>
                  </a:solidFill>
                  <a:effectLst/>
                  <a:latin typeface="Cambria Math" panose="02040503050406030204" pitchFamily="18" charset="0"/>
                  <a:ea typeface="+mn-ea"/>
                  <a:cs typeface="+mn-cs"/>
                </a:rPr>
                <a:t> ]}∗</a:t>
              </a:r>
              <a:r>
                <a:rPr lang="en-US" sz="1400" b="0" i="0" baseline="0">
                  <a:solidFill>
                    <a:srgbClr val="FF0000"/>
                  </a:solidFill>
                  <a:effectLst/>
                  <a:latin typeface="Cambria Math" panose="02040503050406030204" pitchFamily="18" charset="0"/>
                  <a:ea typeface="+mn-ea"/>
                  <a:cs typeface="+mn-cs"/>
                </a:rPr>
                <a:t>(1+〖𝑀_𝑓〗_𝐷𝑃 (𝑙))</a:t>
              </a:r>
              <a:endParaRPr lang="en-GB" sz="1400" baseline="0">
                <a:solidFill>
                  <a:schemeClr val="tx1"/>
                </a:solidFill>
              </a:endParaRPr>
            </a:p>
            <a:p>
              <a:endParaRPr lang="en-GB" sz="1400" baseline="0">
                <a:solidFill>
                  <a:schemeClr val="tx1"/>
                </a:solidFill>
              </a:endParaRPr>
            </a:p>
            <a:p>
              <a:r>
                <a:rPr lang="en-GB" sz="1400" baseline="0">
                  <a:solidFill>
                    <a:schemeClr val="tx1"/>
                  </a:solidFill>
                </a:rPr>
                <a:t>Tensor model parallelism + Pipeline model parallelism (layer-to-layer)+MoE overhead, </a:t>
              </a:r>
              <a:r>
                <a:rPr lang="en-GB" sz="1400" baseline="0">
                  <a:solidFill>
                    <a:srgbClr val="FF0000"/>
                  </a:solidFill>
                </a:rPr>
                <a:t> zero-DP model communication is just overhead modeled</a:t>
              </a:r>
            </a:p>
          </xdr:txBody>
        </xdr:sp>
      </mc:Fallback>
    </mc:AlternateContent>
    <xdr:clientData/>
  </xdr:oneCellAnchor>
  <xdr:oneCellAnchor>
    <xdr:from>
      <xdr:col>0</xdr:col>
      <xdr:colOff>3254374</xdr:colOff>
      <xdr:row>148</xdr:row>
      <xdr:rowOff>0</xdr:rowOff>
    </xdr:from>
    <xdr:ext cx="7699375" cy="723900"/>
    <mc:AlternateContent xmlns:mc="http://schemas.openxmlformats.org/markup-compatibility/2006" xmlns:a14="http://schemas.microsoft.com/office/drawing/2010/main">
      <mc:Choice Requires="a14">
        <xdr:sp macro="" textlink="">
          <xdr:nvSpPr>
            <xdr:cNvPr id="114" name="TextBox 95">
              <a:extLst>
                <a:ext uri="{FF2B5EF4-FFF2-40B4-BE49-F238E27FC236}">
                  <a16:creationId xmlns:a16="http://schemas.microsoft.com/office/drawing/2014/main" id="{1712F0F0-5952-40B6-84D9-A78D2C61AB17}"/>
                </a:ext>
              </a:extLst>
            </xdr:cNvPr>
            <xdr:cNvSpPr txBox="1"/>
          </xdr:nvSpPr>
          <xdr:spPr>
            <a:xfrm>
              <a:off x="3254374" y="61697152"/>
              <a:ext cx="7699375" cy="7239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400" b="0" i="1">
                        <a:solidFill>
                          <a:schemeClr val="tx1"/>
                        </a:solidFill>
                        <a:effectLst/>
                        <a:latin typeface="Cambria Math" panose="02040503050406030204" pitchFamily="18" charset="0"/>
                        <a:ea typeface="+mn-ea"/>
                        <a:cs typeface="+mn-cs"/>
                      </a:rPr>
                      <m:t>𝑀</m:t>
                    </m:r>
                    <m:r>
                      <a:rPr lang="en-US" sz="1400" b="0" i="1" baseline="-25000">
                        <a:solidFill>
                          <a:schemeClr val="tx1"/>
                        </a:solidFill>
                        <a:effectLst/>
                        <a:latin typeface="Cambria Math" panose="02040503050406030204" pitchFamily="18" charset="0"/>
                        <a:ea typeface="+mn-ea"/>
                        <a:cs typeface="+mn-cs"/>
                      </a:rPr>
                      <m:t>𝑏</m:t>
                    </m:r>
                    <m:d>
                      <m:dPr>
                        <m:ctrlPr>
                          <a:rPr lang="en-US" sz="1400" b="0" i="1" baseline="0">
                            <a:solidFill>
                              <a:schemeClr val="tx1"/>
                            </a:solidFill>
                            <a:effectLst/>
                            <a:latin typeface="Cambria Math" panose="02040503050406030204" pitchFamily="18" charset="0"/>
                            <a:ea typeface="+mn-ea"/>
                            <a:cs typeface="+mn-cs"/>
                          </a:rPr>
                        </m:ctrlPr>
                      </m:dPr>
                      <m:e>
                        <m:r>
                          <a:rPr lang="en-US" sz="1400" b="0" i="1" baseline="0">
                            <a:solidFill>
                              <a:schemeClr val="tx1"/>
                            </a:solidFill>
                            <a:effectLst/>
                            <a:latin typeface="Cambria Math" panose="02040503050406030204" pitchFamily="18" charset="0"/>
                            <a:ea typeface="+mn-ea"/>
                            <a:cs typeface="+mn-cs"/>
                          </a:rPr>
                          <m:t>𝑙</m:t>
                        </m:r>
                      </m:e>
                    </m:d>
                    <m:r>
                      <a:rPr lang="en-US" sz="1400" b="0" i="1" baseline="0">
                        <a:solidFill>
                          <a:schemeClr val="tx1"/>
                        </a:solidFill>
                        <a:effectLst/>
                        <a:latin typeface="Cambria Math" panose="02040503050406030204" pitchFamily="18" charset="0"/>
                        <a:ea typeface="+mn-ea"/>
                        <a:cs typeface="+mn-cs"/>
                      </a:rPr>
                      <m:t>= </m:t>
                    </m:r>
                    <m:r>
                      <a:rPr lang="en-GB" sz="1400" i="1">
                        <a:solidFill>
                          <a:schemeClr val="tx1"/>
                        </a:solidFill>
                        <a:effectLst/>
                        <a:latin typeface="Cambria Math" panose="02040503050406030204" pitchFamily="18" charset="0"/>
                        <a:ea typeface="+mn-ea"/>
                        <a:cs typeface="+mn-cs"/>
                      </a:rPr>
                      <m:t> </m:t>
                    </m:r>
                    <m:r>
                      <a:rPr lang="en-US" sz="1400" b="0" i="0">
                        <a:solidFill>
                          <a:schemeClr val="tx1"/>
                        </a:solidFill>
                        <a:effectLst/>
                        <a:latin typeface="Cambria Math" panose="02040503050406030204" pitchFamily="18" charset="0"/>
                        <a:ea typeface="+mn-ea"/>
                        <a:cs typeface="+mn-cs"/>
                      </a:rPr>
                      <m:t>{</m:t>
                    </m:r>
                    <m:d>
                      <m:dPr>
                        <m:begChr m:val="["/>
                        <m:endChr m:val="]"/>
                        <m:ctrlPr>
                          <a:rPr lang="en-US" sz="1400" b="0" i="1">
                            <a:solidFill>
                              <a:schemeClr val="tx1"/>
                            </a:solidFill>
                            <a:effectLst/>
                            <a:latin typeface="Cambria Math" panose="02040503050406030204" pitchFamily="18" charset="0"/>
                            <a:ea typeface="+mn-ea"/>
                            <a:cs typeface="+mn-cs"/>
                          </a:rPr>
                        </m:ctrlPr>
                      </m:dPr>
                      <m:e>
                        <m:r>
                          <a:rPr lang="en-US" sz="1400" b="0" i="1">
                            <a:solidFill>
                              <a:schemeClr val="tx1"/>
                            </a:solidFill>
                            <a:effectLst/>
                            <a:latin typeface="Cambria Math" panose="02040503050406030204" pitchFamily="18" charset="0"/>
                            <a:ea typeface="+mn-ea"/>
                            <a:cs typeface="+mn-cs"/>
                          </a:rPr>
                          <m:t>𝑀</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𝑏</m:t>
                            </m:r>
                          </m:e>
                          <m:sub>
                            <m:r>
                              <a:rPr lang="en-US" sz="1400" b="0" i="1" baseline="-25000">
                                <a:solidFill>
                                  <a:schemeClr val="tx1"/>
                                </a:solidFill>
                                <a:effectLst/>
                                <a:latin typeface="Cambria Math" panose="02040503050406030204" pitchFamily="18" charset="0"/>
                                <a:ea typeface="+mn-ea"/>
                                <a:cs typeface="+mn-cs"/>
                              </a:rPr>
                              <m:t>𝑇</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𝑃</m:t>
                                </m:r>
                              </m:e>
                              <m:sub>
                                <m:r>
                                  <a:rPr lang="en-US" sz="1400" b="0" i="1" baseline="-25000">
                                    <a:solidFill>
                                      <a:schemeClr val="tx1"/>
                                    </a:solidFill>
                                    <a:effectLst/>
                                    <a:latin typeface="Cambria Math" panose="02040503050406030204" pitchFamily="18" charset="0"/>
                                    <a:ea typeface="+mn-ea"/>
                                    <a:cs typeface="+mn-cs"/>
                                  </a:rPr>
                                  <m:t>𝑖𝑛𝑡𝑟𝑎</m:t>
                                </m:r>
                                <m:d>
                                  <m:dPr>
                                    <m:ctrlPr>
                                      <a:rPr lang="en-US" sz="1400" b="0" i="1" baseline="0">
                                        <a:solidFill>
                                          <a:schemeClr val="tx1"/>
                                        </a:solidFill>
                                        <a:effectLst/>
                                        <a:latin typeface="Cambria Math" panose="02040503050406030204" pitchFamily="18" charset="0"/>
                                        <a:ea typeface="+mn-ea"/>
                                        <a:cs typeface="+mn-cs"/>
                                      </a:rPr>
                                    </m:ctrlPr>
                                  </m:dPr>
                                  <m:e>
                                    <m:r>
                                      <a:rPr lang="en-US" sz="1400" b="0" i="1" baseline="0">
                                        <a:solidFill>
                                          <a:schemeClr val="tx1"/>
                                        </a:solidFill>
                                        <a:effectLst/>
                                        <a:latin typeface="Cambria Math" panose="02040503050406030204" pitchFamily="18" charset="0"/>
                                        <a:ea typeface="+mn-ea"/>
                                        <a:cs typeface="+mn-cs"/>
                                      </a:rPr>
                                      <m:t>𝑙</m:t>
                                    </m:r>
                                  </m:e>
                                </m:d>
                              </m:sub>
                            </m:sSub>
                          </m:sub>
                        </m:sSub>
                        <m:r>
                          <a:rPr lang="en-US" sz="1400" b="0" i="1" baseline="0">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𝑀</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𝑏</m:t>
                            </m:r>
                          </m:e>
                          <m:sub>
                            <m:r>
                              <a:rPr lang="en-US" sz="1400" b="0" i="1" baseline="-25000">
                                <a:solidFill>
                                  <a:schemeClr val="tx1"/>
                                </a:solidFill>
                                <a:effectLst/>
                                <a:latin typeface="Cambria Math" panose="02040503050406030204" pitchFamily="18" charset="0"/>
                                <a:ea typeface="+mn-ea"/>
                                <a:cs typeface="+mn-cs"/>
                              </a:rPr>
                              <m:t>𝑇</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𝑃</m:t>
                                </m:r>
                              </m:e>
                              <m:sub>
                                <m:r>
                                  <a:rPr lang="en-US" sz="1400" b="0" i="1" baseline="-25000">
                                    <a:solidFill>
                                      <a:schemeClr val="tx1"/>
                                    </a:solidFill>
                                    <a:effectLst/>
                                    <a:latin typeface="Cambria Math" panose="02040503050406030204" pitchFamily="18" charset="0"/>
                                    <a:ea typeface="+mn-ea"/>
                                    <a:cs typeface="+mn-cs"/>
                                  </a:rPr>
                                  <m:t>𝑖𝑛𝑡𝑒𝑟</m:t>
                                </m:r>
                                <m:d>
                                  <m:dPr>
                                    <m:ctrlPr>
                                      <a:rPr lang="en-US" sz="1400" b="0" i="1" baseline="0">
                                        <a:solidFill>
                                          <a:schemeClr val="tx1"/>
                                        </a:solidFill>
                                        <a:effectLst/>
                                        <a:latin typeface="Cambria Math" panose="02040503050406030204" pitchFamily="18" charset="0"/>
                                        <a:ea typeface="+mn-ea"/>
                                        <a:cs typeface="+mn-cs"/>
                                      </a:rPr>
                                    </m:ctrlPr>
                                  </m:dPr>
                                  <m:e>
                                    <m:r>
                                      <a:rPr lang="en-US" sz="1400" b="0" i="1" baseline="0">
                                        <a:solidFill>
                                          <a:schemeClr val="tx1"/>
                                        </a:solidFill>
                                        <a:effectLst/>
                                        <a:latin typeface="Cambria Math" panose="02040503050406030204" pitchFamily="18" charset="0"/>
                                        <a:ea typeface="+mn-ea"/>
                                        <a:cs typeface="+mn-cs"/>
                                      </a:rPr>
                                      <m:t>𝑙</m:t>
                                    </m:r>
                                  </m:e>
                                </m:d>
                              </m:sub>
                            </m:sSub>
                          </m:sub>
                        </m:sSub>
                        <m:r>
                          <a:rPr lang="en-US" sz="1400" b="0" i="1" baseline="0">
                            <a:solidFill>
                              <a:srgbClr val="0033CC"/>
                            </a:solidFill>
                            <a:effectLst/>
                            <a:latin typeface="Cambria Math" panose="02040503050406030204" pitchFamily="18" charset="0"/>
                            <a:ea typeface="+mn-ea"/>
                            <a:cs typeface="+mn-cs"/>
                          </a:rPr>
                          <m:t>+2 </m:t>
                        </m:r>
                        <m:r>
                          <a:rPr lang="en-US" sz="1100" b="0" i="1" baseline="0">
                            <a:solidFill>
                              <a:srgbClr val="0033CC"/>
                            </a:solidFill>
                            <a:effectLst/>
                            <a:latin typeface="Cambria Math" panose="02040503050406030204" pitchFamily="18" charset="0"/>
                            <a:ea typeface="+mn-ea"/>
                            <a:cs typeface="+mn-cs"/>
                          </a:rPr>
                          <m:t>𝑀𝑏</m:t>
                        </m:r>
                        <m:r>
                          <a:rPr lang="en-US" sz="1100" b="0" i="1" baseline="-25000">
                            <a:solidFill>
                              <a:srgbClr val="0033CC"/>
                            </a:solidFill>
                            <a:effectLst/>
                            <a:latin typeface="Cambria Math" panose="02040503050406030204" pitchFamily="18" charset="0"/>
                            <a:ea typeface="+mn-ea"/>
                            <a:cs typeface="+mn-cs"/>
                          </a:rPr>
                          <m:t>_</m:t>
                        </m:r>
                        <m:r>
                          <a:rPr lang="en-US" sz="1100" b="0" i="1" baseline="-25000">
                            <a:solidFill>
                              <a:srgbClr val="0033CC"/>
                            </a:solidFill>
                            <a:effectLst/>
                            <a:latin typeface="Cambria Math" panose="02040503050406030204" pitchFamily="18" charset="0"/>
                            <a:ea typeface="+mn-ea"/>
                            <a:cs typeface="+mn-cs"/>
                          </a:rPr>
                          <m:t>𝑀𝑜𝐸</m:t>
                        </m:r>
                      </m:e>
                    </m:d>
                    <m:r>
                      <a:rPr lang="en-US" sz="1400" b="0" i="0" baseline="0">
                        <a:solidFill>
                          <a:schemeClr val="tx1"/>
                        </a:solidFill>
                        <a:effectLst/>
                        <a:latin typeface="Cambria Math" panose="02040503050406030204" pitchFamily="18" charset="0"/>
                        <a:ea typeface="+mn-ea"/>
                        <a:cs typeface="+mn-cs"/>
                      </a:rPr>
                      <m:t>+</m:t>
                    </m:r>
                    <m:r>
                      <m:rPr>
                        <m:sty m:val="p"/>
                      </m:rPr>
                      <a:rPr lang="en-US" sz="1400" b="0" i="0" baseline="0">
                        <a:solidFill>
                          <a:schemeClr val="tx1"/>
                        </a:solidFill>
                        <a:effectLst/>
                        <a:latin typeface="Cambria Math" panose="02040503050406030204" pitchFamily="18" charset="0"/>
                        <a:ea typeface="+mn-ea"/>
                        <a:cs typeface="+mn-cs"/>
                      </a:rPr>
                      <m:t>max</m:t>
                    </m:r>
                    <m:d>
                      <m:dPr>
                        <m:begChr m:val="["/>
                        <m:endChr m:val="]"/>
                        <m:ctrlPr>
                          <a:rPr lang="en-US" sz="1400" b="0" i="1">
                            <a:solidFill>
                              <a:schemeClr val="tx1"/>
                            </a:solidFill>
                            <a:effectLst/>
                            <a:latin typeface="Cambria Math" panose="02040503050406030204" pitchFamily="18" charset="0"/>
                            <a:ea typeface="+mn-ea"/>
                            <a:cs typeface="+mn-cs"/>
                          </a:rPr>
                        </m:ctrlPr>
                      </m:dPr>
                      <m:e>
                        <m:r>
                          <a:rPr lang="en-US" sz="1400" b="0" i="1">
                            <a:solidFill>
                              <a:schemeClr val="tx1"/>
                            </a:solidFill>
                            <a:effectLst/>
                            <a:latin typeface="Cambria Math" panose="02040503050406030204" pitchFamily="18" charset="0"/>
                            <a:ea typeface="+mn-ea"/>
                            <a:cs typeface="+mn-cs"/>
                          </a:rPr>
                          <m:t>𝑀</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𝑏</m:t>
                            </m:r>
                          </m:e>
                          <m:sub>
                            <m:r>
                              <a:rPr lang="en-US" sz="1400" b="0" i="1" baseline="-25000">
                                <a:solidFill>
                                  <a:schemeClr val="tx1"/>
                                </a:solidFill>
                                <a:effectLst/>
                                <a:latin typeface="Cambria Math" panose="02040503050406030204" pitchFamily="18" charset="0"/>
                                <a:ea typeface="+mn-ea"/>
                                <a:cs typeface="+mn-cs"/>
                              </a:rPr>
                              <m:t>𝑃</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𝑃</m:t>
                                </m:r>
                              </m:e>
                              <m:sub>
                                <m:r>
                                  <a:rPr lang="en-US" sz="1400" b="0" i="1" baseline="-25000">
                                    <a:solidFill>
                                      <a:schemeClr val="tx1"/>
                                    </a:solidFill>
                                    <a:effectLst/>
                                    <a:latin typeface="Cambria Math" panose="02040503050406030204" pitchFamily="18" charset="0"/>
                                    <a:ea typeface="+mn-ea"/>
                                    <a:cs typeface="+mn-cs"/>
                                  </a:rPr>
                                  <m:t>𝑖𝑛𝑡𝑟𝑎</m:t>
                                </m:r>
                                <m:d>
                                  <m:dPr>
                                    <m:ctrlPr>
                                      <a:rPr lang="en-US" sz="1400" b="0" i="1" baseline="0">
                                        <a:solidFill>
                                          <a:schemeClr val="tx1"/>
                                        </a:solidFill>
                                        <a:effectLst/>
                                        <a:latin typeface="Cambria Math" panose="02040503050406030204" pitchFamily="18" charset="0"/>
                                        <a:ea typeface="+mn-ea"/>
                                        <a:cs typeface="+mn-cs"/>
                                      </a:rPr>
                                    </m:ctrlPr>
                                  </m:dPr>
                                  <m:e>
                                    <m:r>
                                      <a:rPr lang="en-US" sz="1400" b="0" i="1" baseline="0">
                                        <a:solidFill>
                                          <a:schemeClr val="tx1"/>
                                        </a:solidFill>
                                        <a:effectLst/>
                                        <a:latin typeface="Cambria Math" panose="02040503050406030204" pitchFamily="18" charset="0"/>
                                        <a:ea typeface="+mn-ea"/>
                                        <a:cs typeface="+mn-cs"/>
                                      </a:rPr>
                                      <m:t>𝑙</m:t>
                                    </m:r>
                                  </m:e>
                                </m:d>
                              </m:sub>
                            </m:sSub>
                          </m:sub>
                        </m:sSub>
                        <m:r>
                          <a:rPr lang="en-US" sz="1400" b="0" i="1" baseline="0">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𝑀</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𝑏</m:t>
                            </m:r>
                          </m:e>
                          <m:sub>
                            <m:r>
                              <a:rPr lang="en-US" sz="1400" b="0" i="1" baseline="-25000">
                                <a:solidFill>
                                  <a:schemeClr val="tx1"/>
                                </a:solidFill>
                                <a:effectLst/>
                                <a:latin typeface="Cambria Math" panose="02040503050406030204" pitchFamily="18" charset="0"/>
                                <a:ea typeface="+mn-ea"/>
                                <a:cs typeface="+mn-cs"/>
                              </a:rPr>
                              <m:t>𝑃</m:t>
                            </m:r>
                            <m:sSub>
                              <m:sSubPr>
                                <m:ctrlPr>
                                  <a:rPr lang="en-US" sz="1400" b="0" i="1" baseline="-25000">
                                    <a:solidFill>
                                      <a:schemeClr val="tx1"/>
                                    </a:solidFill>
                                    <a:effectLst/>
                                    <a:latin typeface="Cambria Math" panose="02040503050406030204" pitchFamily="18" charset="0"/>
                                    <a:ea typeface="+mn-ea"/>
                                    <a:cs typeface="+mn-cs"/>
                                  </a:rPr>
                                </m:ctrlPr>
                              </m:sSubPr>
                              <m:e>
                                <m:r>
                                  <a:rPr lang="en-US" sz="1400" b="0" i="1" baseline="-25000">
                                    <a:solidFill>
                                      <a:schemeClr val="tx1"/>
                                    </a:solidFill>
                                    <a:effectLst/>
                                    <a:latin typeface="Cambria Math" panose="02040503050406030204" pitchFamily="18" charset="0"/>
                                    <a:ea typeface="+mn-ea"/>
                                    <a:cs typeface="+mn-cs"/>
                                  </a:rPr>
                                  <m:t>𝑃</m:t>
                                </m:r>
                              </m:e>
                              <m:sub>
                                <m:r>
                                  <a:rPr lang="en-US" sz="1400" b="0" i="1" baseline="-25000">
                                    <a:solidFill>
                                      <a:schemeClr val="tx1"/>
                                    </a:solidFill>
                                    <a:effectLst/>
                                    <a:latin typeface="Cambria Math" panose="02040503050406030204" pitchFamily="18" charset="0"/>
                                    <a:ea typeface="+mn-ea"/>
                                    <a:cs typeface="+mn-cs"/>
                                  </a:rPr>
                                  <m:t>𝑖𝑛𝑡𝑒𝑟</m:t>
                                </m:r>
                                <m:d>
                                  <m:dPr>
                                    <m:ctrlPr>
                                      <a:rPr lang="en-US" sz="1400" b="0" i="1" baseline="0">
                                        <a:solidFill>
                                          <a:schemeClr val="tx1"/>
                                        </a:solidFill>
                                        <a:effectLst/>
                                        <a:latin typeface="Cambria Math" panose="02040503050406030204" pitchFamily="18" charset="0"/>
                                        <a:ea typeface="+mn-ea"/>
                                        <a:cs typeface="+mn-cs"/>
                                      </a:rPr>
                                    </m:ctrlPr>
                                  </m:dPr>
                                  <m:e>
                                    <m:r>
                                      <a:rPr lang="en-US" sz="1400" b="0" i="1" baseline="0">
                                        <a:solidFill>
                                          <a:schemeClr val="tx1"/>
                                        </a:solidFill>
                                        <a:effectLst/>
                                        <a:latin typeface="Cambria Math" panose="02040503050406030204" pitchFamily="18" charset="0"/>
                                        <a:ea typeface="+mn-ea"/>
                                        <a:cs typeface="+mn-cs"/>
                                      </a:rPr>
                                      <m:t>𝑙</m:t>
                                    </m:r>
                                  </m:e>
                                </m:d>
                              </m:sub>
                            </m:sSub>
                          </m:sub>
                        </m:sSub>
                      </m:e>
                    </m:d>
                    <m:r>
                      <a:rPr lang="en-US" sz="14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m:t>
                    </m:r>
                    <m:r>
                      <a:rPr lang="en-US" sz="1100" b="0" i="1" baseline="0">
                        <a:solidFill>
                          <a:srgbClr val="FF0000"/>
                        </a:solidFill>
                        <a:effectLst/>
                        <a:latin typeface="Cambria Math" panose="02040503050406030204" pitchFamily="18" charset="0"/>
                        <a:ea typeface="+mn-ea"/>
                        <a:cs typeface="+mn-cs"/>
                      </a:rPr>
                      <m:t>(1+</m:t>
                    </m:r>
                    <m:sSub>
                      <m:sSubPr>
                        <m:ctrlPr>
                          <a:rPr lang="en-US" sz="1100" b="0" i="1" baseline="0">
                            <a:solidFill>
                              <a:srgbClr val="FF0000"/>
                            </a:solidFill>
                            <a:effectLst/>
                            <a:latin typeface="Cambria Math" panose="02040503050406030204" pitchFamily="18" charset="0"/>
                            <a:ea typeface="+mn-ea"/>
                            <a:cs typeface="+mn-cs"/>
                          </a:rPr>
                        </m:ctrlPr>
                      </m:sSubPr>
                      <m:e>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𝑀</m:t>
                            </m:r>
                          </m:e>
                          <m:sub>
                            <m:r>
                              <a:rPr lang="en-US" sz="1100" b="0" i="1" baseline="0">
                                <a:solidFill>
                                  <a:srgbClr val="FF0000"/>
                                </a:solidFill>
                                <a:effectLst/>
                                <a:latin typeface="Cambria Math" panose="02040503050406030204" pitchFamily="18" charset="0"/>
                                <a:ea typeface="+mn-ea"/>
                                <a:cs typeface="+mn-cs"/>
                              </a:rPr>
                              <m:t>𝑓</m:t>
                            </m:r>
                          </m:sub>
                        </m:sSub>
                      </m:e>
                      <m:sub>
                        <m:r>
                          <a:rPr lang="en-US" sz="1100" b="0" i="1" baseline="0">
                            <a:solidFill>
                              <a:srgbClr val="FF0000"/>
                            </a:solidFill>
                            <a:effectLst/>
                            <a:latin typeface="Cambria Math" panose="02040503050406030204" pitchFamily="18" charset="0"/>
                            <a:ea typeface="+mn-ea"/>
                            <a:cs typeface="+mn-cs"/>
                          </a:rPr>
                          <m:t>𝐷𝑃</m:t>
                        </m:r>
                      </m:sub>
                    </m:sSub>
                    <m:r>
                      <a:rPr lang="en-US" sz="1100" b="0" i="1" baseline="0">
                        <a:solidFill>
                          <a:srgbClr val="FF0000"/>
                        </a:solidFill>
                        <a:effectLst/>
                        <a:latin typeface="Cambria Math" panose="02040503050406030204" pitchFamily="18" charset="0"/>
                        <a:ea typeface="+mn-ea"/>
                        <a:cs typeface="+mn-cs"/>
                      </a:rPr>
                      <m:t>(</m:t>
                    </m:r>
                    <m:r>
                      <a:rPr lang="en-US" sz="1100" b="0" i="1" baseline="0">
                        <a:solidFill>
                          <a:srgbClr val="FF0000"/>
                        </a:solidFill>
                        <a:effectLst/>
                        <a:latin typeface="Cambria Math" panose="02040503050406030204" pitchFamily="18" charset="0"/>
                        <a:ea typeface="+mn-ea"/>
                        <a:cs typeface="+mn-cs"/>
                      </a:rPr>
                      <m:t>𝑙</m:t>
                    </m:r>
                    <m:r>
                      <a:rPr lang="en-US" sz="1100" b="0" i="1" baseline="0">
                        <a:solidFill>
                          <a:srgbClr val="FF0000"/>
                        </a:solidFill>
                        <a:effectLst/>
                        <a:latin typeface="Cambria Math" panose="02040503050406030204" pitchFamily="18" charset="0"/>
                        <a:ea typeface="+mn-ea"/>
                        <a:cs typeface="+mn-cs"/>
                      </a:rPr>
                      <m:t>))</m:t>
                    </m:r>
                  </m:oMath>
                </m:oMathPara>
              </a14:m>
              <a:endParaRPr lang="nl-BE" sz="1400">
                <a:solidFill>
                  <a:srgbClr val="FF0000"/>
                </a:solidFill>
                <a:effectLst/>
              </a:endParaRPr>
            </a:p>
            <a:p>
              <a:endParaRPr lang="nl-B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tx1"/>
                  </a:solidFill>
                  <a:effectLst/>
                  <a:latin typeface="+mn-lt"/>
                  <a:ea typeface="+mn-ea"/>
                  <a:cs typeface="+mn-cs"/>
                </a:rPr>
                <a:t>Tensor model parallelism + Pipeline model parallelism + </a:t>
              </a:r>
              <a:r>
                <a:rPr lang="en-GB" sz="1100" baseline="0">
                  <a:solidFill>
                    <a:srgbClr val="FF0000"/>
                  </a:solidFill>
                  <a:effectLst/>
                  <a:latin typeface="+mn-lt"/>
                  <a:ea typeface="+mn-ea"/>
                  <a:cs typeface="+mn-cs"/>
                </a:rPr>
                <a:t>simple overhead of zero DP</a:t>
              </a:r>
              <a:endParaRPr lang="nl-BE">
                <a:solidFill>
                  <a:srgbClr val="FF0000"/>
                </a:solidFill>
                <a:effectLst/>
              </a:endParaRPr>
            </a:p>
            <a:p>
              <a:endParaRPr lang="nl-BE">
                <a:effectLst/>
              </a:endParaRPr>
            </a:p>
            <a:p>
              <a:endParaRPr lang="en-GB" sz="1100">
                <a:solidFill>
                  <a:srgbClr val="FF0000"/>
                </a:solidFill>
              </a:endParaRPr>
            </a:p>
          </xdr:txBody>
        </xdr:sp>
      </mc:Choice>
      <mc:Fallback xmlns="">
        <xdr:sp macro="" textlink="">
          <xdr:nvSpPr>
            <xdr:cNvPr id="114" name="TextBox 95">
              <a:extLst>
                <a:ext uri="{FF2B5EF4-FFF2-40B4-BE49-F238E27FC236}">
                  <a16:creationId xmlns:a16="http://schemas.microsoft.com/office/drawing/2014/main" id="{1712F0F0-5952-40B6-84D9-A78D2C61AB17}"/>
                </a:ext>
              </a:extLst>
            </xdr:cNvPr>
            <xdr:cNvSpPr txBox="1"/>
          </xdr:nvSpPr>
          <xdr:spPr>
            <a:xfrm>
              <a:off x="3254374" y="61697152"/>
              <a:ext cx="7699375" cy="7239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tx1"/>
                  </a:solidFill>
                  <a:effectLst/>
                  <a:latin typeface="Cambria Math" panose="02040503050406030204" pitchFamily="18" charset="0"/>
                  <a:ea typeface="+mn-ea"/>
                  <a:cs typeface="+mn-cs"/>
                </a:rPr>
                <a:t>𝑀</a:t>
              </a:r>
              <a:r>
                <a:rPr lang="en-US" sz="1400" b="0" i="0" baseline="-25000">
                  <a:solidFill>
                    <a:schemeClr val="tx1"/>
                  </a:solidFill>
                  <a:effectLst/>
                  <a:latin typeface="Cambria Math" panose="02040503050406030204" pitchFamily="18" charset="0"/>
                  <a:ea typeface="+mn-ea"/>
                  <a:cs typeface="+mn-cs"/>
                </a:rPr>
                <a:t>𝑏</a:t>
              </a:r>
              <a:r>
                <a:rPr lang="en-US" sz="1400" b="0" i="0" baseline="0">
                  <a:solidFill>
                    <a:schemeClr val="tx1"/>
                  </a:solidFill>
                  <a:effectLst/>
                  <a:latin typeface="Cambria Math" panose="02040503050406030204" pitchFamily="18" charset="0"/>
                  <a:ea typeface="+mn-ea"/>
                  <a:cs typeface="+mn-cs"/>
                </a:rPr>
                <a:t>(𝑙)= </a:t>
              </a:r>
              <a:r>
                <a:rPr lang="en-GB" sz="1400" i="0">
                  <a:solidFill>
                    <a:schemeClr val="tx1"/>
                  </a:solidFill>
                  <a:effectLst/>
                  <a:latin typeface="Cambria Math" panose="02040503050406030204" pitchFamily="18" charset="0"/>
                  <a:ea typeface="+mn-ea"/>
                  <a:cs typeface="+mn-cs"/>
                </a:rPr>
                <a:t> </a:t>
              </a:r>
              <a:r>
                <a:rPr lang="en-US" sz="1400" b="0" i="0">
                  <a:solidFill>
                    <a:schemeClr val="tx1"/>
                  </a:solidFill>
                  <a:effectLst/>
                  <a:latin typeface="Cambria Math" panose="02040503050406030204" pitchFamily="18" charset="0"/>
                  <a:ea typeface="+mn-ea"/>
                  <a:cs typeface="+mn-cs"/>
                </a:rPr>
                <a:t>{[𝑀</a:t>
              </a:r>
              <a:r>
                <a:rPr lang="en-US" sz="1400" b="0" i="0" baseline="-25000">
                  <a:solidFill>
                    <a:schemeClr val="tx1"/>
                  </a:solidFill>
                  <a:effectLst/>
                  <a:latin typeface="Cambria Math" panose="02040503050406030204" pitchFamily="18" charset="0"/>
                  <a:ea typeface="+mn-ea"/>
                  <a:cs typeface="+mn-cs"/>
                </a:rPr>
                <a:t>𝑏_(𝑇𝑃_𝑖𝑛𝑡𝑟𝑎</a:t>
              </a:r>
              <a:r>
                <a:rPr lang="en-US" sz="1400" b="0" i="0" baseline="0">
                  <a:solidFill>
                    <a:schemeClr val="tx1"/>
                  </a:solidFill>
                  <a:effectLst/>
                  <a:latin typeface="Cambria Math" panose="02040503050406030204" pitchFamily="18" charset="0"/>
                  <a:ea typeface="+mn-ea"/>
                  <a:cs typeface="+mn-cs"/>
                </a:rPr>
                <a:t>(𝑙)  </a:t>
              </a:r>
              <a:r>
                <a:rPr lang="en-US" sz="1400" b="0" i="0" baseline="-25000">
                  <a:solidFill>
                    <a:schemeClr val="tx1"/>
                  </a:solidFill>
                  <a:effectLst/>
                  <a:latin typeface="Cambria Math" panose="02040503050406030204" pitchFamily="18" charset="0"/>
                  <a:ea typeface="+mn-ea"/>
                  <a:cs typeface="+mn-cs"/>
                </a:rPr>
                <a:t>)</a:t>
              </a:r>
              <a:r>
                <a:rPr lang="en-US" sz="1400" b="0" i="0" baseline="0">
                  <a:solidFill>
                    <a:schemeClr val="tx1"/>
                  </a:solidFill>
                  <a:effectLst/>
                  <a:latin typeface="Cambria Math" panose="02040503050406030204" pitchFamily="18" charset="0"/>
                  <a:ea typeface="+mn-ea"/>
                  <a:cs typeface="+mn-cs"/>
                </a:rPr>
                <a:t>,+</a:t>
              </a:r>
              <a:r>
                <a:rPr lang="en-US" sz="1400" b="0" i="0">
                  <a:solidFill>
                    <a:schemeClr val="tx1"/>
                  </a:solidFill>
                  <a:effectLst/>
                  <a:latin typeface="Cambria Math" panose="02040503050406030204" pitchFamily="18" charset="0"/>
                  <a:ea typeface="+mn-ea"/>
                  <a:cs typeface="+mn-cs"/>
                </a:rPr>
                <a:t>𝑀</a:t>
              </a:r>
              <a:r>
                <a:rPr lang="en-US" sz="1400" b="0" i="0" baseline="-25000">
                  <a:solidFill>
                    <a:schemeClr val="tx1"/>
                  </a:solidFill>
                  <a:effectLst/>
                  <a:latin typeface="Cambria Math" panose="02040503050406030204" pitchFamily="18" charset="0"/>
                  <a:ea typeface="+mn-ea"/>
                  <a:cs typeface="+mn-cs"/>
                </a:rPr>
                <a:t>𝑏_(𝑇𝑃_𝑖𝑛𝑡𝑒𝑟</a:t>
              </a:r>
              <a:r>
                <a:rPr lang="en-US" sz="1400" b="0" i="0" baseline="0">
                  <a:solidFill>
                    <a:schemeClr val="tx1"/>
                  </a:solidFill>
                  <a:effectLst/>
                  <a:latin typeface="Cambria Math" panose="02040503050406030204" pitchFamily="18" charset="0"/>
                  <a:ea typeface="+mn-ea"/>
                  <a:cs typeface="+mn-cs"/>
                </a:rPr>
                <a:t>(𝑙)  </a:t>
              </a:r>
              <a:r>
                <a:rPr lang="en-US" sz="1400" b="0" i="0" baseline="-25000">
                  <a:solidFill>
                    <a:schemeClr val="tx1"/>
                  </a:solidFill>
                  <a:effectLst/>
                  <a:latin typeface="Cambria Math" panose="02040503050406030204" pitchFamily="18" charset="0"/>
                  <a:ea typeface="+mn-ea"/>
                  <a:cs typeface="+mn-cs"/>
                </a:rPr>
                <a:t>)</a:t>
              </a:r>
              <a:r>
                <a:rPr lang="en-US" sz="1400" b="0" i="0" baseline="0">
                  <a:solidFill>
                    <a:srgbClr val="0033CC"/>
                  </a:solidFill>
                  <a:effectLst/>
                  <a:latin typeface="Cambria Math" panose="02040503050406030204" pitchFamily="18" charset="0"/>
                  <a:ea typeface="+mn-ea"/>
                  <a:cs typeface="+mn-cs"/>
                </a:rPr>
                <a:t>+2 </a:t>
              </a:r>
              <a:r>
                <a:rPr lang="en-US" sz="1100" b="0" i="0" baseline="0">
                  <a:solidFill>
                    <a:srgbClr val="0033CC"/>
                  </a:solidFill>
                  <a:effectLst/>
                  <a:latin typeface="+mn-lt"/>
                  <a:ea typeface="+mn-ea"/>
                  <a:cs typeface="+mn-cs"/>
                </a:rPr>
                <a:t>𝑀</a:t>
              </a:r>
              <a:r>
                <a:rPr lang="en-US" sz="1100" b="0" i="0" baseline="0">
                  <a:solidFill>
                    <a:srgbClr val="0033CC"/>
                  </a:solidFill>
                  <a:effectLst/>
                  <a:latin typeface="Cambria Math" panose="02040503050406030204" pitchFamily="18" charset="0"/>
                  <a:ea typeface="+mn-ea"/>
                  <a:cs typeface="+mn-cs"/>
                </a:rPr>
                <a:t>𝑏</a:t>
              </a:r>
              <a:r>
                <a:rPr lang="en-US" sz="1100" b="0" i="0" baseline="-25000">
                  <a:solidFill>
                    <a:srgbClr val="0033CC"/>
                  </a:solidFill>
                  <a:effectLst/>
                  <a:latin typeface="+mn-lt"/>
                  <a:ea typeface="+mn-ea"/>
                  <a:cs typeface="+mn-cs"/>
                </a:rPr>
                <a:t>_𝑀𝑜𝐸</a:t>
              </a:r>
              <a:r>
                <a:rPr lang="en-US" sz="1400" b="0" i="0" baseline="0">
                  <a:solidFill>
                    <a:schemeClr val="tx1"/>
                  </a:solidFill>
                  <a:effectLst/>
                  <a:latin typeface="Cambria Math" panose="02040503050406030204" pitchFamily="18" charset="0"/>
                  <a:ea typeface="+mn-ea"/>
                  <a:cs typeface="+mn-cs"/>
                </a:rPr>
                <a:t>]+max</a:t>
              </a:r>
              <a:r>
                <a:rPr lang="en-US" sz="1400" b="0" i="0">
                  <a:solidFill>
                    <a:schemeClr val="tx1"/>
                  </a:solidFill>
                  <a:effectLst/>
                  <a:latin typeface="Cambria Math" panose="02040503050406030204" pitchFamily="18" charset="0"/>
                  <a:ea typeface="+mn-ea"/>
                  <a:cs typeface="+mn-cs"/>
                </a:rPr>
                <a:t>[𝑀</a:t>
              </a:r>
              <a:r>
                <a:rPr lang="en-US" sz="1400" b="0" i="0" baseline="-25000">
                  <a:solidFill>
                    <a:schemeClr val="tx1"/>
                  </a:solidFill>
                  <a:effectLst/>
                  <a:latin typeface="Cambria Math" panose="02040503050406030204" pitchFamily="18" charset="0"/>
                  <a:ea typeface="+mn-ea"/>
                  <a:cs typeface="+mn-cs"/>
                </a:rPr>
                <a:t>𝑏_(𝑃𝑃_𝑖𝑛𝑡𝑟𝑎</a:t>
              </a:r>
              <a:r>
                <a:rPr lang="en-US" sz="1400" b="0" i="0" baseline="0">
                  <a:solidFill>
                    <a:schemeClr val="tx1"/>
                  </a:solidFill>
                  <a:effectLst/>
                  <a:latin typeface="Cambria Math" panose="02040503050406030204" pitchFamily="18" charset="0"/>
                  <a:ea typeface="+mn-ea"/>
                  <a:cs typeface="+mn-cs"/>
                </a:rPr>
                <a:t>(𝑙)  </a:t>
              </a:r>
              <a:r>
                <a:rPr lang="en-US" sz="1400" b="0" i="0" baseline="-25000">
                  <a:solidFill>
                    <a:schemeClr val="tx1"/>
                  </a:solidFill>
                  <a:effectLst/>
                  <a:latin typeface="Cambria Math" panose="02040503050406030204" pitchFamily="18" charset="0"/>
                  <a:ea typeface="+mn-ea"/>
                  <a:cs typeface="+mn-cs"/>
                </a:rPr>
                <a:t>)</a:t>
              </a:r>
              <a:r>
                <a:rPr lang="en-US" sz="1400" b="0" i="0" baseline="0">
                  <a:solidFill>
                    <a:schemeClr val="tx1"/>
                  </a:solidFill>
                  <a:effectLst/>
                  <a:latin typeface="Cambria Math" panose="02040503050406030204" pitchFamily="18" charset="0"/>
                  <a:ea typeface="+mn-ea"/>
                  <a:cs typeface="+mn-cs"/>
                </a:rPr>
                <a:t>,</a:t>
              </a:r>
              <a:r>
                <a:rPr lang="en-US" sz="1400" b="0" i="0">
                  <a:solidFill>
                    <a:schemeClr val="tx1"/>
                  </a:solidFill>
                  <a:effectLst/>
                  <a:latin typeface="Cambria Math" panose="02040503050406030204" pitchFamily="18" charset="0"/>
                  <a:ea typeface="+mn-ea"/>
                  <a:cs typeface="+mn-cs"/>
                </a:rPr>
                <a:t>𝑀</a:t>
              </a:r>
              <a:r>
                <a:rPr lang="en-US" sz="1400" b="0" i="0" baseline="-25000">
                  <a:solidFill>
                    <a:schemeClr val="tx1"/>
                  </a:solidFill>
                  <a:effectLst/>
                  <a:latin typeface="Cambria Math" panose="02040503050406030204" pitchFamily="18" charset="0"/>
                  <a:ea typeface="+mn-ea"/>
                  <a:cs typeface="+mn-cs"/>
                </a:rPr>
                <a:t>𝑏_(𝑃𝑃_𝑖𝑛𝑡𝑒𝑟</a:t>
              </a:r>
              <a:r>
                <a:rPr lang="en-US" sz="1400" b="0" i="0" baseline="0">
                  <a:solidFill>
                    <a:schemeClr val="tx1"/>
                  </a:solidFill>
                  <a:effectLst/>
                  <a:latin typeface="Cambria Math" panose="02040503050406030204" pitchFamily="18" charset="0"/>
                  <a:ea typeface="+mn-ea"/>
                  <a:cs typeface="+mn-cs"/>
                </a:rPr>
                <a:t>(𝑙)  </a:t>
              </a:r>
              <a:r>
                <a:rPr lang="en-US" sz="1400" b="0" i="0" baseline="-25000">
                  <a:solidFill>
                    <a:schemeClr val="tx1"/>
                  </a:solidFill>
                  <a:effectLst/>
                  <a:latin typeface="Cambria Math" panose="02040503050406030204" pitchFamily="18" charset="0"/>
                  <a:ea typeface="+mn-ea"/>
                  <a:cs typeface="+mn-cs"/>
                </a:rPr>
                <a:t>)</a:t>
              </a:r>
              <a:r>
                <a:rPr lang="en-US" sz="1400" b="0" i="0" baseline="0">
                  <a:solidFill>
                    <a:schemeClr val="tx1"/>
                  </a:solidFill>
                  <a:effectLst/>
                  <a:latin typeface="Cambria Math" panose="02040503050406030204" pitchFamily="18" charset="0"/>
                  <a:ea typeface="+mn-ea"/>
                  <a:cs typeface="+mn-cs"/>
                </a:rPr>
                <a:t> ]}</a:t>
              </a:r>
              <a:r>
                <a:rPr lang="en-US" sz="1100" b="0" i="0" baseline="0">
                  <a:solidFill>
                    <a:schemeClr val="tx1"/>
                  </a:solidFill>
                  <a:effectLst/>
                  <a:latin typeface="Cambria Math" panose="02040503050406030204" pitchFamily="18" charset="0"/>
                  <a:ea typeface="+mn-ea"/>
                  <a:cs typeface="+mn-cs"/>
                </a:rPr>
                <a:t>∗</a:t>
              </a:r>
              <a:r>
                <a:rPr lang="en-US" sz="1100" b="0" i="0" baseline="0">
                  <a:solidFill>
                    <a:srgbClr val="FF0000"/>
                  </a:solidFill>
                  <a:effectLst/>
                  <a:latin typeface="Cambria Math" panose="02040503050406030204" pitchFamily="18" charset="0"/>
                  <a:ea typeface="+mn-ea"/>
                  <a:cs typeface="+mn-cs"/>
                </a:rPr>
                <a:t>(1+〖𝑀_𝑓〗_𝐷𝑃 (𝑙))</a:t>
              </a:r>
              <a:endParaRPr lang="nl-BE" sz="1400">
                <a:solidFill>
                  <a:srgbClr val="FF0000"/>
                </a:solidFill>
                <a:effectLst/>
              </a:endParaRPr>
            </a:p>
            <a:p>
              <a:endParaRPr lang="nl-B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tx1"/>
                  </a:solidFill>
                  <a:effectLst/>
                  <a:latin typeface="+mn-lt"/>
                  <a:ea typeface="+mn-ea"/>
                  <a:cs typeface="+mn-cs"/>
                </a:rPr>
                <a:t>Tensor model parallelism + Pipeline model parallelism + </a:t>
              </a:r>
              <a:r>
                <a:rPr lang="en-GB" sz="1100" baseline="0">
                  <a:solidFill>
                    <a:srgbClr val="FF0000"/>
                  </a:solidFill>
                  <a:effectLst/>
                  <a:latin typeface="+mn-lt"/>
                  <a:ea typeface="+mn-ea"/>
                  <a:cs typeface="+mn-cs"/>
                </a:rPr>
                <a:t>simple overhead of zero DP</a:t>
              </a:r>
              <a:endParaRPr lang="nl-BE">
                <a:solidFill>
                  <a:srgbClr val="FF0000"/>
                </a:solidFill>
                <a:effectLst/>
              </a:endParaRPr>
            </a:p>
            <a:p>
              <a:endParaRPr lang="nl-BE">
                <a:effectLst/>
              </a:endParaRPr>
            </a:p>
            <a:p>
              <a:endParaRPr lang="en-GB" sz="1100">
                <a:solidFill>
                  <a:srgbClr val="FF0000"/>
                </a:solidFill>
              </a:endParaRPr>
            </a:p>
          </xdr:txBody>
        </xdr:sp>
      </mc:Fallback>
    </mc:AlternateContent>
    <xdr:clientData/>
  </xdr:oneCellAnchor>
  <xdr:oneCellAnchor>
    <xdr:from>
      <xdr:col>1</xdr:col>
      <xdr:colOff>0</xdr:colOff>
      <xdr:row>47</xdr:row>
      <xdr:rowOff>0</xdr:rowOff>
    </xdr:from>
    <xdr:ext cx="2505075" cy="619125"/>
    <mc:AlternateContent xmlns:mc="http://schemas.openxmlformats.org/markup-compatibility/2006" xmlns:a14="http://schemas.microsoft.com/office/drawing/2010/main">
      <mc:Choice Requires="a14">
        <xdr:sp macro="" textlink="">
          <xdr:nvSpPr>
            <xdr:cNvPr id="12" name="TextBox 76">
              <a:extLst>
                <a:ext uri="{FF2B5EF4-FFF2-40B4-BE49-F238E27FC236}">
                  <a16:creationId xmlns:a16="http://schemas.microsoft.com/office/drawing/2014/main" id="{CEA25224-0A22-4CAB-B617-4AF9F789E7A1}"/>
                </a:ext>
              </a:extLst>
            </xdr:cNvPr>
            <xdr:cNvSpPr txBox="1"/>
          </xdr:nvSpPr>
          <xdr:spPr>
            <a:xfrm>
              <a:off x="3255065" y="25949413"/>
              <a:ext cx="2505075" cy="619125"/>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200" b="0" i="1">
                          <a:solidFill>
                            <a:sysClr val="windowText" lastClr="000000"/>
                          </a:solidFill>
                          <a:latin typeface="Cambria Math" panose="02040503050406030204" pitchFamily="18" charset="0"/>
                        </a:rPr>
                      </m:ctrlPr>
                    </m:sSubPr>
                    <m:e>
                      <m:r>
                        <a:rPr lang="en-US" sz="1200" b="0" i="1">
                          <a:solidFill>
                            <a:sysClr val="windowText" lastClr="000000"/>
                          </a:solidFill>
                          <a:latin typeface="Cambria Math" panose="02040503050406030204" pitchFamily="18" charset="0"/>
                        </a:rPr>
                        <m:t>𝐶</m:t>
                      </m:r>
                    </m:e>
                    <m:sub>
                      <m:r>
                        <a:rPr lang="en-US" sz="1200" b="0" i="1">
                          <a:solidFill>
                            <a:sysClr val="windowText" lastClr="000000"/>
                          </a:solidFill>
                          <a:latin typeface="Cambria Math" panose="02040503050406030204" pitchFamily="18" charset="0"/>
                        </a:rPr>
                        <m:t>𝑀𝐴𝐶</m:t>
                      </m:r>
                    </m:sub>
                  </m:sSub>
                  <m:r>
                    <a:rPr lang="en-US" sz="1200" b="0" i="1">
                      <a:solidFill>
                        <a:sysClr val="windowText" lastClr="000000"/>
                      </a:solidFill>
                      <a:latin typeface="Cambria Math" panose="02040503050406030204" pitchFamily="18" charset="0"/>
                    </a:rPr>
                    <m:t>=</m:t>
                  </m:r>
                  <m:f>
                    <m:fPr>
                      <m:ctrlPr>
                        <a:rPr lang="en-US" sz="1200" b="0" i="1">
                          <a:solidFill>
                            <a:sysClr val="windowText" lastClr="000000"/>
                          </a:solidFill>
                          <a:latin typeface="Cambria Math" panose="02040503050406030204" pitchFamily="18" charset="0"/>
                        </a:rPr>
                      </m:ctrlPr>
                    </m:fPr>
                    <m:num>
                      <m:sSub>
                        <m:sSubPr>
                          <m:ctrlPr>
                            <a:rPr lang="en-US" sz="1200" b="0" i="1">
                              <a:solidFill>
                                <a:sysClr val="windowText" lastClr="000000"/>
                              </a:solidFill>
                              <a:latin typeface="Cambria Math" panose="02040503050406030204" pitchFamily="18" charset="0"/>
                            </a:rPr>
                          </m:ctrlPr>
                        </m:sSubPr>
                        <m:e>
                          <m:r>
                            <a:rPr lang="en-US" sz="1200" b="0" i="1">
                              <a:solidFill>
                                <a:sysClr val="windowText" lastClr="000000"/>
                              </a:solidFill>
                              <a:latin typeface="Cambria Math" panose="02040503050406030204" pitchFamily="18" charset="0"/>
                            </a:rPr>
                            <m:t>𝑆</m:t>
                          </m:r>
                        </m:e>
                        <m:sub>
                          <m:r>
                            <a:rPr lang="en-US" sz="1200" b="0" i="1">
                              <a:solidFill>
                                <a:sysClr val="windowText" lastClr="000000"/>
                              </a:solidFill>
                              <a:latin typeface="Cambria Math" panose="02040503050406030204" pitchFamily="18" charset="0"/>
                            </a:rPr>
                            <m:t>𝑜𝑝</m:t>
                          </m:r>
                        </m:sub>
                      </m:sSub>
                    </m:num>
                    <m:den>
                      <m:r>
                        <a:rPr lang="en-US" sz="1200" b="0" i="1">
                          <a:solidFill>
                            <a:sysClr val="windowText" lastClr="000000"/>
                          </a:solidFill>
                          <a:latin typeface="Cambria Math" panose="02040503050406030204" pitchFamily="18" charset="0"/>
                        </a:rPr>
                        <m:t>𝑓</m:t>
                      </m:r>
                      <m:r>
                        <a:rPr lang="en-US" sz="1200" b="0" i="1">
                          <a:solidFill>
                            <a:sysClr val="windowText" lastClr="000000"/>
                          </a:solidFill>
                          <a:latin typeface="Cambria Math" panose="02040503050406030204" pitchFamily="18" charset="0"/>
                        </a:rPr>
                        <m:t>∗</m:t>
                      </m:r>
                      <m:sSub>
                        <m:sSubPr>
                          <m:ctrlPr>
                            <a:rPr lang="en-US" sz="1200" b="0" i="1">
                              <a:solidFill>
                                <a:sysClr val="windowText" lastClr="000000"/>
                              </a:solidFill>
                              <a:latin typeface="Cambria Math" panose="02040503050406030204" pitchFamily="18" charset="0"/>
                            </a:rPr>
                          </m:ctrlPr>
                        </m:sSubPr>
                        <m:e>
                          <m:r>
                            <a:rPr lang="en-US" sz="1200" b="0" i="1">
                              <a:solidFill>
                                <a:sysClr val="windowText" lastClr="000000"/>
                              </a:solidFill>
                              <a:latin typeface="Cambria Math" panose="02040503050406030204" pitchFamily="18" charset="0"/>
                            </a:rPr>
                            <m:t>𝑁</m:t>
                          </m:r>
                        </m:e>
                        <m:sub>
                          <m:r>
                            <a:rPr lang="en-US" sz="1200" b="0" i="1">
                              <a:solidFill>
                                <a:sysClr val="windowText" lastClr="000000"/>
                              </a:solidFill>
                              <a:latin typeface="Cambria Math" panose="02040503050406030204" pitchFamily="18" charset="0"/>
                            </a:rPr>
                            <m:t>𝑐𝑜𝑟𝑒𝑠</m:t>
                          </m:r>
                        </m:sub>
                      </m:sSub>
                      <m:r>
                        <a:rPr lang="en-US" sz="1200" b="0" i="1">
                          <a:solidFill>
                            <a:sysClr val="windowText" lastClr="000000"/>
                          </a:solidFill>
                          <a:latin typeface="Cambria Math" panose="02040503050406030204" pitchFamily="18" charset="0"/>
                        </a:rPr>
                        <m:t>∗</m:t>
                      </m:r>
                      <m:sSub>
                        <m:sSubPr>
                          <m:ctrlPr>
                            <a:rPr lang="en-US" sz="1200" b="0" i="1">
                              <a:solidFill>
                                <a:sysClr val="windowText" lastClr="000000"/>
                              </a:solidFill>
                              <a:latin typeface="Cambria Math" panose="02040503050406030204" pitchFamily="18" charset="0"/>
                            </a:rPr>
                          </m:ctrlPr>
                        </m:sSubPr>
                        <m:e>
                          <m:r>
                            <a:rPr lang="en-US" sz="1200" b="0" i="1">
                              <a:solidFill>
                                <a:sysClr val="windowText" lastClr="000000"/>
                              </a:solidFill>
                              <a:latin typeface="Cambria Math" panose="02040503050406030204" pitchFamily="18" charset="0"/>
                            </a:rPr>
                            <m:t>𝑁</m:t>
                          </m:r>
                        </m:e>
                        <m:sub>
                          <m:r>
                            <a:rPr lang="en-US" sz="1200" b="0" i="1">
                              <a:solidFill>
                                <a:sysClr val="windowText" lastClr="000000"/>
                              </a:solidFill>
                              <a:latin typeface="Cambria Math" panose="02040503050406030204" pitchFamily="18" charset="0"/>
                            </a:rPr>
                            <m:t>𝐹𝑈</m:t>
                          </m:r>
                        </m:sub>
                      </m:sSub>
                      <m:r>
                        <a:rPr lang="en-US" sz="1200" b="0" i="1">
                          <a:solidFill>
                            <a:sysClr val="windowText" lastClr="000000"/>
                          </a:solidFill>
                          <a:latin typeface="Cambria Math" panose="02040503050406030204" pitchFamily="18" charset="0"/>
                        </a:rPr>
                        <m:t>∗</m:t>
                      </m:r>
                      <m:sSub>
                        <m:sSubPr>
                          <m:ctrlPr>
                            <a:rPr lang="en-US" sz="1200" b="0" i="1">
                              <a:solidFill>
                                <a:sysClr val="windowText" lastClr="000000"/>
                              </a:solidFill>
                              <a:latin typeface="Cambria Math" panose="02040503050406030204" pitchFamily="18" charset="0"/>
                            </a:rPr>
                          </m:ctrlPr>
                        </m:sSubPr>
                        <m:e>
                          <m:r>
                            <a:rPr lang="en-US" sz="1200" b="0" i="1">
                              <a:solidFill>
                                <a:sysClr val="windowText" lastClr="000000"/>
                              </a:solidFill>
                              <a:latin typeface="Cambria Math" panose="02040503050406030204" pitchFamily="18" charset="0"/>
                            </a:rPr>
                            <m:t>𝑆</m:t>
                          </m:r>
                        </m:e>
                        <m:sub>
                          <m:r>
                            <a:rPr lang="en-US" sz="1200" b="0" i="1">
                              <a:solidFill>
                                <a:sysClr val="windowText" lastClr="000000"/>
                              </a:solidFill>
                              <a:latin typeface="Cambria Math" panose="02040503050406030204" pitchFamily="18" charset="0"/>
                            </a:rPr>
                            <m:t>𝐹𝑈</m:t>
                          </m:r>
                        </m:sub>
                      </m:sSub>
                    </m:den>
                  </m:f>
                </m:oMath>
              </a14:m>
              <a:r>
                <a:rPr lang="en-GB" sz="1200" i="1"/>
                <a:t> </a:t>
              </a:r>
            </a:p>
          </xdr:txBody>
        </xdr:sp>
      </mc:Choice>
      <mc:Fallback xmlns="">
        <xdr:sp macro="" textlink="">
          <xdr:nvSpPr>
            <xdr:cNvPr id="11" name="TextBox 76">
              <a:extLst>
                <a:ext uri="{FF2B5EF4-FFF2-40B4-BE49-F238E27FC236}">
                  <a16:creationId xmlns:a16="http://schemas.microsoft.com/office/drawing/2014/main" id="{CEA25224-0A22-4CAB-B617-4AF9F789E7A1}"/>
                </a:ext>
              </a:extLst>
            </xdr:cNvPr>
            <xdr:cNvSpPr txBox="1"/>
          </xdr:nvSpPr>
          <xdr:spPr>
            <a:xfrm>
              <a:off x="3257550" y="17306925"/>
              <a:ext cx="2505075" cy="619125"/>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0" i="0">
                  <a:solidFill>
                    <a:sysClr val="windowText" lastClr="000000"/>
                  </a:solidFill>
                  <a:latin typeface="Cambria Math" panose="02040503050406030204" pitchFamily="18" charset="0"/>
                </a:rPr>
                <a:t>𝐶_𝑀𝐴𝐶=𝑆_𝑜𝑝/(𝑓∗𝑁_𝑐𝑜𝑟𝑒𝑠∗𝑁_𝐹𝑈∗𝑆_𝐹𝑈 )</a:t>
              </a:r>
              <a:r>
                <a:rPr lang="en-GB" sz="1200" i="1"/>
                <a:t> </a:t>
              </a:r>
            </a:p>
          </xdr:txBody>
        </xdr:sp>
      </mc:Fallback>
    </mc:AlternateContent>
    <xdr:clientData/>
  </xdr:oneCellAnchor>
  <xdr:oneCellAnchor>
    <xdr:from>
      <xdr:col>2</xdr:col>
      <xdr:colOff>510564</xdr:colOff>
      <xdr:row>10</xdr:row>
      <xdr:rowOff>188119</xdr:rowOff>
    </xdr:from>
    <xdr:ext cx="65" cy="172227"/>
    <xdr:sp macro="" textlink="">
      <xdr:nvSpPr>
        <xdr:cNvPr id="13" name="TextBox 8">
          <a:extLst>
            <a:ext uri="{FF2B5EF4-FFF2-40B4-BE49-F238E27FC236}">
              <a16:creationId xmlns:a16="http://schemas.microsoft.com/office/drawing/2014/main" id="{EF53DCD6-5186-4DCF-B428-646FAD0652C7}"/>
            </a:ext>
          </a:extLst>
        </xdr:cNvPr>
        <xdr:cNvSpPr txBox="1"/>
      </xdr:nvSpPr>
      <xdr:spPr>
        <a:xfrm>
          <a:off x="6406539" y="1513284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26217</xdr:colOff>
      <xdr:row>17</xdr:row>
      <xdr:rowOff>4233</xdr:rowOff>
    </xdr:from>
    <xdr:ext cx="8430328" cy="550701"/>
    <mc:AlternateContent xmlns:mc="http://schemas.openxmlformats.org/markup-compatibility/2006" xmlns:a14="http://schemas.microsoft.com/office/drawing/2010/main">
      <mc:Choice Requires="a14">
        <xdr:sp macro="" textlink="">
          <xdr:nvSpPr>
            <xdr:cNvPr id="26" name="TextBox 2">
              <a:extLst>
                <a:ext uri="{FF2B5EF4-FFF2-40B4-BE49-F238E27FC236}">
                  <a16:creationId xmlns:a16="http://schemas.microsoft.com/office/drawing/2014/main" id="{4C058AD1-05BC-46FF-BF33-A751A805B77A}"/>
                </a:ext>
              </a:extLst>
            </xdr:cNvPr>
            <xdr:cNvSpPr txBox="1"/>
          </xdr:nvSpPr>
          <xdr:spPr>
            <a:xfrm>
              <a:off x="3281282" y="16817929"/>
              <a:ext cx="8430328" cy="550701"/>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left"/>
                  </m:oMathParaPr>
                  <m:oMath xmlns:m="http://schemas.openxmlformats.org/officeDocument/2006/math">
                    <m:eqArr>
                      <m:eqArrPr>
                        <m:ctrlPr>
                          <a:rPr lang="en-US" sz="1100" b="0" i="1">
                            <a:latin typeface="Cambria Math" panose="02040503050406030204" pitchFamily="18" charset="0"/>
                          </a:rPr>
                        </m:ctrlPr>
                      </m:eqArrPr>
                      <m:e>
                        <m:sSub>
                          <m:sSubPr>
                            <m:ctrlPr>
                              <a:rPr lang="en-US" sz="1100" b="0" i="1">
                                <a:latin typeface="Cambria Math" panose="02040503050406030204" pitchFamily="18" charset="0"/>
                              </a:rPr>
                            </m:ctrlPr>
                          </m:sSubPr>
                          <m:e>
                            <m:r>
                              <a:rPr lang="en-US" sz="1100" b="0" i="1">
                                <a:latin typeface="Cambria Math" panose="02040503050406030204" pitchFamily="18" charset="0"/>
                              </a:rPr>
                              <m:t>𝑇</m:t>
                            </m:r>
                          </m:e>
                          <m:sub>
                            <m:r>
                              <a:rPr lang="en-US" sz="1100" b="0" i="1">
                                <a:latin typeface="Cambria Math" panose="02040503050406030204" pitchFamily="18" charset="0"/>
                              </a:rPr>
                              <m:t>𝑚𝑢𝑙𝑡𝑖</m:t>
                            </m:r>
                            <m:r>
                              <a:rPr lang="en-US" sz="1100" b="0" i="1" baseline="-25000">
                                <a:latin typeface="Cambria Math" panose="02040503050406030204" pitchFamily="18" charset="0"/>
                              </a:rPr>
                              <m:t>𝑎𝑐𝑐𝑒𝑙</m:t>
                            </m:r>
                          </m:sub>
                        </m:sSub>
                        <m:r>
                          <a:rPr lang="en-US" sz="1100" b="0" i="1">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𝑏𝑎𝑡𝑐h</m:t>
                            </m:r>
                          </m:sub>
                        </m:sSub>
                        <m:r>
                          <a:rPr lang="en-US" sz="1100" b="0" i="1">
                            <a:solidFill>
                              <a:schemeClr val="tx1"/>
                            </a:solidFill>
                            <a:effectLst/>
                            <a:latin typeface="Cambria Math" panose="02040503050406030204" pitchFamily="18" charset="0"/>
                            <a:ea typeface="+mn-ea"/>
                            <a:cs typeface="+mn-cs"/>
                          </a:rPr>
                          <m:t>∗</m:t>
                        </m:r>
                        <m:d>
                          <m:dPr>
                            <m:begChr m:val="["/>
                            <m:endChr m:val="]"/>
                            <m:ctrlPr>
                              <a:rPr lang="en-US" sz="1100" b="0" i="1">
                                <a:solidFill>
                                  <a:schemeClr val="tx1"/>
                                </a:solidFill>
                                <a:effectLst/>
                                <a:latin typeface="Cambria Math" panose="02040503050406030204" pitchFamily="18" charset="0"/>
                                <a:ea typeface="+mn-ea"/>
                                <a:cs typeface="+mn-cs"/>
                              </a:rPr>
                            </m:ctrlPr>
                          </m:dPr>
                          <m:e>
                            <m:f>
                              <m:fPr>
                                <m:ctrlPr>
                                  <a:rPr lang="en-US" sz="1100" b="0" i="1">
                                    <a:solidFill>
                                      <a:srgbClr val="FF0000"/>
                                    </a:solidFill>
                                    <a:effectLst/>
                                    <a:latin typeface="Cambria Math" panose="02040503050406030204" pitchFamily="18" charset="0"/>
                                    <a:ea typeface="+mn-ea"/>
                                    <a:cs typeface="+mn-cs"/>
                                  </a:rPr>
                                </m:ctrlPr>
                              </m:fPr>
                              <m:num>
                                <m:sSub>
                                  <m:sSubPr>
                                    <m:ctrlPr>
                                      <a:rPr lang="en-US" sz="1100" b="0" i="1">
                                        <a:solidFill>
                                          <a:srgbClr val="FF0000"/>
                                        </a:solidFill>
                                        <a:effectLst/>
                                        <a:latin typeface="Cambria Math" panose="02040503050406030204" pitchFamily="18" charset="0"/>
                                        <a:ea typeface="+mn-ea"/>
                                        <a:cs typeface="+mn-cs"/>
                                      </a:rPr>
                                    </m:ctrlPr>
                                  </m:sSubPr>
                                  <m:e>
                                    <m:r>
                                      <a:rPr lang="en-US" sz="1100" b="0" i="1">
                                        <a:solidFill>
                                          <a:srgbClr val="FF0000"/>
                                        </a:solidFill>
                                        <a:effectLst/>
                                        <a:latin typeface="Cambria Math" panose="02040503050406030204" pitchFamily="18" charset="0"/>
                                        <a:ea typeface="+mn-ea"/>
                                        <a:cs typeface="+mn-cs"/>
                                      </a:rPr>
                                      <m:t>𝑈</m:t>
                                    </m:r>
                                  </m:e>
                                  <m:sub>
                                    <m:r>
                                      <a:rPr lang="en-US" sz="1100" b="0" i="1">
                                        <a:solidFill>
                                          <a:srgbClr val="FF0000"/>
                                        </a:solidFill>
                                        <a:effectLst/>
                                        <a:latin typeface="Cambria Math" panose="02040503050406030204" pitchFamily="18" charset="0"/>
                                        <a:ea typeface="+mn-ea"/>
                                        <a:cs typeface="+mn-cs"/>
                                      </a:rPr>
                                      <m:t>𝑙𝑜𝑠𝑠</m:t>
                                    </m:r>
                                    <m:r>
                                      <a:rPr lang="en-US" sz="1100" b="0" i="1">
                                        <a:solidFill>
                                          <a:srgbClr val="FF0000"/>
                                        </a:solidFill>
                                        <a:effectLst/>
                                        <a:latin typeface="Cambria Math" panose="02040503050406030204" pitchFamily="18" charset="0"/>
                                        <a:ea typeface="+mn-ea"/>
                                        <a:cs typeface="+mn-cs"/>
                                      </a:rPr>
                                      <m:t> </m:t>
                                    </m:r>
                                  </m:sub>
                                </m:sSub>
                              </m:num>
                              <m:den>
                                <m:sSub>
                                  <m:sSubPr>
                                    <m:ctrlPr>
                                      <a:rPr lang="en-US" sz="1100" b="0" i="1">
                                        <a:solidFill>
                                          <a:srgbClr val="FF0000"/>
                                        </a:solidFill>
                                        <a:effectLst/>
                                        <a:latin typeface="Cambria Math" panose="02040503050406030204" pitchFamily="18" charset="0"/>
                                        <a:ea typeface="+mn-ea"/>
                                        <a:cs typeface="+mn-cs"/>
                                      </a:rPr>
                                    </m:ctrlPr>
                                  </m:sSubPr>
                                  <m:e>
                                    <m:r>
                                      <a:rPr lang="en-US" sz="1100" b="0" i="1">
                                        <a:solidFill>
                                          <a:srgbClr val="FF0000"/>
                                        </a:solidFill>
                                        <a:effectLst/>
                                        <a:latin typeface="Cambria Math" panose="02040503050406030204" pitchFamily="18" charset="0"/>
                                        <a:ea typeface="+mn-ea"/>
                                        <a:cs typeface="+mn-cs"/>
                                      </a:rPr>
                                      <m:t>𝑁</m:t>
                                    </m:r>
                                  </m:e>
                                  <m:sub>
                                    <m:r>
                                      <a:rPr lang="en-US" sz="1100" b="0" i="1">
                                        <a:solidFill>
                                          <a:srgbClr val="FF0000"/>
                                        </a:solidFill>
                                        <a:effectLst/>
                                        <a:latin typeface="Cambria Math" panose="02040503050406030204" pitchFamily="18" charset="0"/>
                                        <a:ea typeface="+mn-ea"/>
                                        <a:cs typeface="+mn-cs"/>
                                      </a:rPr>
                                      <m:t>𝐷𝑃</m:t>
                                    </m:r>
                                  </m:sub>
                                </m:sSub>
                              </m:den>
                            </m:f>
                            <m:r>
                              <a:rPr lang="en-US" sz="1100" b="0" i="1">
                                <a:solidFill>
                                  <a:schemeClr val="tx1"/>
                                </a:solidFill>
                                <a:effectLst/>
                                <a:latin typeface="Cambria Math" panose="02040503050406030204" pitchFamily="18" charset="0"/>
                                <a:ea typeface="+mn-ea"/>
                                <a:cs typeface="+mn-cs"/>
                              </a:rPr>
                              <m:t>+</m:t>
                            </m:r>
                            <m:nary>
                              <m:naryPr>
                                <m:chr m:val="∑"/>
                                <m:supHide m:val="on"/>
                                <m:ctrlPr>
                                  <a:rPr lang="en-US" sz="1100" b="0" i="1">
                                    <a:solidFill>
                                      <a:schemeClr val="tx1"/>
                                    </a:solidFill>
                                    <a:effectLst/>
                                    <a:latin typeface="Cambria Math" panose="02040503050406030204" pitchFamily="18" charset="0"/>
                                    <a:ea typeface="+mn-ea"/>
                                    <a:cs typeface="+mn-cs"/>
                                  </a:rPr>
                                </m:ctrlPr>
                              </m:naryPr>
                              <m:sub>
                                <m:r>
                                  <a:rPr lang="en-US" sz="1100" b="0" i="1">
                                    <a:solidFill>
                                      <a:schemeClr val="tx1"/>
                                    </a:solidFill>
                                    <a:effectLst/>
                                    <a:latin typeface="Cambria Math" panose="02040503050406030204" pitchFamily="18" charset="0"/>
                                    <a:ea typeface="+mn-ea"/>
                                    <a:cs typeface="+mn-cs"/>
                                  </a:rPr>
                                  <m:t>𝑙</m:t>
                                </m:r>
                              </m:sub>
                              <m:sup/>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𝑓</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𝑏</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𝑤</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 ]∗ </m:t>
                                </m:r>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1</m:t>
                                    </m:r>
                                  </m:num>
                                  <m:den>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𝑇𝑃</m:t>
                                        </m:r>
                                      </m:sub>
                                    </m:sSub>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𝐷𝑃</m:t>
                                            </m:r>
                                          </m:sub>
                                        </m:sSub>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𝑃𝑃</m:t>
                                        </m:r>
                                        <m:r>
                                          <a:rPr lang="en-US" sz="1100" b="0" i="1">
                                            <a:solidFill>
                                              <a:schemeClr val="tx1"/>
                                            </a:solidFill>
                                            <a:effectLst/>
                                            <a:latin typeface="Cambria Math" panose="02040503050406030204" pitchFamily="18" charset="0"/>
                                            <a:ea typeface="+mn-ea"/>
                                            <a:cs typeface="+mn-cs"/>
                                          </a:rPr>
                                          <m:t> </m:t>
                                        </m:r>
                                      </m:sub>
                                    </m:sSub>
                                  </m:den>
                                </m:f>
                              </m:e>
                            </m:nary>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r>
                                  <a:rPr lang="en-US" sz="1100" b="0" i="1">
                                    <a:solidFill>
                                      <a:schemeClr val="tx1"/>
                                    </a:solidFill>
                                    <a:effectLst/>
                                    <a:latin typeface="Cambria Math" panose="02040503050406030204" pitchFamily="18" charset="0"/>
                                    <a:ea typeface="+mn-ea"/>
                                    <a:cs typeface="+mn-cs"/>
                                  </a:rPr>
                                  <m:t>𝑓</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r>
                                  <a:rPr lang="en-US" sz="1100" b="0" i="1">
                                    <a:solidFill>
                                      <a:schemeClr val="tx1"/>
                                    </a:solidFill>
                                    <a:effectLst/>
                                    <a:latin typeface="Cambria Math" panose="02040503050406030204" pitchFamily="18" charset="0"/>
                                    <a:ea typeface="+mn-ea"/>
                                    <a:cs typeface="+mn-cs"/>
                                  </a:rPr>
                                  <m:t>𝑏</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r>
                                  <a:rPr lang="en-US" sz="1100" b="0" i="1">
                                    <a:solidFill>
                                      <a:schemeClr val="tx1"/>
                                    </a:solidFill>
                                    <a:effectLst/>
                                    <a:latin typeface="Cambria Math" panose="02040503050406030204" pitchFamily="18" charset="0"/>
                                    <a:ea typeface="+mn-ea"/>
                                    <a:cs typeface="+mn-cs"/>
                                  </a:rPr>
                                  <m:t>𝑏</m:t>
                                </m:r>
                                <m:r>
                                  <a:rPr lang="en-US" sz="1100" b="0" i="1">
                                    <a:solidFill>
                                      <a:schemeClr val="tx1"/>
                                    </a:solidFill>
                                    <a:effectLst/>
                                    <a:latin typeface="Cambria Math" panose="02040503050406030204" pitchFamily="18" charset="0"/>
                                    <a:ea typeface="+mn-ea"/>
                                    <a:cs typeface="+mn-cs"/>
                                  </a:rPr>
                                  <m:t>_</m:t>
                                </m:r>
                                <m:r>
                                  <a:rPr lang="en-US" sz="1100" b="0" i="1">
                                    <a:solidFill>
                                      <a:schemeClr val="tx1"/>
                                    </a:solidFill>
                                    <a:effectLst/>
                                    <a:latin typeface="Cambria Math" panose="02040503050406030204" pitchFamily="18" charset="0"/>
                                    <a:ea typeface="+mn-ea"/>
                                    <a:cs typeface="+mn-cs"/>
                                  </a:rPr>
                                  <m:t>𝐷𝑃</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𝑇</m:t>
                                </m:r>
                              </m:e>
                              <m:sub>
                                <m:r>
                                  <a:rPr lang="en-US" sz="1100" b="0" i="1">
                                    <a:solidFill>
                                      <a:schemeClr val="tx1"/>
                                    </a:solidFill>
                                    <a:effectLst/>
                                    <a:latin typeface="Cambria Math" panose="02040503050406030204" pitchFamily="18" charset="0"/>
                                    <a:ea typeface="+mn-ea"/>
                                    <a:cs typeface="+mn-cs"/>
                                  </a:rPr>
                                  <m:t>𝑤𝑎𝑖𝑡</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e>
                        </m:d>
                      </m:e>
                    </m:eqArr>
                  </m:oMath>
                </m:oMathPara>
              </a14:m>
              <a:endParaRPr lang="en-GB" sz="1100"/>
            </a:p>
          </xdr:txBody>
        </xdr:sp>
      </mc:Choice>
      <mc:Fallback xmlns="">
        <xdr:sp macro="" textlink="">
          <xdr:nvSpPr>
            <xdr:cNvPr id="26" name="TextBox 2">
              <a:extLst>
                <a:ext uri="{FF2B5EF4-FFF2-40B4-BE49-F238E27FC236}">
                  <a16:creationId xmlns:a16="http://schemas.microsoft.com/office/drawing/2014/main" id="{4C058AD1-05BC-46FF-BF33-A751A805B77A}"/>
                </a:ext>
              </a:extLst>
            </xdr:cNvPr>
            <xdr:cNvSpPr txBox="1"/>
          </xdr:nvSpPr>
          <xdr:spPr>
            <a:xfrm>
              <a:off x="3281282" y="16817929"/>
              <a:ext cx="8430328" cy="550701"/>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█(𝑇_𝑚𝑢𝑙𝑡𝑖</a:t>
              </a:r>
              <a:r>
                <a:rPr lang="en-US" sz="1100" b="0" i="0" baseline="-25000">
                  <a:latin typeface="Cambria Math" panose="02040503050406030204" pitchFamily="18" charset="0"/>
                </a:rPr>
                <a:t>𝑎𝑐𝑐𝑒𝑙</a:t>
              </a:r>
              <a:r>
                <a:rPr lang="en-US" sz="1100" b="0" i="0">
                  <a:latin typeface="Cambria Math" panose="02040503050406030204" pitchFamily="18" charset="0"/>
                </a:rPr>
                <a:t>= </a:t>
              </a:r>
              <a:r>
                <a:rPr lang="en-US" sz="1100" b="0" i="0">
                  <a:solidFill>
                    <a:schemeClr val="tx1"/>
                  </a:solidFill>
                  <a:effectLst/>
                  <a:latin typeface="Cambria Math" panose="02040503050406030204" pitchFamily="18" charset="0"/>
                  <a:ea typeface="+mn-ea"/>
                  <a:cs typeface="+mn-cs"/>
                </a:rPr>
                <a:t>𝑁_𝑏𝑎𝑡𝑐ℎ∗[</a:t>
              </a:r>
              <a:r>
                <a:rPr lang="en-US" sz="1100" b="0" i="0">
                  <a:solidFill>
                    <a:srgbClr val="FF0000"/>
                  </a:solidFill>
                  <a:effectLst/>
                  <a:latin typeface="Cambria Math" panose="02040503050406030204" pitchFamily="18" charset="0"/>
                  <a:ea typeface="+mn-ea"/>
                  <a:cs typeface="+mn-cs"/>
                </a:rPr>
                <a:t>𝑈_(𝑙𝑜𝑠𝑠 )/𝑁_𝐷𝑃 </a:t>
              </a:r>
              <a:r>
                <a:rPr lang="en-US" sz="1100" b="0" i="0">
                  <a:solidFill>
                    <a:schemeClr val="tx1"/>
                  </a:solidFill>
                  <a:effectLst/>
                  <a:latin typeface="Cambria Math" panose="02040503050406030204" pitchFamily="18" charset="0"/>
                  <a:ea typeface="+mn-ea"/>
                  <a:cs typeface="+mn-cs"/>
                </a:rPr>
                <a:t>+∑_𝑙▒〖〖[𝑈〗_𝑓 (𝑙)+𝑈_𝑏 (𝑙)+ 𝑈_𝑤 (𝑙)  ]∗ 1/(𝑁_𝑇𝑃  ∗〖𝑁_𝐷𝑃∗ 𝑁〗_(𝑃𝑃 ) )〗+𝑀_𝑓 (𝑙)+𝑀_𝑏 (𝑙)+𝑀_(𝑏_𝐷𝑃) (𝑙)+𝑇_𝑤𝑎𝑖𝑡 (𝑙)] )</a:t>
              </a:r>
              <a:endParaRPr lang="en-GB" sz="1100"/>
            </a:p>
          </xdr:txBody>
        </xdr:sp>
      </mc:Fallback>
    </mc:AlternateContent>
    <xdr:clientData/>
  </xdr:oneCellAnchor>
  <xdr:oneCellAnchor>
    <xdr:from>
      <xdr:col>1</xdr:col>
      <xdr:colOff>0</xdr:colOff>
      <xdr:row>47</xdr:row>
      <xdr:rowOff>0</xdr:rowOff>
    </xdr:from>
    <xdr:ext cx="7286625" cy="619125"/>
    <mc:AlternateContent xmlns:mc="http://schemas.openxmlformats.org/markup-compatibility/2006" xmlns:a14="http://schemas.microsoft.com/office/drawing/2010/main">
      <mc:Choice Requires="a14">
        <xdr:sp macro="" textlink="">
          <xdr:nvSpPr>
            <xdr:cNvPr id="7" name="TextBox 76">
              <a:extLst>
                <a:ext uri="{FF2B5EF4-FFF2-40B4-BE49-F238E27FC236}">
                  <a16:creationId xmlns:a16="http://schemas.microsoft.com/office/drawing/2014/main" id="{AA10B4F7-9F05-49F9-9F6C-E2C2151CAEC6}"/>
                </a:ext>
              </a:extLst>
            </xdr:cNvPr>
            <xdr:cNvSpPr txBox="1"/>
          </xdr:nvSpPr>
          <xdr:spPr>
            <a:xfrm>
              <a:off x="3255065" y="25949413"/>
              <a:ext cx="7286625" cy="619125"/>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𝐶</m:t>
                      </m:r>
                    </m:e>
                    <m:sub>
                      <m:r>
                        <a:rPr lang="en-US" sz="1400" b="0" i="1">
                          <a:solidFill>
                            <a:sysClr val="windowText" lastClr="000000"/>
                          </a:solidFill>
                          <a:latin typeface="Cambria Math" panose="02040503050406030204" pitchFamily="18" charset="0"/>
                        </a:rPr>
                        <m:t>𝑀𝐴𝐶</m:t>
                      </m:r>
                    </m:sub>
                  </m:sSub>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𝑙</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𝑖</m:t>
                  </m:r>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1</m:t>
                      </m:r>
                    </m:num>
                    <m:den>
                      <m:r>
                        <a:rPr lang="en-US" sz="1400" b="0" i="1">
                          <a:solidFill>
                            <a:sysClr val="windowText" lastClr="000000"/>
                          </a:solidFill>
                          <a:latin typeface="Cambria Math" panose="02040503050406030204" pitchFamily="18" charset="0"/>
                        </a:rPr>
                        <m:t>𝑓</m:t>
                      </m:r>
                      <m:r>
                        <a:rPr lang="en-US" sz="1400" b="0" i="1">
                          <a:solidFill>
                            <a:sysClr val="windowText" lastClr="000000"/>
                          </a:solidFill>
                          <a:latin typeface="Cambria Math" panose="02040503050406030204" pitchFamily="18" charset="0"/>
                        </a:rPr>
                        <m:t> ∗</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𝑁</m:t>
                          </m:r>
                        </m:e>
                        <m:sub>
                          <m:r>
                            <a:rPr lang="en-US" sz="1400" b="0" i="1">
                              <a:solidFill>
                                <a:sysClr val="windowText" lastClr="000000"/>
                              </a:solidFill>
                              <a:latin typeface="Cambria Math" panose="02040503050406030204" pitchFamily="18" charset="0"/>
                            </a:rPr>
                            <m:t>𝑐𝑜𝑟𝑒𝑠</m:t>
                          </m:r>
                        </m:sub>
                      </m:sSub>
                      <m:r>
                        <a:rPr lang="en-US" sz="1400" b="0" i="1">
                          <a:solidFill>
                            <a:sysClr val="windowText" lastClr="000000"/>
                          </a:solidFill>
                          <a:latin typeface="Cambria Math" panose="02040503050406030204" pitchFamily="18" charset="0"/>
                        </a:rPr>
                        <m:t> </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𝑁</m:t>
                          </m:r>
                        </m:e>
                        <m:sub>
                          <m:r>
                            <a:rPr lang="en-US" sz="1400" b="0" i="1">
                              <a:solidFill>
                                <a:sysClr val="windowText" lastClr="000000"/>
                              </a:solidFill>
                              <a:latin typeface="Cambria Math" panose="02040503050406030204" pitchFamily="18" charset="0"/>
                            </a:rPr>
                            <m:t>𝐹𝑈</m:t>
                          </m:r>
                        </m:sub>
                      </m:sSub>
                      <m:r>
                        <a:rPr lang="en-US" sz="1400" b="0" i="1">
                          <a:solidFill>
                            <a:sysClr val="windowText" lastClr="000000"/>
                          </a:solidFill>
                          <a:latin typeface="Cambria Math" panose="02040503050406030204" pitchFamily="18" charset="0"/>
                        </a:rPr>
                        <m:t> </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𝑊</m:t>
                          </m:r>
                        </m:e>
                        <m:sub>
                          <m:r>
                            <a:rPr lang="en-US" sz="1400" b="0" i="1">
                              <a:solidFill>
                                <a:sysClr val="windowText" lastClr="000000"/>
                              </a:solidFill>
                              <a:latin typeface="Cambria Math" panose="02040503050406030204" pitchFamily="18" charset="0"/>
                            </a:rPr>
                            <m:t>𝐹𝑈</m:t>
                          </m:r>
                        </m:sub>
                      </m:sSub>
                      <m:r>
                        <a:rPr lang="en-US" sz="1400" b="0" i="1">
                          <a:solidFill>
                            <a:sysClr val="windowText" lastClr="000000"/>
                          </a:solidFill>
                          <a:latin typeface="Cambria Math" panose="02040503050406030204" pitchFamily="18" charset="0"/>
                        </a:rPr>
                        <m:t> ∗ </m:t>
                      </m:r>
                      <m:r>
                        <a:rPr lang="en-US" sz="1400" b="0" i="1">
                          <a:solidFill>
                            <a:sysClr val="windowText" lastClr="000000"/>
                          </a:solidFill>
                          <a:latin typeface="Cambria Math" panose="02040503050406030204" pitchFamily="18" charset="0"/>
                        </a:rPr>
                        <m:t>𝑒𝑓𝑓</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𝑏</m:t>
                      </m:r>
                      <m:r>
                        <a:rPr lang="en-US" sz="1400" b="0" i="1">
                          <a:solidFill>
                            <a:sysClr val="windowText" lastClr="000000"/>
                          </a:solidFill>
                          <a:latin typeface="Cambria Math" panose="02040503050406030204" pitchFamily="18" charset="0"/>
                        </a:rPr>
                        <m:t>)</m:t>
                      </m:r>
                    </m:den>
                  </m:f>
                </m:oMath>
              </a14:m>
              <a:r>
                <a:rPr lang="en-GB" sz="1400" i="1"/>
                <a:t> </a:t>
              </a:r>
            </a:p>
          </xdr:txBody>
        </xdr:sp>
      </mc:Choice>
      <mc:Fallback xmlns="">
        <xdr:sp macro="" textlink="">
          <xdr:nvSpPr>
            <xdr:cNvPr id="7" name="TextBox 76">
              <a:extLst>
                <a:ext uri="{FF2B5EF4-FFF2-40B4-BE49-F238E27FC236}">
                  <a16:creationId xmlns:a16="http://schemas.microsoft.com/office/drawing/2014/main" id="{AA10B4F7-9F05-49F9-9F6C-E2C2151CAEC6}"/>
                </a:ext>
              </a:extLst>
            </xdr:cNvPr>
            <xdr:cNvSpPr txBox="1"/>
          </xdr:nvSpPr>
          <xdr:spPr>
            <a:xfrm>
              <a:off x="3407833" y="24511000"/>
              <a:ext cx="7286625" cy="619125"/>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𝐶_𝑀𝐴𝐶 (𝑙,𝑖)=1/(𝑓 ∗𝑁_𝑐𝑜𝑟𝑒𝑠  〖∗𝑁〗_𝐹𝑈  〖∗𝑊〗_𝐹𝑈  ∗ 𝑒𝑓𝑓(𝑏))</a:t>
              </a:r>
              <a:r>
                <a:rPr lang="en-GB" sz="1400" i="1"/>
                <a:t> </a:t>
              </a:r>
            </a:p>
          </xdr:txBody>
        </xdr:sp>
      </mc:Fallback>
    </mc:AlternateContent>
    <xdr:clientData/>
  </xdr:oneCellAnchor>
  <xdr:oneCellAnchor>
    <xdr:from>
      <xdr:col>1</xdr:col>
      <xdr:colOff>114300</xdr:colOff>
      <xdr:row>34</xdr:row>
      <xdr:rowOff>172356</xdr:rowOff>
    </xdr:from>
    <xdr:ext cx="11215914" cy="913494"/>
    <mc:AlternateContent xmlns:mc="http://schemas.openxmlformats.org/markup-compatibility/2006" xmlns:a14="http://schemas.microsoft.com/office/drawing/2010/main">
      <mc:Choice Requires="a14">
        <xdr:sp macro="" textlink="">
          <xdr:nvSpPr>
            <xdr:cNvPr id="209" name="TextBox 76">
              <a:extLst>
                <a:ext uri="{FF2B5EF4-FFF2-40B4-BE49-F238E27FC236}">
                  <a16:creationId xmlns:a16="http://schemas.microsoft.com/office/drawing/2014/main" id="{41A0EC0E-0DA1-4CB5-BC42-A43DE8B1C060}"/>
                </a:ext>
              </a:extLst>
            </xdr:cNvPr>
            <xdr:cNvSpPr txBox="1"/>
          </xdr:nvSpPr>
          <xdr:spPr>
            <a:xfrm>
              <a:off x="3369365" y="21649160"/>
              <a:ext cx="11215914" cy="913494"/>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eaLnBrk="1" fontAlgn="auto" latinLnBrk="0" hangingPunct="1"/>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𝑈</m:t>
                      </m:r>
                    </m:e>
                    <m:sub>
                      <m:r>
                        <a:rPr lang="en-US" sz="1400" b="0" i="1">
                          <a:solidFill>
                            <a:sysClr val="windowText" lastClr="000000"/>
                          </a:solidFill>
                          <a:latin typeface="Cambria Math" panose="02040503050406030204" pitchFamily="18" charset="0"/>
                        </a:rPr>
                        <m:t>𝑓</m:t>
                      </m:r>
                    </m:sub>
                  </m:sSub>
                  <m:d>
                    <m:dPr>
                      <m:ctrlPr>
                        <a:rPr lang="en-US" sz="1400" b="0" i="1">
                          <a:solidFill>
                            <a:sysClr val="windowText" lastClr="000000"/>
                          </a:solidFill>
                          <a:latin typeface="Cambria Math" panose="02040503050406030204" pitchFamily="18" charset="0"/>
                        </a:rPr>
                      </m:ctrlPr>
                    </m:dPr>
                    <m:e>
                      <m:r>
                        <a:rPr lang="en-US" sz="1400" b="0" i="1">
                          <a:solidFill>
                            <a:sysClr val="windowText" lastClr="000000"/>
                          </a:solidFill>
                          <a:latin typeface="Cambria Math" panose="02040503050406030204" pitchFamily="18" charset="0"/>
                        </a:rPr>
                        <m:t>𝑙</m:t>
                      </m:r>
                    </m:e>
                  </m:d>
                  <m:r>
                    <a:rPr lang="en-US" sz="1400" b="0" i="1">
                      <a:solidFill>
                        <a:sysClr val="windowText" lastClr="000000"/>
                      </a:solidFill>
                      <a:latin typeface="Cambria Math" panose="02040503050406030204" pitchFamily="18" charset="0"/>
                    </a:rPr>
                    <m:t>=</m:t>
                  </m:r>
                  <m:nary>
                    <m:naryPr>
                      <m:chr m:val="∑"/>
                      <m:supHide m:val="on"/>
                      <m:ctrlPr>
                        <a:rPr lang="en-US" sz="1400" b="0" i="1">
                          <a:solidFill>
                            <a:sysClr val="windowText" lastClr="000000"/>
                          </a:solidFill>
                          <a:latin typeface="Cambria Math" panose="02040503050406030204" pitchFamily="18" charset="0"/>
                        </a:rPr>
                      </m:ctrlPr>
                    </m:naryPr>
                    <m:sub>
                      <m:r>
                        <m:rPr>
                          <m:brk m:alnAt="7"/>
                        </m:rPr>
                        <a:rPr lang="en-US" sz="1400" b="0" i="1">
                          <a:solidFill>
                            <a:sysClr val="windowText" lastClr="000000"/>
                          </a:solidFill>
                          <a:latin typeface="Cambria Math" panose="02040503050406030204" pitchFamily="18" charset="0"/>
                        </a:rPr>
                        <m:t>𝑖</m:t>
                      </m:r>
                    </m:sub>
                    <m:sup/>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𝑀𝐴𝐶</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e>
                      </m:d>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𝑀𝐴𝐶</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𝑐𝑒𝑖𝑙</m:t>
                      </m:r>
                      <m:d>
                        <m:dPr>
                          <m:begChr m:val="["/>
                          <m:endChr m:val="]"/>
                          <m:ctrlPr>
                            <a:rPr lang="en-US" sz="1100" b="0" i="1">
                              <a:solidFill>
                                <a:schemeClr val="tx1"/>
                              </a:solidFill>
                              <a:effectLst/>
                              <a:latin typeface="Cambria Math" panose="02040503050406030204" pitchFamily="18" charset="0"/>
                              <a:ea typeface="+mn-ea"/>
                              <a:cs typeface="+mn-cs"/>
                            </a:rPr>
                          </m:ctrlPr>
                        </m:dPr>
                        <m:e>
                          <m:f>
                            <m:fPr>
                              <m:ctrlPr>
                                <a:rPr lang="en-US" sz="1100" b="0" i="1">
                                  <a:solidFill>
                                    <a:schemeClr val="tx1"/>
                                  </a:solidFill>
                                  <a:effectLst/>
                                  <a:latin typeface="Cambria Math" panose="02040503050406030204" pitchFamily="18" charset="0"/>
                                  <a:ea typeface="+mn-ea"/>
                                  <a:cs typeface="+mn-cs"/>
                                </a:rPr>
                              </m:ctrlPr>
                            </m:fPr>
                            <m:num>
                              <m:sSub>
                                <m:sSubPr>
                                  <m:ctrlPr>
                                    <a:rPr lang="en-US" sz="1100" b="0" i="1">
                                      <a:solidFill>
                                        <a:schemeClr val="tx1"/>
                                      </a:solidFill>
                                      <a:effectLst/>
                                      <a:latin typeface="Cambria Math" panose="02040503050406030204" pitchFamily="18" charset="0"/>
                                      <a:ea typeface="+mn-ea"/>
                                      <a:cs typeface="+mn-cs"/>
                                    </a:rPr>
                                  </m:ctrlPr>
                                </m:sSubPr>
                                <m:e>
                                  <m:r>
                                    <m:rPr>
                                      <m:sty m:val="p"/>
                                    </m:rPr>
                                    <a:rPr lang="en-US" sz="1100" b="0" i="0">
                                      <a:solidFill>
                                        <a:schemeClr val="tx1"/>
                                      </a:solidFill>
                                      <a:effectLst/>
                                      <a:latin typeface="Cambria Math" panose="02040503050406030204" pitchFamily="18" charset="0"/>
                                      <a:ea typeface="+mn-ea"/>
                                      <a:cs typeface="+mn-cs"/>
                                    </a:rPr>
                                    <m:t>max</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𝑝𝑎𝑟𝑎𝑚</m:t>
                                  </m:r>
                                </m:sub>
                              </m:sSub>
                              <m:r>
                                <a:rPr lang="en-US" sz="1100" b="0" i="1">
                                  <a:solidFill>
                                    <a:schemeClr val="tx1"/>
                                  </a:solidFill>
                                  <a:effectLst/>
                                  <a:latin typeface="Cambria Math" panose="02040503050406030204" pitchFamily="18" charset="0"/>
                                  <a:ea typeface="+mn-ea"/>
                                  <a:cs typeface="+mn-cs"/>
                                </a:rPr>
                                <m:t> </m:t>
                              </m:r>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e>
                              </m:d>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𝑎𝑐𝑡𝑖𝑣𝑎𝑡𝑖𝑜𝑛</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num>
                            <m:den>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𝑊</m:t>
                                  </m:r>
                                </m:e>
                                <m:sub>
                                  <m:r>
                                    <a:rPr lang="en-US" sz="1100" b="0" i="1">
                                      <a:solidFill>
                                        <a:schemeClr val="tx1"/>
                                      </a:solidFill>
                                      <a:effectLst/>
                                      <a:latin typeface="Cambria Math" panose="02040503050406030204" pitchFamily="18" charset="0"/>
                                      <a:ea typeface="+mn-ea"/>
                                      <a:cs typeface="+mn-cs"/>
                                    </a:rPr>
                                    <m:t>𝐹</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𝑀𝐴𝐶</m:t>
                                      </m:r>
                                    </m:sub>
                                  </m:sSub>
                                </m:sub>
                              </m:sSub>
                            </m:den>
                          </m:f>
                        </m:e>
                      </m:d>
                      <m:r>
                        <a:rPr lang="en-US" sz="1100" b="0" i="1">
                          <a:solidFill>
                            <a:schemeClr val="tx1"/>
                          </a:solidFill>
                          <a:effectLst/>
                          <a:latin typeface="Cambria Math" panose="02040503050406030204" pitchFamily="18" charset="0"/>
                          <a:ea typeface="+mn-ea"/>
                          <a:cs typeface="+mn-cs"/>
                        </a:rPr>
                        <m:t> +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𝑛𝑜𝑛𝑙𝑖𝑛</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𝑛𝑜𝑛𝑙𝑖𝑛</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r>
                        <a:rPr lang="en-US" sz="1100" b="0" i="1">
                          <a:solidFill>
                            <a:schemeClr val="tx1"/>
                          </a:solidFill>
                          <a:effectLst/>
                          <a:latin typeface="Cambria Math" panose="02040503050406030204" pitchFamily="18" charset="0"/>
                          <a:ea typeface="+mn-ea"/>
                          <a:cs typeface="+mn-cs"/>
                        </a:rPr>
                        <m:t>)</m:t>
                      </m:r>
                    </m:e>
                  </m:nary>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𝑐𝑒𝑖𝑙</m:t>
                  </m:r>
                  <m:r>
                    <a:rPr lang="en-US" sz="1100" b="0" i="1">
                      <a:solidFill>
                        <a:schemeClr val="tx1"/>
                      </a:solidFill>
                      <a:effectLst/>
                      <a:latin typeface="Cambria Math" panose="02040503050406030204" pitchFamily="18" charset="0"/>
                      <a:ea typeface="+mn-ea"/>
                      <a:cs typeface="+mn-cs"/>
                    </a:rPr>
                    <m:t>[</m:t>
                  </m:r>
                  <m:f>
                    <m:fPr>
                      <m:ctrlPr>
                        <a:rPr lang="en-US" sz="1100" b="0" i="1">
                          <a:solidFill>
                            <a:schemeClr val="tx1"/>
                          </a:solidFill>
                          <a:effectLst/>
                          <a:latin typeface="Cambria Math" panose="02040503050406030204" pitchFamily="18" charset="0"/>
                          <a:ea typeface="+mn-ea"/>
                          <a:cs typeface="+mn-cs"/>
                        </a:rPr>
                      </m:ctrlPr>
                    </m:fPr>
                    <m:num>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𝑛𝑜𝑛𝑙𝑖𝑛</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𝑖</m:t>
                          </m:r>
                        </m:e>
                      </m:d>
                    </m:num>
                    <m:den>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𝑊</m:t>
                          </m:r>
                        </m:e>
                        <m:sub>
                          <m:r>
                            <a:rPr lang="en-US" sz="1100" b="0" i="1">
                              <a:solidFill>
                                <a:schemeClr val="tx1"/>
                              </a:solidFill>
                              <a:effectLst/>
                              <a:latin typeface="Cambria Math" panose="02040503050406030204" pitchFamily="18" charset="0"/>
                              <a:ea typeface="+mn-ea"/>
                              <a:cs typeface="+mn-cs"/>
                            </a:rPr>
                            <m:t>𝐹</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𝑛𝑜𝑛𝑙𝑖𝑛</m:t>
                              </m:r>
                            </m:sub>
                          </m:sSub>
                        </m:sub>
                      </m:sSub>
                    </m:den>
                  </m:f>
                  <m:r>
                    <a:rPr lang="en-US" sz="1100" b="0" i="1">
                      <a:solidFill>
                        <a:schemeClr val="tx1"/>
                      </a:solidFill>
                      <a:effectLst/>
                      <a:latin typeface="Cambria Math" panose="02040503050406030204" pitchFamily="18" charset="0"/>
                      <a:ea typeface="+mn-ea"/>
                      <a:cs typeface="+mn-cs"/>
                    </a:rPr>
                    <m:t>]</m:t>
                  </m:r>
                  <m:r>
                    <a:rPr lang="en-US" sz="1400" b="0" i="0">
                      <a:solidFill>
                        <a:sysClr val="windowText" lastClr="000000"/>
                      </a:solidFill>
                      <a:latin typeface="Cambria Math" panose="02040503050406030204" pitchFamily="18" charset="0"/>
                    </a:rPr>
                    <m:t> </m:t>
                  </m:r>
                </m:oMath>
              </a14:m>
              <a:r>
                <a:rPr lang="en-GB" sz="1100" i="1">
                  <a:solidFill>
                    <a:schemeClr val="tx1"/>
                  </a:solidFill>
                  <a:effectLst/>
                  <a:latin typeface="+mn-lt"/>
                  <a:ea typeface="+mn-ea"/>
                  <a:cs typeface="+mn-cs"/>
                </a:rPr>
                <a:t>		(i is sublayer of layer l, e.g. the MLP or the attention)</a:t>
              </a:r>
              <a:endParaRPr lang="en-GB" sz="1400">
                <a:effectLst/>
              </a:endParaRPr>
            </a:p>
          </xdr:txBody>
        </xdr:sp>
      </mc:Choice>
      <mc:Fallback xmlns="">
        <xdr:sp macro="" textlink="">
          <xdr:nvSpPr>
            <xdr:cNvPr id="209" name="TextBox 76">
              <a:extLst>
                <a:ext uri="{FF2B5EF4-FFF2-40B4-BE49-F238E27FC236}">
                  <a16:creationId xmlns:a16="http://schemas.microsoft.com/office/drawing/2014/main" id="{41A0EC0E-0DA1-4CB5-BC42-A43DE8B1C060}"/>
                </a:ext>
              </a:extLst>
            </xdr:cNvPr>
            <xdr:cNvSpPr txBox="1"/>
          </xdr:nvSpPr>
          <xdr:spPr>
            <a:xfrm>
              <a:off x="3522133" y="20799273"/>
              <a:ext cx="11215914" cy="913494"/>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eaLnBrk="1" fontAlgn="auto" latinLnBrk="0" hangingPunct="1"/>
              <a:r>
                <a:rPr lang="en-US" sz="1400" b="0" i="0">
                  <a:solidFill>
                    <a:sysClr val="windowText" lastClr="000000"/>
                  </a:solidFill>
                  <a:latin typeface="Cambria Math" panose="02040503050406030204" pitchFamily="18" charset="0"/>
                </a:rPr>
                <a:t>𝑈_𝑓 (𝑙)=∑_𝑖</a:t>
              </a:r>
              <a:r>
                <a:rPr lang="en-US" sz="1100" b="0" i="0">
                  <a:solidFill>
                    <a:schemeClr val="tx1"/>
                  </a:solidFill>
                  <a:effectLst/>
                  <a:latin typeface="Cambria Math" panose="02040503050406030204" pitchFamily="18" charset="0"/>
                  <a:ea typeface="+mn-ea"/>
                  <a:cs typeface="+mn-cs"/>
                </a:rPr>
                <a:t>▒</a:t>
              </a:r>
              <a:r>
                <a:rPr lang="en-US" sz="1400" b="0" i="0">
                  <a:solidFill>
                    <a:sysClr val="windowText" lastClr="000000"/>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𝑁_𝑀𝐴𝐶 (𝑙,𝑖)∗𝐶_𝑀𝐴𝐶 (𝑙,𝑖)</a:t>
              </a:r>
              <a:r>
                <a:rPr lang="en-US" sz="1100" b="0" i="0">
                  <a:solidFill>
                    <a:schemeClr val="tx1"/>
                  </a:solidFill>
                  <a:effectLst/>
                  <a:latin typeface="+mn-lt"/>
                  <a:ea typeface="+mn-ea"/>
                  <a:cs typeface="+mn-cs"/>
                </a:rPr>
                <a:t>∗𝑐𝑒𝑖𝑙[(〖max(𝑆〗_𝑝𝑎𝑟𝑎𝑚  (𝑙,𝑖),   𝑆_𝑎𝑐𝑡𝑖𝑣𝑎𝑡𝑖𝑜𝑛 (𝑙,𝑖)))/𝑊_(𝐹𝑈_𝑀𝐴𝐶 ) ]</a:t>
              </a:r>
              <a:r>
                <a:rPr lang="en-US" sz="1100" b="0" i="0">
                  <a:solidFill>
                    <a:schemeClr val="tx1"/>
                  </a:solidFill>
                  <a:effectLst/>
                  <a:latin typeface="Cambria Math" panose="02040503050406030204" pitchFamily="18" charset="0"/>
                  <a:ea typeface="+mn-ea"/>
                  <a:cs typeface="+mn-cs"/>
                </a:rPr>
                <a:t>  + 𝑁_𝑛𝑜𝑛𝑙𝑖𝑛 (𝑙,𝑖)∗𝐶_𝑛𝑜𝑛𝑙𝑖𝑛 (𝑙,𝑖)</a:t>
              </a:r>
              <a:r>
                <a:rPr lang="en-US" sz="1400" b="0" i="0">
                  <a:solidFill>
                    <a:sysClr val="windowText" lastClr="000000"/>
                  </a:solidFill>
                  <a:effectLst/>
                  <a:latin typeface="Cambria Math" panose="02040503050406030204" pitchFamily="18" charset="0"/>
                  <a:ea typeface="+mn-ea"/>
                  <a:cs typeface="+mn-cs"/>
                </a:rPr>
                <a:t>〗</a:t>
              </a:r>
              <a:r>
                <a:rPr lang="en-US" sz="1100" b="0" i="0">
                  <a:solidFill>
                    <a:schemeClr val="tx1"/>
                  </a:solidFill>
                  <a:effectLst/>
                  <a:latin typeface="+mn-lt"/>
                  <a:ea typeface="+mn-ea"/>
                  <a:cs typeface="+mn-cs"/>
                </a:rPr>
                <a:t>∗𝑐𝑒𝑖𝑙[(𝑆_𝑛𝑜𝑛𝑙𝑖𝑛 (𝑙,𝑖))/𝑊_(𝐹𝑈_𝑛𝑜𝑛𝑙𝑖𝑛 ) ]</a:t>
              </a:r>
              <a:r>
                <a:rPr lang="en-US" sz="1400" b="0" i="0">
                  <a:solidFill>
                    <a:sysClr val="windowText" lastClr="000000"/>
                  </a:solidFill>
                  <a:latin typeface="Cambria Math" panose="02040503050406030204" pitchFamily="18" charset="0"/>
                </a:rPr>
                <a:t> </a:t>
              </a:r>
              <a:r>
                <a:rPr lang="en-GB" sz="1100" i="1">
                  <a:solidFill>
                    <a:schemeClr val="tx1"/>
                  </a:solidFill>
                  <a:effectLst/>
                  <a:latin typeface="+mn-lt"/>
                  <a:ea typeface="+mn-ea"/>
                  <a:cs typeface="+mn-cs"/>
                </a:rPr>
                <a:t>		(i is sublayer of layer l, e.g. the MLP or the attention)</a:t>
              </a:r>
              <a:endParaRPr lang="en-GB" sz="1400">
                <a:effectLst/>
              </a:endParaRPr>
            </a:p>
          </xdr:txBody>
        </xdr:sp>
      </mc:Fallback>
    </mc:AlternateContent>
    <xdr:clientData/>
  </xdr:oneCellAnchor>
  <xdr:oneCellAnchor>
    <xdr:from>
      <xdr:col>1</xdr:col>
      <xdr:colOff>16554</xdr:colOff>
      <xdr:row>213</xdr:row>
      <xdr:rowOff>16227</xdr:rowOff>
    </xdr:from>
    <xdr:ext cx="9272236" cy="758825"/>
    <mc:AlternateContent xmlns:mc="http://schemas.openxmlformats.org/markup-compatibility/2006" xmlns:a14="http://schemas.microsoft.com/office/drawing/2010/main">
      <mc:Choice Requires="a14">
        <xdr:sp macro="" textlink="">
          <xdr:nvSpPr>
            <xdr:cNvPr id="128" name="TextBox 23">
              <a:extLst>
                <a:ext uri="{FF2B5EF4-FFF2-40B4-BE49-F238E27FC236}">
                  <a16:creationId xmlns:a16="http://schemas.microsoft.com/office/drawing/2014/main" id="{6FFE20A2-8FD2-4424-A292-73E9260D0934}"/>
                </a:ext>
              </a:extLst>
            </xdr:cNvPr>
            <xdr:cNvSpPr txBox="1"/>
          </xdr:nvSpPr>
          <xdr:spPr>
            <a:xfrm>
              <a:off x="3271619" y="85550727"/>
              <a:ext cx="9272236" cy="75882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GB" sz="110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𝐷</m:t>
                        </m:r>
                      </m:e>
                      <m:sub>
                        <m:r>
                          <a:rPr lang="en-US" sz="1100" b="0" i="1">
                            <a:solidFill>
                              <a:srgbClr val="FF0000"/>
                            </a:solidFill>
                            <a:latin typeface="Cambria Math" panose="02040503050406030204" pitchFamily="18" charset="0"/>
                          </a:rPr>
                          <m:t>𝑐𝑜𝑚𝑚</m:t>
                        </m:r>
                      </m:sub>
                    </m:sSub>
                    <m:r>
                      <a:rPr lang="en-US" sz="1100" b="0" i="1">
                        <a:solidFill>
                          <a:srgbClr val="FF0000"/>
                        </a:solidFill>
                        <a:latin typeface="Cambria Math" panose="02040503050406030204" pitchFamily="18" charset="0"/>
                      </a:rPr>
                      <m:t> </m:t>
                    </m:r>
                    <m:r>
                      <a:rPr lang="en-US" sz="1100" b="0" i="1">
                        <a:solidFill>
                          <a:srgbClr val="FF0000"/>
                        </a:solidFill>
                        <a:latin typeface="Cambria Math" panose="02040503050406030204" pitchFamily="18" charset="0"/>
                        <a:ea typeface="Cambria Math" panose="02040503050406030204" pitchFamily="18" charset="0"/>
                      </a:rPr>
                      <m:t>=</m:t>
                    </m:r>
                    <m:f>
                      <m:fPr>
                        <m:ctrlPr>
                          <a:rPr lang="en-US" sz="1100" b="0" i="1">
                            <a:solidFill>
                              <a:srgbClr val="FF0000"/>
                            </a:solidFill>
                            <a:effectLst/>
                            <a:latin typeface="Cambria Math" panose="02040503050406030204" pitchFamily="18" charset="0"/>
                            <a:ea typeface="+mn-ea"/>
                            <a:cs typeface="+mn-cs"/>
                          </a:rPr>
                        </m:ctrlPr>
                      </m:fPr>
                      <m:num>
                        <m:r>
                          <a:rPr lang="en-US" sz="1100" b="0" i="1">
                            <a:solidFill>
                              <a:srgbClr val="FF0000"/>
                            </a:solidFill>
                            <a:effectLst/>
                            <a:latin typeface="Cambria Math" panose="02040503050406030204" pitchFamily="18" charset="0"/>
                            <a:ea typeface="+mn-ea"/>
                            <a:cs typeface="+mn-cs"/>
                          </a:rPr>
                          <m:t>2</m:t>
                        </m:r>
                        <m:sSub>
                          <m:sSubPr>
                            <m:ctrlPr>
                              <a:rPr lang="en-US" sz="1100" b="0" i="1">
                                <a:solidFill>
                                  <a:srgbClr val="FF0000"/>
                                </a:solidFill>
                                <a:effectLst/>
                                <a:latin typeface="Cambria Math" panose="02040503050406030204" pitchFamily="18" charset="0"/>
                                <a:ea typeface="+mn-ea"/>
                                <a:cs typeface="+mn-cs"/>
                              </a:rPr>
                            </m:ctrlPr>
                          </m:sSubPr>
                          <m:e>
                            <m:r>
                              <a:rPr lang="en-US" sz="1100" b="0" i="1">
                                <a:solidFill>
                                  <a:srgbClr val="FF0000"/>
                                </a:solidFill>
                                <a:effectLst/>
                                <a:latin typeface="Cambria Math" panose="02040503050406030204" pitchFamily="18" charset="0"/>
                                <a:ea typeface="Cambria Math" panose="02040503050406030204" pitchFamily="18" charset="0"/>
                                <a:cs typeface="+mn-cs"/>
                              </a:rPr>
                              <m:t>∙</m:t>
                            </m:r>
                            <m:r>
                              <a:rPr lang="en-US" sz="1100" b="0" i="1">
                                <a:solidFill>
                                  <a:srgbClr val="FF0000"/>
                                </a:solidFill>
                                <a:effectLst/>
                                <a:latin typeface="Cambria Math" panose="02040503050406030204" pitchFamily="18" charset="0"/>
                                <a:ea typeface="+mn-ea"/>
                                <a:cs typeface="+mn-cs"/>
                              </a:rPr>
                              <m:t>𝐷</m:t>
                            </m:r>
                          </m:e>
                          <m:sub>
                            <m:r>
                              <a:rPr lang="en-US" sz="1100" b="0" i="1">
                                <a:solidFill>
                                  <a:srgbClr val="FF0000"/>
                                </a:solidFill>
                                <a:effectLst/>
                                <a:latin typeface="Cambria Math" panose="02040503050406030204" pitchFamily="18" charset="0"/>
                                <a:ea typeface="+mn-ea"/>
                                <a:cs typeface="+mn-cs"/>
                              </a:rPr>
                              <m:t>𝑆𝑊</m:t>
                            </m:r>
                            <m:r>
                              <a:rPr lang="en-US" sz="1100" b="0" i="1">
                                <a:solidFill>
                                  <a:srgbClr val="FF0000"/>
                                </a:solidFill>
                                <a:effectLst/>
                                <a:latin typeface="Cambria Math" panose="02040503050406030204" pitchFamily="18" charset="0"/>
                                <a:ea typeface="+mn-ea"/>
                                <a:cs typeface="+mn-cs"/>
                              </a:rPr>
                              <m:t>_</m:t>
                            </m:r>
                            <m:r>
                              <a:rPr lang="en-US" sz="1100" b="0" i="1">
                                <a:solidFill>
                                  <a:srgbClr val="FF0000"/>
                                </a:solidFill>
                                <a:effectLst/>
                                <a:latin typeface="Cambria Math" panose="02040503050406030204" pitchFamily="18" charset="0"/>
                                <a:ea typeface="+mn-ea"/>
                                <a:cs typeface="+mn-cs"/>
                              </a:rPr>
                              <m:t>𝑡𝑜𝑡𝑎𝑙</m:t>
                            </m:r>
                          </m:sub>
                        </m:sSub>
                        <m:r>
                          <a:rPr lang="en-US" sz="1100" b="0" i="1">
                            <a:solidFill>
                              <a:srgbClr val="FF0000"/>
                            </a:solidFill>
                            <a:effectLst/>
                            <a:latin typeface="Cambria Math" panose="02040503050406030204" pitchFamily="18" charset="0"/>
                            <a:ea typeface="+mn-ea"/>
                            <a:cs typeface="+mn-cs"/>
                          </a:rPr>
                          <m:t> −  </m:t>
                        </m:r>
                        <m:sSub>
                          <m:sSubPr>
                            <m:ctrlPr>
                              <a:rPr lang="en-US" sz="1100" b="0" i="1">
                                <a:solidFill>
                                  <a:srgbClr val="FF0000"/>
                                </a:solidFill>
                                <a:effectLst/>
                                <a:latin typeface="Cambria Math" panose="02040503050406030204" pitchFamily="18" charset="0"/>
                                <a:ea typeface="+mn-ea"/>
                                <a:cs typeface="+mn-cs"/>
                              </a:rPr>
                            </m:ctrlPr>
                          </m:sSubPr>
                          <m:e>
                            <m:r>
                              <a:rPr lang="en-US" sz="1100" b="0" i="1">
                                <a:solidFill>
                                  <a:srgbClr val="FF0000"/>
                                </a:solidFill>
                                <a:effectLst/>
                                <a:latin typeface="Cambria Math" panose="02040503050406030204" pitchFamily="18" charset="0"/>
                                <a:ea typeface="+mn-ea"/>
                                <a:cs typeface="+mn-cs"/>
                              </a:rPr>
                              <m:t>𝐷</m:t>
                            </m:r>
                          </m:e>
                          <m:sub>
                            <m:r>
                              <a:rPr lang="en-US" sz="1100" b="0" i="1">
                                <a:solidFill>
                                  <a:srgbClr val="FF0000"/>
                                </a:solidFill>
                                <a:effectLst/>
                                <a:latin typeface="Cambria Math" panose="02040503050406030204" pitchFamily="18" charset="0"/>
                                <a:ea typeface="+mn-ea"/>
                                <a:cs typeface="+mn-cs"/>
                              </a:rPr>
                              <m:t>𝐻𝑊</m:t>
                            </m:r>
                            <m:r>
                              <a:rPr lang="en-US" sz="1100" b="0" i="1">
                                <a:solidFill>
                                  <a:srgbClr val="FF0000"/>
                                </a:solidFill>
                                <a:effectLst/>
                                <a:latin typeface="Cambria Math" panose="02040503050406030204" pitchFamily="18" charset="0"/>
                                <a:ea typeface="+mn-ea"/>
                                <a:cs typeface="+mn-cs"/>
                              </a:rPr>
                              <m:t>_</m:t>
                            </m:r>
                            <m:r>
                              <a:rPr lang="en-US" sz="1100" b="0" i="1">
                                <a:solidFill>
                                  <a:srgbClr val="FF0000"/>
                                </a:solidFill>
                                <a:effectLst/>
                                <a:latin typeface="Cambria Math" panose="02040503050406030204" pitchFamily="18" charset="0"/>
                                <a:ea typeface="+mn-ea"/>
                                <a:cs typeface="+mn-cs"/>
                              </a:rPr>
                              <m:t>𝑡𝑜𝑡𝑎𝑙</m:t>
                            </m:r>
                          </m:sub>
                        </m:sSub>
                        <m:r>
                          <a:rPr lang="en-US" sz="1100" b="0" i="1">
                            <a:solidFill>
                              <a:srgbClr val="FF0000"/>
                            </a:solidFill>
                            <a:effectLst/>
                            <a:latin typeface="Cambria Math" panose="02040503050406030204" pitchFamily="18" charset="0"/>
                            <a:ea typeface="+mn-ea"/>
                            <a:cs typeface="+mn-cs"/>
                          </a:rPr>
                          <m:t>  </m:t>
                        </m:r>
                      </m:num>
                      <m:den>
                        <m:sSub>
                          <m:sSubPr>
                            <m:ctrlPr>
                              <a:rPr lang="en-US" sz="1100" b="0" i="1">
                                <a:solidFill>
                                  <a:srgbClr val="FF0000"/>
                                </a:solidFill>
                                <a:effectLst/>
                                <a:latin typeface="Cambria Math" panose="02040503050406030204" pitchFamily="18" charset="0"/>
                                <a:ea typeface="+mn-ea"/>
                                <a:cs typeface="+mn-cs"/>
                              </a:rPr>
                            </m:ctrlPr>
                          </m:sSubPr>
                          <m:e>
                            <m:r>
                              <a:rPr lang="en-US" sz="1100" b="0" i="1">
                                <a:solidFill>
                                  <a:srgbClr val="FF0000"/>
                                </a:solidFill>
                                <a:effectLst/>
                                <a:latin typeface="Cambria Math" panose="02040503050406030204" pitchFamily="18" charset="0"/>
                                <a:ea typeface="+mn-ea"/>
                                <a:cs typeface="+mn-cs"/>
                              </a:rPr>
                              <m:t>𝐵𝑊</m:t>
                            </m:r>
                          </m:e>
                          <m:sub>
                            <m:r>
                              <a:rPr lang="en-US" sz="1100" b="0" i="1">
                                <a:solidFill>
                                  <a:srgbClr val="FF0000"/>
                                </a:solidFill>
                                <a:effectLst/>
                                <a:latin typeface="Cambria Math" panose="02040503050406030204" pitchFamily="18" charset="0"/>
                                <a:ea typeface="+mn-ea"/>
                                <a:cs typeface="+mn-cs"/>
                              </a:rPr>
                              <m:t>𝑆𝑡𝑜𝑟𝑎𝑔𝑒</m:t>
                            </m:r>
                            <m:r>
                              <a:rPr lang="en-US" sz="1100" b="0" i="1">
                                <a:solidFill>
                                  <a:srgbClr val="FF0000"/>
                                </a:solidFill>
                                <a:effectLst/>
                                <a:latin typeface="Cambria Math" panose="02040503050406030204" pitchFamily="18" charset="0"/>
                                <a:ea typeface="+mn-ea"/>
                                <a:cs typeface="+mn-cs"/>
                              </a:rPr>
                              <m:t>2</m:t>
                            </m:r>
                            <m:r>
                              <a:rPr lang="en-US" sz="1100" b="0" i="1">
                                <a:solidFill>
                                  <a:srgbClr val="FF0000"/>
                                </a:solidFill>
                                <a:effectLst/>
                                <a:latin typeface="Cambria Math" panose="02040503050406030204" pitchFamily="18" charset="0"/>
                                <a:ea typeface="+mn-ea"/>
                                <a:cs typeface="+mn-cs"/>
                              </a:rPr>
                              <m:t>𝑐𝑜𝑚𝑝𝑢𝑡𝑒</m:t>
                            </m:r>
                          </m:sub>
                        </m:sSub>
                      </m:den>
                    </m:f>
                    <m:r>
                      <a:rPr lang="en-US" sz="1100" b="0" i="1">
                        <a:solidFill>
                          <a:srgbClr val="FF0000"/>
                        </a:solidFill>
                        <a:effectLst/>
                        <a:latin typeface="Cambria Math" panose="02040503050406030204" pitchFamily="18" charset="0"/>
                        <a:ea typeface="+mn-ea"/>
                        <a:cs typeface="+mn-cs"/>
                      </a:rPr>
                      <m:t>+</m:t>
                    </m:r>
                    <m:nary>
                      <m:naryPr>
                        <m:chr m:val="∑"/>
                        <m:ctrlPr>
                          <a:rPr lang="en-US" sz="1100" b="0" i="1">
                            <a:solidFill>
                              <a:srgbClr val="FF0000"/>
                            </a:solidFill>
                            <a:latin typeface="Cambria Math" panose="02040503050406030204" pitchFamily="18" charset="0"/>
                            <a:ea typeface="Cambria Math" panose="02040503050406030204" pitchFamily="18" charset="0"/>
                          </a:rPr>
                        </m:ctrlPr>
                      </m:naryPr>
                      <m:sub>
                        <m:r>
                          <m:rPr>
                            <m:brk m:alnAt="23"/>
                          </m:rPr>
                          <a:rPr lang="en-US" sz="1100" b="0" i="1">
                            <a:solidFill>
                              <a:srgbClr val="FF0000"/>
                            </a:solidFill>
                            <a:latin typeface="Cambria Math" panose="02040503050406030204" pitchFamily="18" charset="0"/>
                            <a:ea typeface="Cambria Math" panose="02040503050406030204" pitchFamily="18" charset="0"/>
                          </a:rPr>
                          <m:t>𝑖</m:t>
                        </m:r>
                        <m:r>
                          <a:rPr lang="en-US" sz="1100" b="0" i="1">
                            <a:solidFill>
                              <a:srgbClr val="FF0000"/>
                            </a:solidFill>
                            <a:latin typeface="Cambria Math" panose="02040503050406030204" pitchFamily="18" charset="0"/>
                            <a:ea typeface="Cambria Math" panose="02040503050406030204" pitchFamily="18" charset="0"/>
                          </a:rPr>
                          <m:t>=1</m:t>
                        </m:r>
                      </m:sub>
                      <m:sup>
                        <m:r>
                          <a:rPr lang="en-US" sz="1100" b="0" i="1">
                            <a:solidFill>
                              <a:srgbClr val="FF0000"/>
                            </a:solidFill>
                            <a:latin typeface="Cambria Math" panose="02040503050406030204" pitchFamily="18" charset="0"/>
                            <a:ea typeface="Cambria Math" panose="02040503050406030204" pitchFamily="18" charset="0"/>
                          </a:rPr>
                          <m:t>𝐻𝑖𝑒𝑟𝑎𝑟𝑐h𝑦</m:t>
                        </m:r>
                        <m:r>
                          <a:rPr lang="en-US" sz="1100" b="0" i="1">
                            <a:solidFill>
                              <a:srgbClr val="FF0000"/>
                            </a:solidFill>
                            <a:latin typeface="Cambria Math" panose="02040503050406030204" pitchFamily="18" charset="0"/>
                            <a:ea typeface="Cambria Math" panose="02040503050406030204" pitchFamily="18" charset="0"/>
                          </a:rPr>
                          <m:t>_</m:t>
                        </m:r>
                        <m:r>
                          <a:rPr lang="en-US" sz="1100" b="0" i="1">
                            <a:solidFill>
                              <a:srgbClr val="FF0000"/>
                            </a:solidFill>
                            <a:latin typeface="Cambria Math" panose="02040503050406030204" pitchFamily="18" charset="0"/>
                            <a:ea typeface="Cambria Math" panose="02040503050406030204" pitchFamily="18" charset="0"/>
                          </a:rPr>
                          <m:t>𝑑𝑒𝑝𝑡h</m:t>
                        </m:r>
                      </m:sup>
                      <m:e>
                        <m:f>
                          <m:fPr>
                            <m:ctrlPr>
                              <a:rPr lang="en-US" sz="1100" b="0" i="1">
                                <a:solidFill>
                                  <a:srgbClr val="FF0000"/>
                                </a:solidFill>
                                <a:effectLst/>
                                <a:latin typeface="Cambria Math" panose="02040503050406030204" pitchFamily="18" charset="0"/>
                                <a:ea typeface="+mn-ea"/>
                                <a:cs typeface="+mn-cs"/>
                              </a:rPr>
                            </m:ctrlPr>
                          </m:fPr>
                          <m:num>
                            <m:sSub>
                              <m:sSubPr>
                                <m:ctrlPr>
                                  <a:rPr lang="en-US" sz="1100" b="0" i="1">
                                    <a:solidFill>
                                      <a:srgbClr val="FF0000"/>
                                    </a:solidFill>
                                    <a:effectLst/>
                                    <a:latin typeface="Cambria Math" panose="02040503050406030204" pitchFamily="18" charset="0"/>
                                    <a:ea typeface="+mn-ea"/>
                                    <a:cs typeface="+mn-cs"/>
                                  </a:rPr>
                                </m:ctrlPr>
                              </m:sSubPr>
                              <m:e>
                                <m:r>
                                  <a:rPr lang="en-US" sz="1100" b="0" i="1">
                                    <a:solidFill>
                                      <a:srgbClr val="FF0000"/>
                                    </a:solidFill>
                                    <a:effectLst/>
                                    <a:latin typeface="Cambria Math" panose="02040503050406030204" pitchFamily="18" charset="0"/>
                                    <a:ea typeface="+mn-ea"/>
                                    <a:cs typeface="+mn-cs"/>
                                  </a:rPr>
                                  <m:t>2</m:t>
                                </m:r>
                                <m:r>
                                  <a:rPr lang="en-US" sz="1100" b="0" i="1">
                                    <a:solidFill>
                                      <a:srgbClr val="FF0000"/>
                                    </a:solidFill>
                                    <a:effectLst/>
                                    <a:latin typeface="Cambria Math" panose="02040503050406030204" pitchFamily="18" charset="0"/>
                                    <a:ea typeface="Cambria Math" panose="02040503050406030204" pitchFamily="18" charset="0"/>
                                    <a:cs typeface="+mn-cs"/>
                                  </a:rPr>
                                  <m:t>∙</m:t>
                                </m:r>
                                <m:r>
                                  <a:rPr lang="en-US" sz="1100" b="0" i="1">
                                    <a:solidFill>
                                      <a:srgbClr val="FF0000"/>
                                    </a:solidFill>
                                    <a:effectLst/>
                                    <a:latin typeface="Cambria Math" panose="02040503050406030204" pitchFamily="18" charset="0"/>
                                    <a:ea typeface="+mn-ea"/>
                                    <a:cs typeface="+mn-cs"/>
                                  </a:rPr>
                                  <m:t>𝐷</m:t>
                                </m:r>
                              </m:e>
                              <m:sub>
                                <m:r>
                                  <a:rPr lang="en-US" sz="1100" b="0" i="1">
                                    <a:solidFill>
                                      <a:srgbClr val="FF0000"/>
                                    </a:solidFill>
                                    <a:effectLst/>
                                    <a:latin typeface="Cambria Math" panose="02040503050406030204" pitchFamily="18" charset="0"/>
                                    <a:ea typeface="+mn-ea"/>
                                    <a:cs typeface="+mn-cs"/>
                                  </a:rPr>
                                  <m:t>𝑆𝑊</m:t>
                                </m:r>
                              </m:sub>
                            </m:sSub>
                            <m:d>
                              <m:dPr>
                                <m:ctrlPr>
                                  <a:rPr lang="en-US" sz="1100" b="0" i="1">
                                    <a:solidFill>
                                      <a:srgbClr val="FF0000"/>
                                    </a:solidFill>
                                    <a:effectLst/>
                                    <a:latin typeface="Cambria Math" panose="02040503050406030204" pitchFamily="18" charset="0"/>
                                    <a:ea typeface="+mn-ea"/>
                                    <a:cs typeface="+mn-cs"/>
                                  </a:rPr>
                                </m:ctrlPr>
                              </m:dPr>
                              <m:e>
                                <m:r>
                                  <a:rPr lang="en-US" sz="1100" b="0" i="1">
                                    <a:solidFill>
                                      <a:srgbClr val="FF0000"/>
                                    </a:solidFill>
                                    <a:effectLst/>
                                    <a:latin typeface="Cambria Math" panose="02040503050406030204" pitchFamily="18" charset="0"/>
                                    <a:ea typeface="+mn-ea"/>
                                    <a:cs typeface="+mn-cs"/>
                                  </a:rPr>
                                  <m:t>𝑖</m:t>
                                </m:r>
                              </m:e>
                            </m:d>
                            <m:r>
                              <a:rPr lang="en-US" sz="1100" b="0" i="1">
                                <a:solidFill>
                                  <a:srgbClr val="FF0000"/>
                                </a:solidFill>
                                <a:effectLst/>
                                <a:latin typeface="Cambria Math" panose="02040503050406030204" pitchFamily="18" charset="0"/>
                                <a:ea typeface="+mn-ea"/>
                                <a:cs typeface="+mn-cs"/>
                              </a:rPr>
                              <m:t> − </m:t>
                            </m:r>
                            <m:sSub>
                              <m:sSubPr>
                                <m:ctrlPr>
                                  <a:rPr lang="en-US" sz="1100" b="0" i="1">
                                    <a:solidFill>
                                      <a:srgbClr val="FF0000"/>
                                    </a:solidFill>
                                    <a:effectLst/>
                                    <a:latin typeface="Cambria Math" panose="02040503050406030204" pitchFamily="18" charset="0"/>
                                    <a:ea typeface="+mn-ea"/>
                                    <a:cs typeface="+mn-cs"/>
                                  </a:rPr>
                                </m:ctrlPr>
                              </m:sSubPr>
                              <m:e>
                                <m:r>
                                  <a:rPr lang="en-US" sz="1100" b="0" i="1">
                                    <a:solidFill>
                                      <a:srgbClr val="FF0000"/>
                                    </a:solidFill>
                                    <a:effectLst/>
                                    <a:latin typeface="Cambria Math" panose="02040503050406030204" pitchFamily="18" charset="0"/>
                                    <a:ea typeface="+mn-ea"/>
                                    <a:cs typeface="+mn-cs"/>
                                  </a:rPr>
                                  <m:t>𝐷</m:t>
                                </m:r>
                              </m:e>
                              <m:sub>
                                <m:r>
                                  <a:rPr lang="en-US" sz="1100" b="0" i="1">
                                    <a:solidFill>
                                      <a:srgbClr val="FF0000"/>
                                    </a:solidFill>
                                    <a:effectLst/>
                                    <a:latin typeface="Cambria Math" panose="02040503050406030204" pitchFamily="18" charset="0"/>
                                    <a:ea typeface="+mn-ea"/>
                                    <a:cs typeface="+mn-cs"/>
                                  </a:rPr>
                                  <m:t>𝐻𝑊</m:t>
                                </m:r>
                              </m:sub>
                            </m:sSub>
                            <m:r>
                              <a:rPr lang="en-US" sz="1100" b="0" i="1">
                                <a:solidFill>
                                  <a:srgbClr val="FF0000"/>
                                </a:solidFill>
                                <a:effectLst/>
                                <a:latin typeface="Cambria Math" panose="02040503050406030204" pitchFamily="18" charset="0"/>
                                <a:ea typeface="+mn-ea"/>
                                <a:cs typeface="+mn-cs"/>
                              </a:rPr>
                              <m:t> </m:t>
                            </m:r>
                          </m:num>
                          <m:den>
                            <m:r>
                              <a:rPr lang="en-US" sz="1100" b="0" i="1">
                                <a:solidFill>
                                  <a:srgbClr val="FF0000"/>
                                </a:solidFill>
                                <a:effectLst/>
                                <a:latin typeface="Cambria Math" panose="02040503050406030204" pitchFamily="18" charset="0"/>
                                <a:ea typeface="+mn-ea"/>
                                <a:cs typeface="+mn-cs"/>
                              </a:rPr>
                              <m:t>𝐵𝑊</m:t>
                            </m:r>
                            <m:d>
                              <m:dPr>
                                <m:ctrlPr>
                                  <a:rPr lang="en-US" sz="1100" b="0" i="1">
                                    <a:solidFill>
                                      <a:srgbClr val="FF0000"/>
                                    </a:solidFill>
                                    <a:effectLst/>
                                    <a:latin typeface="Cambria Math" panose="02040503050406030204" pitchFamily="18" charset="0"/>
                                    <a:ea typeface="+mn-ea"/>
                                    <a:cs typeface="+mn-cs"/>
                                  </a:rPr>
                                </m:ctrlPr>
                              </m:dPr>
                              <m:e>
                                <m:r>
                                  <a:rPr lang="en-US" sz="1100" b="0" i="1">
                                    <a:solidFill>
                                      <a:srgbClr val="FF0000"/>
                                    </a:solidFill>
                                    <a:effectLst/>
                                    <a:latin typeface="Cambria Math" panose="02040503050406030204" pitchFamily="18" charset="0"/>
                                    <a:ea typeface="+mn-ea"/>
                                    <a:cs typeface="+mn-cs"/>
                                  </a:rPr>
                                  <m:t>𝑖</m:t>
                                </m:r>
                              </m:e>
                            </m:d>
                          </m:den>
                        </m:f>
                        <m:r>
                          <a:rPr lang="en-US" sz="1100" b="0" i="1">
                            <a:solidFill>
                              <a:srgbClr val="FF0000"/>
                            </a:solidFill>
                            <a:latin typeface="Cambria Math" panose="02040503050406030204" pitchFamily="18" charset="0"/>
                            <a:ea typeface="Cambria Math" panose="02040503050406030204" pitchFamily="18" charset="0"/>
                          </a:rPr>
                          <m:t> ×</m:t>
                        </m:r>
                        <m:sSub>
                          <m:sSubPr>
                            <m:ctrlPr>
                              <a:rPr lang="en-US" sz="1100" b="0" i="1">
                                <a:solidFill>
                                  <a:srgbClr val="FF0000"/>
                                </a:solidFill>
                                <a:latin typeface="Cambria Math" panose="02040503050406030204" pitchFamily="18" charset="0"/>
                                <a:ea typeface="Cambria Math" panose="02040503050406030204" pitchFamily="18" charset="0"/>
                              </a:rPr>
                            </m:ctrlPr>
                          </m:sSubPr>
                          <m:e>
                            <m:r>
                              <a:rPr lang="en-US" sz="1100" b="0" i="1">
                                <a:solidFill>
                                  <a:srgbClr val="FF0000"/>
                                </a:solidFill>
                                <a:effectLst/>
                                <a:latin typeface="Cambria Math" panose="02040503050406030204" pitchFamily="18" charset="0"/>
                                <a:ea typeface="+mn-ea"/>
                                <a:cs typeface="+mn-cs"/>
                              </a:rPr>
                              <m:t>𝑃𝑎𝑟𝑎𝑙𝑒𝑙𝑙𝑖𝑠𝑚</m:t>
                            </m:r>
                          </m:e>
                          <m:sub>
                            <m:r>
                              <a:rPr lang="en-US" sz="1100" b="0" i="1">
                                <a:solidFill>
                                  <a:srgbClr val="FF0000"/>
                                </a:solidFill>
                                <a:latin typeface="Cambria Math" panose="02040503050406030204" pitchFamily="18" charset="0"/>
                                <a:ea typeface="Cambria Math" panose="02040503050406030204" pitchFamily="18" charset="0"/>
                              </a:rPr>
                              <m:t>𝐷𝐴𝑇𝐴</m:t>
                            </m:r>
                          </m:sub>
                        </m:sSub>
                        <m:d>
                          <m:dPr>
                            <m:ctrlPr>
                              <a:rPr lang="en-US" sz="1100" b="0" i="1">
                                <a:solidFill>
                                  <a:srgbClr val="FF0000"/>
                                </a:solidFill>
                                <a:latin typeface="Cambria Math" panose="02040503050406030204" pitchFamily="18" charset="0"/>
                                <a:ea typeface="Cambria Math" panose="02040503050406030204" pitchFamily="18" charset="0"/>
                              </a:rPr>
                            </m:ctrlPr>
                          </m:dPr>
                          <m:e>
                            <m:r>
                              <a:rPr lang="en-US" sz="1100" b="0" i="1">
                                <a:solidFill>
                                  <a:srgbClr val="FF0000"/>
                                </a:solidFill>
                                <a:latin typeface="Cambria Math" panose="02040503050406030204" pitchFamily="18" charset="0"/>
                                <a:ea typeface="Cambria Math" panose="02040503050406030204" pitchFamily="18" charset="0"/>
                              </a:rPr>
                              <m:t>𝑖</m:t>
                            </m:r>
                          </m:e>
                        </m:d>
                      </m:e>
                    </m:nary>
                  </m:oMath>
                </m:oMathPara>
              </a14:m>
              <a:endParaRPr lang="en-GB" sz="1100">
                <a:solidFill>
                  <a:srgbClr val="FF0000"/>
                </a:solidFill>
              </a:endParaRPr>
            </a:p>
          </xdr:txBody>
        </xdr:sp>
      </mc:Choice>
      <mc:Fallback xmlns="">
        <xdr:sp macro="" textlink="">
          <xdr:nvSpPr>
            <xdr:cNvPr id="128" name="TextBox 23">
              <a:extLst>
                <a:ext uri="{FF2B5EF4-FFF2-40B4-BE49-F238E27FC236}">
                  <a16:creationId xmlns:a16="http://schemas.microsoft.com/office/drawing/2014/main" id="{6FFE20A2-8FD2-4424-A292-73E9260D0934}"/>
                </a:ext>
              </a:extLst>
            </xdr:cNvPr>
            <xdr:cNvSpPr txBox="1"/>
          </xdr:nvSpPr>
          <xdr:spPr>
            <a:xfrm>
              <a:off x="3392486" y="31615591"/>
              <a:ext cx="9272236" cy="75882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solidFill>
                    <a:srgbClr val="FF0000"/>
                  </a:solidFill>
                  <a:latin typeface="Cambria Math" panose="02040503050406030204" pitchFamily="18" charset="0"/>
                </a:rPr>
                <a:t>𝐷</a:t>
              </a:r>
              <a:r>
                <a:rPr lang="en-GB" sz="1100" b="0" i="0">
                  <a:solidFill>
                    <a:srgbClr val="FF0000"/>
                  </a:solidFill>
                  <a:latin typeface="Cambria Math" panose="02040503050406030204" pitchFamily="18" charset="0"/>
                </a:rPr>
                <a:t>_</a:t>
              </a:r>
              <a:r>
                <a:rPr lang="en-US" sz="1100" b="0" i="0">
                  <a:solidFill>
                    <a:srgbClr val="FF0000"/>
                  </a:solidFill>
                  <a:latin typeface="Cambria Math" panose="02040503050406030204" pitchFamily="18" charset="0"/>
                </a:rPr>
                <a:t>𝑐𝑜𝑚𝑚  </a:t>
              </a:r>
              <a:r>
                <a:rPr lang="en-US" sz="1100" b="0" i="0">
                  <a:solidFill>
                    <a:srgbClr val="FF0000"/>
                  </a:solidFill>
                  <a:latin typeface="Cambria Math" panose="02040503050406030204" pitchFamily="18" charset="0"/>
                  <a:ea typeface="Cambria Math" panose="02040503050406030204" pitchFamily="18" charset="0"/>
                </a:rPr>
                <a:t>=</a:t>
              </a:r>
              <a:r>
                <a:rPr lang="en-US" sz="1100" b="0" i="0">
                  <a:solidFill>
                    <a:srgbClr val="FF0000"/>
                  </a:solidFill>
                  <a:effectLst/>
                  <a:latin typeface="Cambria Math" panose="02040503050406030204" pitchFamily="18" charset="0"/>
                  <a:ea typeface="+mn-ea"/>
                  <a:cs typeface="+mn-cs"/>
                </a:rPr>
                <a:t>(2〖</a:t>
              </a:r>
              <a:r>
                <a:rPr lang="en-US" sz="1100" b="0" i="0">
                  <a:solidFill>
                    <a:srgbClr val="FF0000"/>
                  </a:solidFill>
                  <a:effectLst/>
                  <a:latin typeface="Cambria Math" panose="02040503050406030204" pitchFamily="18" charset="0"/>
                  <a:ea typeface="Cambria Math" panose="02040503050406030204" pitchFamily="18" charset="0"/>
                  <a:cs typeface="+mn-cs"/>
                </a:rPr>
                <a:t>∙</a:t>
              </a:r>
              <a:r>
                <a:rPr lang="en-US" sz="1100" b="0" i="0">
                  <a:solidFill>
                    <a:srgbClr val="FF0000"/>
                  </a:solidFill>
                  <a:effectLst/>
                  <a:latin typeface="Cambria Math" panose="02040503050406030204" pitchFamily="18" charset="0"/>
                  <a:ea typeface="+mn-ea"/>
                  <a:cs typeface="+mn-cs"/>
                </a:rPr>
                <a:t>𝐷〗_(𝑆𝑊_𝑡𝑜𝑡𝑎𝑙)  −  𝐷_(𝐻𝑊_𝑡𝑜𝑡𝑎𝑙)   )/〖𝐵𝑊〗_𝑆𝑡𝑜𝑟𝑎𝑔𝑒2𝑐𝑜𝑚𝑝𝑢𝑡𝑒 +</a:t>
              </a:r>
              <a:r>
                <a:rPr lang="en-US" sz="1100" b="0" i="0">
                  <a:solidFill>
                    <a:srgbClr val="FF0000"/>
                  </a:solidFill>
                  <a:latin typeface="Cambria Math" panose="02040503050406030204" pitchFamily="18" charset="0"/>
                  <a:ea typeface="Cambria Math" panose="02040503050406030204" pitchFamily="18" charset="0"/>
                </a:rPr>
                <a:t>∑_(𝑖=1)^(𝐻𝑖𝑒𝑟𝑎𝑟𝑐ℎ𝑦_𝑑𝑒𝑝𝑡ℎ)▒〖</a:t>
              </a:r>
              <a:r>
                <a:rPr lang="en-US" sz="1100" b="0" i="0">
                  <a:solidFill>
                    <a:srgbClr val="FF0000"/>
                  </a:solidFill>
                  <a:effectLst/>
                  <a:latin typeface="Cambria Math" panose="02040503050406030204" pitchFamily="18" charset="0"/>
                  <a:ea typeface="+mn-ea"/>
                  <a:cs typeface="+mn-cs"/>
                </a:rPr>
                <a:t>(〖2</a:t>
              </a:r>
              <a:r>
                <a:rPr lang="en-US" sz="1100" b="0" i="0">
                  <a:solidFill>
                    <a:srgbClr val="FF0000"/>
                  </a:solidFill>
                  <a:effectLst/>
                  <a:latin typeface="Cambria Math" panose="02040503050406030204" pitchFamily="18" charset="0"/>
                  <a:ea typeface="Cambria Math" panose="02040503050406030204" pitchFamily="18" charset="0"/>
                  <a:cs typeface="+mn-cs"/>
                </a:rPr>
                <a:t>∙</a:t>
              </a:r>
              <a:r>
                <a:rPr lang="en-US" sz="1100" b="0" i="0">
                  <a:solidFill>
                    <a:srgbClr val="FF0000"/>
                  </a:solidFill>
                  <a:effectLst/>
                  <a:latin typeface="Cambria Math" panose="02040503050406030204" pitchFamily="18" charset="0"/>
                  <a:ea typeface="+mn-ea"/>
                  <a:cs typeface="+mn-cs"/>
                </a:rPr>
                <a:t>𝐷〗_𝑆𝑊 (𝑖)  − 𝐷_𝐻𝑊  )/𝐵𝑊(𝑖) </a:t>
              </a:r>
              <a:r>
                <a:rPr lang="en-US" sz="1100" b="0" i="0">
                  <a:solidFill>
                    <a:srgbClr val="FF0000"/>
                  </a:solidFill>
                  <a:effectLst/>
                  <a:latin typeface="Cambria Math" panose="02040503050406030204" pitchFamily="18" charset="0"/>
                  <a:ea typeface="Cambria Math" panose="02040503050406030204" pitchFamily="18" charset="0"/>
                  <a:cs typeface="+mn-cs"/>
                </a:rPr>
                <a:t> </a:t>
              </a:r>
              <a:r>
                <a:rPr lang="en-US" sz="1100" b="0" i="0">
                  <a:solidFill>
                    <a:srgbClr val="FF0000"/>
                  </a:solidFill>
                  <a:latin typeface="Cambria Math" panose="02040503050406030204" pitchFamily="18" charset="0"/>
                  <a:ea typeface="Cambria Math" panose="02040503050406030204" pitchFamily="18" charset="0"/>
                </a:rPr>
                <a:t> ×〖</a:t>
              </a:r>
              <a:r>
                <a:rPr lang="en-US" sz="1100" b="0" i="0">
                  <a:solidFill>
                    <a:srgbClr val="FF0000"/>
                  </a:solidFill>
                  <a:effectLst/>
                  <a:latin typeface="Cambria Math" panose="02040503050406030204" pitchFamily="18" charset="0"/>
                  <a:ea typeface="+mn-ea"/>
                  <a:cs typeface="+mn-cs"/>
                </a:rPr>
                <a:t>𝑃𝑎𝑟𝑎𝑙𝑒𝑙𝑙𝑖𝑠𝑚</a:t>
              </a:r>
              <a:r>
                <a:rPr lang="en-US" sz="1100" b="0" i="0">
                  <a:solidFill>
                    <a:srgbClr val="FF0000"/>
                  </a:solidFill>
                  <a:effectLst/>
                  <a:latin typeface="Cambria Math" panose="02040503050406030204" pitchFamily="18" charset="0"/>
                  <a:ea typeface="Cambria Math" panose="02040503050406030204" pitchFamily="18" charset="0"/>
                  <a:cs typeface="+mn-cs"/>
                </a:rPr>
                <a:t>〗_</a:t>
              </a:r>
              <a:r>
                <a:rPr lang="en-US" sz="1100" b="0" i="0">
                  <a:solidFill>
                    <a:srgbClr val="FF0000"/>
                  </a:solidFill>
                  <a:latin typeface="Cambria Math" panose="02040503050406030204" pitchFamily="18" charset="0"/>
                  <a:ea typeface="Cambria Math" panose="02040503050406030204" pitchFamily="18" charset="0"/>
                </a:rPr>
                <a:t>𝐷𝐴𝑇𝐴 (𝑖) 〗</a:t>
              </a:r>
              <a:endParaRPr lang="en-GB" sz="1100">
                <a:solidFill>
                  <a:srgbClr val="FF0000"/>
                </a:solidFill>
              </a:endParaRPr>
            </a:p>
          </xdr:txBody>
        </xdr:sp>
      </mc:Fallback>
    </mc:AlternateContent>
    <xdr:clientData/>
  </xdr:oneCellAnchor>
  <xdr:oneCellAnchor>
    <xdr:from>
      <xdr:col>3</xdr:col>
      <xdr:colOff>818243</xdr:colOff>
      <xdr:row>57</xdr:row>
      <xdr:rowOff>24946</xdr:rowOff>
    </xdr:from>
    <xdr:ext cx="4454071" cy="619125"/>
    <mc:AlternateContent xmlns:mc="http://schemas.openxmlformats.org/markup-compatibility/2006" xmlns:a14="http://schemas.microsoft.com/office/drawing/2010/main">
      <mc:Choice Requires="a14">
        <xdr:sp macro="" textlink="">
          <xdr:nvSpPr>
            <xdr:cNvPr id="66" name="TextBox 76">
              <a:extLst>
                <a:ext uri="{FF2B5EF4-FFF2-40B4-BE49-F238E27FC236}">
                  <a16:creationId xmlns:a16="http://schemas.microsoft.com/office/drawing/2014/main" id="{19D15A39-BEDD-4F6B-A7A7-ED8F8CA53FF1}"/>
                </a:ext>
              </a:extLst>
            </xdr:cNvPr>
            <xdr:cNvSpPr txBox="1"/>
          </xdr:nvSpPr>
          <xdr:spPr>
            <a:xfrm>
              <a:off x="7504793" y="20303671"/>
              <a:ext cx="4454071" cy="619125"/>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US" sz="1400" b="0" i="1">
                <a:solidFill>
                  <a:sysClr val="windowText" lastClr="000000"/>
                </a:solidFill>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400" b="0" i="1">
                        <a:solidFill>
                          <a:sysClr val="windowText" lastClr="000000"/>
                        </a:solidFill>
                        <a:latin typeface="Cambria Math" panose="02040503050406030204" pitchFamily="18" charset="0"/>
                      </a:rPr>
                      <m:t>𝐸𝑓𝑓</m:t>
                    </m:r>
                    <m:d>
                      <m:dPr>
                        <m:ctrlPr>
                          <a:rPr lang="en-US" sz="1400" b="0" i="1">
                            <a:solidFill>
                              <a:sysClr val="windowText" lastClr="000000"/>
                            </a:solidFill>
                            <a:latin typeface="Cambria Math" panose="02040503050406030204" pitchFamily="18" charset="0"/>
                          </a:rPr>
                        </m:ctrlPr>
                      </m:dPr>
                      <m:e>
                        <m:r>
                          <a:rPr lang="en-US" sz="1400" b="0" i="1">
                            <a:solidFill>
                              <a:sysClr val="windowText" lastClr="000000"/>
                            </a:solidFill>
                            <a:latin typeface="Cambria Math" panose="02040503050406030204" pitchFamily="18" charset="0"/>
                          </a:rPr>
                          <m:t>𝑢𝑏</m:t>
                        </m:r>
                      </m:e>
                    </m:d>
                    <m:r>
                      <a:rPr lang="en-US" sz="1400" b="0" i="1">
                        <a:solidFill>
                          <a:sysClr val="windowText" lastClr="000000"/>
                        </a:solidFill>
                        <a:latin typeface="Cambria Math" panose="02040503050406030204" pitchFamily="18" charset="0"/>
                      </a:rPr>
                      <m:t>=  0.5∗ </m:t>
                    </m:r>
                    <m:sSup>
                      <m:sSupPr>
                        <m:ctrlPr>
                          <a:rPr lang="en-US" sz="1400" b="0" i="1">
                            <a:solidFill>
                              <a:sysClr val="windowText" lastClr="000000"/>
                            </a:solidFill>
                            <a:latin typeface="Cambria Math" panose="02040503050406030204" pitchFamily="18" charset="0"/>
                          </a:rPr>
                        </m:ctrlPr>
                      </m:sSupPr>
                      <m:e>
                        <m:r>
                          <a:rPr lang="en-US" sz="1400" b="0" i="1">
                            <a:solidFill>
                              <a:sysClr val="windowText" lastClr="000000"/>
                            </a:solidFill>
                            <a:latin typeface="Cambria Math" panose="02040503050406030204" pitchFamily="18" charset="0"/>
                          </a:rPr>
                          <m:t>𝑢𝑏</m:t>
                        </m:r>
                      </m:e>
                      <m:sup>
                        <m:r>
                          <a:rPr lang="en-US" sz="1400" b="0" i="1">
                            <a:solidFill>
                              <a:sysClr val="windowText" lastClr="000000"/>
                            </a:solidFill>
                            <a:latin typeface="Cambria Math" panose="02040503050406030204" pitchFamily="18" charset="0"/>
                          </a:rPr>
                          <m:t>0.21</m:t>
                        </m:r>
                      </m:sup>
                    </m:sSup>
                    <m:r>
                      <a:rPr lang="en-US" sz="1400" b="0" i="1">
                        <a:solidFill>
                          <a:sysClr val="windowText" lastClr="000000"/>
                        </a:solidFill>
                        <a:latin typeface="Cambria Math" panose="02040503050406030204" pitchFamily="18" charset="0"/>
                      </a:rPr>
                      <m:t>− 0.001∗</m:t>
                    </m:r>
                    <m:sSup>
                      <m:sSupPr>
                        <m:ctrlPr>
                          <a:rPr lang="en-US" sz="1400" b="0" i="1">
                            <a:solidFill>
                              <a:sysClr val="windowText" lastClr="000000"/>
                            </a:solidFill>
                            <a:latin typeface="Cambria Math" panose="02040503050406030204" pitchFamily="18" charset="0"/>
                          </a:rPr>
                        </m:ctrlPr>
                      </m:sSupPr>
                      <m:e>
                        <m:r>
                          <a:rPr lang="en-US" sz="1400" b="0" i="1">
                            <a:solidFill>
                              <a:sysClr val="windowText" lastClr="000000"/>
                            </a:solidFill>
                            <a:latin typeface="Cambria Math" panose="02040503050406030204" pitchFamily="18" charset="0"/>
                          </a:rPr>
                          <m:t>𝑢𝑏</m:t>
                        </m:r>
                      </m:e>
                      <m:sup>
                        <m:r>
                          <a:rPr lang="en-US" sz="1400" b="0" i="1">
                            <a:solidFill>
                              <a:sysClr val="windowText" lastClr="000000"/>
                            </a:solidFill>
                            <a:latin typeface="Cambria Math" panose="02040503050406030204" pitchFamily="18" charset="0"/>
                          </a:rPr>
                          <m:t>1.31</m:t>
                        </m:r>
                      </m:sup>
                    </m:sSup>
                  </m:oMath>
                </m:oMathPara>
              </a14:m>
              <a:endParaRPr lang="en-GB" sz="1400" i="1"/>
            </a:p>
          </xdr:txBody>
        </xdr:sp>
      </mc:Choice>
      <mc:Fallback xmlns="">
        <xdr:sp macro="" textlink="">
          <xdr:nvSpPr>
            <xdr:cNvPr id="561" name="TextBox 76">
              <a:extLst>
                <a:ext uri="{FF2B5EF4-FFF2-40B4-BE49-F238E27FC236}">
                  <a16:creationId xmlns:a16="http://schemas.microsoft.com/office/drawing/2014/main" id="{19D15A39-BEDD-4F6B-A7A7-ED8F8CA53FF1}"/>
                </a:ext>
              </a:extLst>
            </xdr:cNvPr>
            <xdr:cNvSpPr txBox="1"/>
          </xdr:nvSpPr>
          <xdr:spPr>
            <a:xfrm>
              <a:off x="7504793" y="20303671"/>
              <a:ext cx="4454071" cy="619125"/>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US" sz="1400" b="0" i="1">
                <a:solidFill>
                  <a:sysClr val="windowText" lastClr="000000"/>
                </a:solidFill>
                <a:latin typeface="Cambria Math" panose="02040503050406030204" pitchFamily="18" charset="0"/>
              </a:endParaRPr>
            </a:p>
            <a:p>
              <a:pPr/>
              <a:r>
                <a:rPr lang="en-US" sz="1400" b="0" i="0">
                  <a:solidFill>
                    <a:sysClr val="windowText" lastClr="000000"/>
                  </a:solidFill>
                  <a:latin typeface="Cambria Math" panose="02040503050406030204" pitchFamily="18" charset="0"/>
                </a:rPr>
                <a:t>𝐸𝑓𝑓(𝑢𝑏)=  0.5∗ 〖𝑢𝑏〗^0.21− 0.001∗〖𝑢𝑏〗^1.31</a:t>
              </a:r>
              <a:endParaRPr lang="en-GB" sz="1400" i="1"/>
            </a:p>
          </xdr:txBody>
        </xdr:sp>
      </mc:Fallback>
    </mc:AlternateContent>
    <xdr:clientData/>
  </xdr:oneCellAnchor>
  <xdr:oneCellAnchor>
    <xdr:from>
      <xdr:col>1</xdr:col>
      <xdr:colOff>18143</xdr:colOff>
      <xdr:row>96</xdr:row>
      <xdr:rowOff>33563</xdr:rowOff>
    </xdr:from>
    <xdr:ext cx="17848035" cy="1036951"/>
    <mc:AlternateContent xmlns:mc="http://schemas.openxmlformats.org/markup-compatibility/2006" xmlns:a14="http://schemas.microsoft.com/office/drawing/2010/main">
      <mc:Choice Requires="a14">
        <xdr:sp macro="" textlink="">
          <xdr:nvSpPr>
            <xdr:cNvPr id="30" name="TextBox 90">
              <a:extLst>
                <a:ext uri="{FF2B5EF4-FFF2-40B4-BE49-F238E27FC236}">
                  <a16:creationId xmlns:a16="http://schemas.microsoft.com/office/drawing/2014/main" id="{91B08249-0903-48CE-A3A2-5E53AB101C7F}"/>
                </a:ext>
              </a:extLst>
            </xdr:cNvPr>
            <xdr:cNvSpPr txBox="1"/>
          </xdr:nvSpPr>
          <xdr:spPr>
            <a:xfrm>
              <a:off x="3273208" y="40991063"/>
              <a:ext cx="17848035" cy="10369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400" b="0" i="1">
                        <a:solidFill>
                          <a:schemeClr val="tx1"/>
                        </a:solidFill>
                        <a:latin typeface="Cambria Math" panose="02040503050406030204" pitchFamily="18" charset="0"/>
                      </a:rPr>
                      <m:t>𝑀</m:t>
                    </m:r>
                    <m:r>
                      <a:rPr lang="en-US" sz="1400" b="0" i="1" baseline="-25000">
                        <a:solidFill>
                          <a:schemeClr val="tx1"/>
                        </a:solidFill>
                        <a:latin typeface="Cambria Math" panose="02040503050406030204" pitchFamily="18" charset="0"/>
                      </a:rPr>
                      <m:t>𝑓</m:t>
                    </m:r>
                    <m:r>
                      <a:rPr lang="en-US" sz="1400" b="0" i="1" baseline="-25000">
                        <a:solidFill>
                          <a:schemeClr val="tx1"/>
                        </a:solidFill>
                        <a:latin typeface="Cambria Math" panose="02040503050406030204" pitchFamily="18" charset="0"/>
                      </a:rPr>
                      <m:t>_</m:t>
                    </m:r>
                    <m:r>
                      <a:rPr lang="en-US" sz="1400" b="0" i="1" baseline="-25000">
                        <a:solidFill>
                          <a:schemeClr val="tx1"/>
                        </a:solidFill>
                        <a:latin typeface="Cambria Math" panose="02040503050406030204" pitchFamily="18" charset="0"/>
                      </a:rPr>
                      <m:t>𝑇𝑃</m:t>
                    </m:r>
                    <m:r>
                      <a:rPr lang="en-US" sz="1400" b="0" i="1" baseline="-25000">
                        <a:solidFill>
                          <a:schemeClr val="tx1"/>
                        </a:solidFill>
                        <a:latin typeface="Cambria Math" panose="02040503050406030204" pitchFamily="18" charset="0"/>
                      </a:rPr>
                      <m:t>_</m:t>
                    </m:r>
                    <m:r>
                      <a:rPr lang="en-US" sz="1400" b="0" i="1" baseline="-25000">
                        <a:solidFill>
                          <a:schemeClr val="tx1"/>
                        </a:solidFill>
                        <a:latin typeface="Cambria Math" panose="02040503050406030204" pitchFamily="18" charset="0"/>
                      </a:rPr>
                      <m:t>𝑖𝑛𝑡𝑟𝑎</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e>
                    </m:d>
                    <m:r>
                      <a:rPr lang="en-US" sz="1400" b="0" i="1" baseline="0">
                        <a:solidFill>
                          <a:schemeClr val="tx1"/>
                        </a:solidFill>
                        <a:latin typeface="Cambria Math" panose="02040503050406030204" pitchFamily="18" charset="0"/>
                      </a:rPr>
                      <m:t>= </m:t>
                    </m:r>
                    <m:r>
                      <a:rPr lang="en-GB" sz="1400" i="1">
                        <a:solidFill>
                          <a:schemeClr val="tx1"/>
                        </a:solidFill>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𝑖𝑛𝑡𝑟𝑎</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𝑜</m:t>
                            </m:r>
                          </m:e>
                          <m:sub>
                            <m:r>
                              <a:rPr lang="en-US" sz="1100" b="0" i="1">
                                <a:solidFill>
                                  <a:schemeClr val="tx1"/>
                                </a:solidFill>
                                <a:effectLst/>
                                <a:latin typeface="Cambria Math" panose="02040503050406030204" pitchFamily="18" charset="0"/>
                                <a:ea typeface="+mn-ea"/>
                                <a:cs typeface="+mn-cs"/>
                              </a:rPr>
                              <m:t>𝑖𝑛𝑡𝑟𝑎</m:t>
                            </m:r>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𝑇</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en-US" sz="1100" b="0" i="1">
                                <a:solidFill>
                                  <a:schemeClr val="tx1"/>
                                </a:solidFill>
                                <a:effectLst/>
                                <a:latin typeface="Cambria Math" panose="02040503050406030204" pitchFamily="18" charset="0"/>
                                <a:ea typeface="+mn-ea"/>
                                <a:cs typeface="+mn-cs"/>
                              </a:rPr>
                              <m:t>𝑖𝑛𝑡𝑟𝑎</m:t>
                            </m:r>
                          </m:sub>
                        </m:sSub>
                      </m:sub>
                    </m:sSub>
                    <m:r>
                      <a:rPr lang="en-GB" sz="1100" i="1" baseline="0">
                        <a:solidFill>
                          <a:schemeClr val="tx1"/>
                        </a:solidFill>
                        <a:effectLst/>
                        <a:latin typeface="Cambria Math" panose="02040503050406030204" pitchFamily="18" charset="0"/>
                        <a:ea typeface="+mn-ea"/>
                        <a:cs typeface="+mn-cs"/>
                      </a:rPr>
                      <m:t> + </m:t>
                    </m:r>
                    <m:sSub>
                      <m:sSubPr>
                        <m:ctrlPr>
                          <a:rPr lang="en-GB" sz="1100" i="1" baseline="0">
                            <a:solidFill>
                              <a:schemeClr val="tx1"/>
                            </a:solidFill>
                            <a:effectLst/>
                            <a:latin typeface="Cambria Math" panose="02040503050406030204" pitchFamily="18" charset="0"/>
                            <a:ea typeface="+mn-ea"/>
                            <a:cs typeface="+mn-cs"/>
                          </a:rPr>
                        </m:ctrlPr>
                      </m:sSubPr>
                      <m:e>
                        <m:r>
                          <a:rPr lang="en-GB" sz="1100" i="1" baseline="0">
                            <a:solidFill>
                              <a:schemeClr val="tx1"/>
                            </a:solidFill>
                            <a:effectLst/>
                            <a:latin typeface="Cambria Math" panose="02040503050406030204" pitchFamily="18" charset="0"/>
                            <a:ea typeface="+mn-ea"/>
                            <a:cs typeface="+mn-cs"/>
                          </a:rPr>
                          <m:t>𝑁</m:t>
                        </m:r>
                      </m:e>
                      <m:sub>
                        <m:r>
                          <a:rPr lang="en-GB" sz="1100" i="1" baseline="0">
                            <a:solidFill>
                              <a:schemeClr val="tx1"/>
                            </a:solidFill>
                            <a:effectLst/>
                            <a:latin typeface="Cambria Math" panose="02040503050406030204" pitchFamily="18" charset="0"/>
                            <a:ea typeface="+mn-ea"/>
                            <a:cs typeface="+mn-cs"/>
                          </a:rPr>
                          <m:t>𝑎𝑐</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𝑡</m:t>
                            </m:r>
                          </m:e>
                          <m:sub>
                            <m:r>
                              <a:rPr lang="en-US" sz="1100" b="0" i="1" baseline="0">
                                <a:solidFill>
                                  <a:schemeClr val="tx1"/>
                                </a:solidFill>
                                <a:effectLst/>
                                <a:latin typeface="Cambria Math" panose="02040503050406030204" pitchFamily="18" charset="0"/>
                                <a:ea typeface="+mn-ea"/>
                                <a:cs typeface="+mn-cs"/>
                              </a:rPr>
                              <m:t>𝑖𝑛𝑡𝑟𝑎</m:t>
                            </m:r>
                          </m:sub>
                        </m:sSub>
                      </m:sub>
                    </m:sSub>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𝑙</m:t>
                    </m:r>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𝑎𝑐𝑡𝑖𝑣𝑎𝑡𝑖𝑜𝑛</m:t>
                            </m:r>
                          </m:sub>
                        </m:sSub>
                      </m:num>
                      <m:den>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𝑖𝑛𝑡𝑟𝑎</m:t>
                            </m:r>
                          </m:sub>
                        </m:sSub>
                      </m:den>
                    </m:f>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𝑡𝑜𝑝𝑜</m:t>
                        </m:r>
                        <m:r>
                          <a:rPr lang="en-US" sz="1100" b="0" i="1" baseline="0">
                            <a:solidFill>
                              <a:schemeClr val="tx1"/>
                            </a:solidFill>
                            <a:effectLst/>
                            <a:latin typeface="Cambria Math" panose="02040503050406030204" pitchFamily="18" charset="0"/>
                            <a:ea typeface="+mn-ea"/>
                            <a:cs typeface="+mn-cs"/>
                          </a:rPr>
                          <m:t>_</m:t>
                        </m:r>
                        <m:r>
                          <a:rPr lang="en-US" sz="1100" b="0" i="1" baseline="0">
                            <a:solidFill>
                              <a:schemeClr val="tx1"/>
                            </a:solidFill>
                            <a:effectLst/>
                            <a:latin typeface="Cambria Math" panose="02040503050406030204" pitchFamily="18" charset="0"/>
                            <a:ea typeface="+mn-ea"/>
                            <a:cs typeface="+mn-cs"/>
                          </a:rPr>
                          <m:t>𝑖𝑛𝑡𝑟𝑎</m:t>
                        </m:r>
                      </m:sub>
                    </m:sSub>
                  </m:oMath>
                </m:oMathPara>
              </a14:m>
              <a:endParaRPr lang="en-GB" sz="1400" baseline="0">
                <a:solidFill>
                  <a:schemeClr val="tx1"/>
                </a:solidFill>
              </a:endParaRPr>
            </a:p>
            <a:p>
              <a14:m>
                <m:oMath xmlns:m="http://schemas.openxmlformats.org/officeDocument/2006/math">
                  <m:sSub>
                    <m:sSubPr>
                      <m:ctrlPr>
                        <a:rPr lang="en-US" sz="1400" b="0" i="1" baseline="0">
                          <a:solidFill>
                            <a:schemeClr val="tx1"/>
                          </a:solidFill>
                          <a:latin typeface="Cambria Math" panose="02040503050406030204" pitchFamily="18" charset="0"/>
                        </a:rPr>
                      </m:ctrlPr>
                    </m:sSubPr>
                    <m:e>
                      <m:r>
                        <a:rPr lang="en-US" sz="1400" b="0" i="1" baseline="0">
                          <a:solidFill>
                            <a:schemeClr val="tx1"/>
                          </a:solidFill>
                          <a:latin typeface="Cambria Math" panose="02040503050406030204" pitchFamily="18" charset="0"/>
                        </a:rPr>
                        <m:t>𝑁</m:t>
                      </m:r>
                    </m:e>
                    <m:sub>
                      <m:r>
                        <a:rPr lang="en-US" sz="1400" b="0" i="1" baseline="0">
                          <a:solidFill>
                            <a:schemeClr val="tx1"/>
                          </a:solidFill>
                          <a:latin typeface="Cambria Math" panose="02040503050406030204" pitchFamily="18" charset="0"/>
                        </a:rPr>
                        <m:t>𝑎𝑐</m:t>
                      </m:r>
                      <m:sSub>
                        <m:sSubPr>
                          <m:ctrlPr>
                            <a:rPr lang="en-US" sz="1400" b="0" i="1" baseline="0">
                              <a:solidFill>
                                <a:schemeClr val="tx1"/>
                              </a:solidFill>
                              <a:latin typeface="Cambria Math" panose="02040503050406030204" pitchFamily="18" charset="0"/>
                            </a:rPr>
                          </m:ctrlPr>
                        </m:sSubPr>
                        <m:e>
                          <m:r>
                            <a:rPr lang="en-US" sz="1400" b="0" i="1" baseline="0">
                              <a:solidFill>
                                <a:schemeClr val="tx1"/>
                              </a:solidFill>
                              <a:latin typeface="Cambria Math" panose="02040503050406030204" pitchFamily="18" charset="0"/>
                            </a:rPr>
                            <m:t>𝑡</m:t>
                          </m:r>
                        </m:e>
                        <m:sub>
                          <m:r>
                            <a:rPr lang="en-US" sz="1400" b="0" i="1" baseline="0">
                              <a:solidFill>
                                <a:schemeClr val="tx1"/>
                              </a:solidFill>
                              <a:latin typeface="Cambria Math" panose="02040503050406030204" pitchFamily="18" charset="0"/>
                            </a:rPr>
                            <m:t>𝑖𝑛𝑡𝑟𝑎</m:t>
                          </m:r>
                        </m:sub>
                      </m:sSub>
                    </m:sub>
                  </m:sSub>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r>
                        <a:rPr lang="en-US" sz="1400" b="0" i="1" baseline="0">
                          <a:solidFill>
                            <a:schemeClr val="tx1"/>
                          </a:solidFill>
                          <a:latin typeface="Cambria Math" panose="02040503050406030204" pitchFamily="18" charset="0"/>
                        </a:rPr>
                        <m:t>,</m:t>
                      </m:r>
                      <m:r>
                        <a:rPr lang="en-US" sz="1400" b="0" i="1" baseline="0">
                          <a:solidFill>
                            <a:schemeClr val="tx1"/>
                          </a:solidFill>
                          <a:latin typeface="Cambria Math" panose="02040503050406030204" pitchFamily="18" charset="0"/>
                        </a:rPr>
                        <m:t>𝑐𝑜𝑚</m:t>
                      </m:r>
                      <m:sSub>
                        <m:sSubPr>
                          <m:ctrlPr>
                            <a:rPr lang="en-US" sz="1400" b="0" i="1" baseline="0">
                              <a:solidFill>
                                <a:schemeClr val="tx1"/>
                              </a:solidFill>
                              <a:latin typeface="Cambria Math" panose="02040503050406030204" pitchFamily="18" charset="0"/>
                            </a:rPr>
                          </m:ctrlPr>
                        </m:sSubPr>
                        <m:e>
                          <m:r>
                            <a:rPr lang="en-US" sz="1400" b="0" i="1" baseline="0">
                              <a:solidFill>
                                <a:schemeClr val="tx1"/>
                              </a:solidFill>
                              <a:latin typeface="Cambria Math" panose="02040503050406030204" pitchFamily="18" charset="0"/>
                            </a:rPr>
                            <m:t>𝑚</m:t>
                          </m:r>
                        </m:e>
                        <m:sub>
                          <m:r>
                            <a:rPr lang="en-US" sz="1400" b="0" i="1" baseline="0">
                              <a:solidFill>
                                <a:schemeClr val="tx1"/>
                              </a:solidFill>
                              <a:latin typeface="Cambria Math" panose="02040503050406030204" pitchFamily="18" charset="0"/>
                            </a:rPr>
                            <m:t>𝑡𝑦𝑝𝑒</m:t>
                          </m:r>
                        </m:sub>
                      </m:sSub>
                    </m:e>
                  </m:d>
                  <m:r>
                    <a:rPr lang="en-US" sz="1400" b="0" i="1" baseline="0">
                      <a:solidFill>
                        <a:schemeClr val="tx1"/>
                      </a:solidFill>
                      <a:latin typeface="Cambria Math" panose="02040503050406030204" pitchFamily="18" charset="0"/>
                    </a:rPr>
                    <m:t>=0 </m:t>
                  </m:r>
                </m:oMath>
              </a14:m>
              <a:r>
                <a:rPr lang="en-US" sz="1400" b="0" i="1" baseline="0">
                  <a:solidFill>
                    <a:schemeClr val="tx1"/>
                  </a:solidFill>
                  <a:latin typeface="Cambria Math" panose="02040503050406030204" pitchFamily="18" charset="0"/>
                </a:rPr>
                <a:t>if N_TP_inter != 1</a:t>
              </a:r>
            </a:p>
            <a:p>
              <a:pPr marL="0" marR="0" lvl="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𝑎𝑐</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𝑡</m:t>
                          </m:r>
                        </m:e>
                        <m:sub>
                          <m:r>
                            <a:rPr lang="en-US" sz="1100" b="0" i="1" baseline="0">
                              <a:solidFill>
                                <a:schemeClr val="tx1"/>
                              </a:solidFill>
                              <a:effectLst/>
                              <a:latin typeface="Cambria Math" panose="02040503050406030204" pitchFamily="18" charset="0"/>
                              <a:ea typeface="+mn-ea"/>
                              <a:cs typeface="+mn-cs"/>
                            </a:rPr>
                            <m:t>𝑖𝑛𝑡𝑟𝑎</m:t>
                          </m:r>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𝑐𝑜𝑚</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𝑚</m:t>
                          </m:r>
                        </m:e>
                        <m:sub>
                          <m:r>
                            <a:rPr lang="en-US" sz="1100" b="0" i="1" baseline="0">
                              <a:solidFill>
                                <a:schemeClr val="tx1"/>
                              </a:solidFill>
                              <a:effectLst/>
                              <a:latin typeface="Cambria Math" panose="02040503050406030204" pitchFamily="18" charset="0"/>
                              <a:ea typeface="+mn-ea"/>
                              <a:cs typeface="+mn-cs"/>
                            </a:rPr>
                            <m:t>𝑡𝑦𝑝𝑒</m:t>
                          </m:r>
                        </m:sub>
                      </m:sSub>
                    </m:e>
                  </m:d>
                  <m:r>
                    <a:rPr lang="en-US" sz="1100" b="0" i="1" baseline="0">
                      <a:solidFill>
                        <a:schemeClr val="tx1"/>
                      </a:solidFill>
                      <a:effectLst/>
                      <a:latin typeface="Cambria Math" panose="02040503050406030204" pitchFamily="18" charset="0"/>
                      <a:ea typeface="+mn-ea"/>
                      <a:cs typeface="+mn-cs"/>
                    </a:rPr>
                    <m:t>= </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𝑎𝑐𝑡</m:t>
                      </m:r>
                    </m:sub>
                  </m:sSub>
                  <m:r>
                    <m:rPr>
                      <m:nor/>
                    </m:rPr>
                    <a:rPr lang="en-US" sz="1100" b="0" i="1" baseline="0">
                      <a:solidFill>
                        <a:schemeClr val="tx1"/>
                      </a:solidFill>
                      <a:effectLst/>
                      <a:latin typeface="+mn-lt"/>
                      <a:ea typeface="+mn-ea"/>
                      <a:cs typeface="+mn-cs"/>
                    </a:rPr>
                    <m:t>   </m:t>
                  </m:r>
                </m:oMath>
              </a14:m>
              <a:r>
                <a:rPr lang="en-US" sz="1100" b="0" i="1" baseline="0">
                  <a:solidFill>
                    <a:schemeClr val="tx1"/>
                  </a:solidFill>
                  <a:effectLst/>
                  <a:latin typeface="+mn-lt"/>
                  <a:ea typeface="+mn-ea"/>
                  <a:cs typeface="+mn-cs"/>
                </a:rPr>
                <a:t>if N_TP_inter =1</a:t>
              </a:r>
            </a:p>
            <a:p>
              <a:pPr/>
              <a14:m>
                <m:oMathPara xmlns:m="http://schemas.openxmlformats.org/officeDocument/2006/math">
                  <m:oMathParaPr>
                    <m:jc m:val="centerGroup"/>
                  </m:oMathParaPr>
                  <m:oMath xmlns:m="http://schemas.openxmlformats.org/officeDocument/2006/math">
                    <m:r>
                      <m:rPr>
                        <m:nor/>
                      </m:rPr>
                      <a:rPr lang="en-US" sz="1100" b="0" i="1" baseline="0">
                        <a:solidFill>
                          <a:schemeClr val="tx1"/>
                        </a:solidFill>
                        <a:effectLst/>
                        <a:latin typeface="+mn-lt"/>
                        <a:ea typeface="+mn-ea"/>
                        <a:cs typeface="+mn-cs"/>
                      </a:rPr>
                      <m:t> </m:t>
                    </m:r>
                  </m:oMath>
                </m:oMathPara>
              </a14:m>
              <a:endParaRPr lang="en-GB" sz="1400" baseline="0">
                <a:solidFill>
                  <a:schemeClr val="tx1"/>
                </a:solidFill>
              </a:endParaRPr>
            </a:p>
          </xdr:txBody>
        </xdr:sp>
      </mc:Choice>
      <mc:Fallback xmlns="">
        <xdr:sp macro="" textlink="">
          <xdr:nvSpPr>
            <xdr:cNvPr id="30" name="TextBox 90">
              <a:extLst>
                <a:ext uri="{FF2B5EF4-FFF2-40B4-BE49-F238E27FC236}">
                  <a16:creationId xmlns:a16="http://schemas.microsoft.com/office/drawing/2014/main" id="{91B08249-0903-48CE-A3A2-5E53AB101C7F}"/>
                </a:ext>
              </a:extLst>
            </xdr:cNvPr>
            <xdr:cNvSpPr txBox="1"/>
          </xdr:nvSpPr>
          <xdr:spPr>
            <a:xfrm>
              <a:off x="3272518" y="41626063"/>
              <a:ext cx="17848035" cy="10369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𝑓_𝑇𝑃_𝑖𝑛𝑡𝑟𝑎</a:t>
              </a:r>
              <a:r>
                <a:rPr lang="en-US" sz="1400" b="0" i="0" baseline="0">
                  <a:solidFill>
                    <a:schemeClr val="tx1"/>
                  </a:solidFill>
                  <a:latin typeface="Cambria Math" panose="02040503050406030204" pitchFamily="18" charset="0"/>
                </a:rPr>
                <a:t>(𝑙)= </a:t>
              </a:r>
              <a:r>
                <a:rPr lang="en-GB" sz="1400" i="0">
                  <a:solidFill>
                    <a:schemeClr val="tx1"/>
                  </a:solidFill>
                  <a:latin typeface="Cambria Math" panose="02040503050406030204" pitchFamily="18" charset="0"/>
                </a:rPr>
                <a:t> </a:t>
              </a:r>
              <a:r>
                <a:rPr lang="en-US" sz="1100" b="0" i="0">
                  <a:solidFill>
                    <a:schemeClr val="tx1"/>
                  </a:solidFill>
                  <a:effectLst/>
                  <a:latin typeface="+mn-lt"/>
                  <a:ea typeface="+mn-ea"/>
                  <a:cs typeface="+mn-cs"/>
                </a:rPr>
                <a:t>𝐶_𝑖𝑛𝑡𝑟𝑎∗𝑁_(𝑡𝑜𝑝𝑜_𝑖𝑛𝑡𝑟𝑎 )∗𝑁_(𝑇𝑃_𝑖𝑛𝑡𝑟𝑎 )</a:t>
              </a:r>
              <a:r>
                <a:rPr lang="en-GB" sz="1100" b="0" i="0" baseline="0">
                  <a:solidFill>
                    <a:schemeClr val="tx1"/>
                  </a:solidFill>
                  <a:effectLst/>
                  <a:latin typeface="+mn-lt"/>
                  <a:ea typeface="+mn-ea"/>
                  <a:cs typeface="+mn-cs"/>
                </a:rPr>
                <a:t> </a:t>
              </a:r>
              <a:r>
                <a:rPr lang="en-GB" sz="1100" i="0" baseline="0">
                  <a:solidFill>
                    <a:schemeClr val="tx1"/>
                  </a:solidFill>
                  <a:effectLst/>
                  <a:latin typeface="+mn-lt"/>
                  <a:ea typeface="+mn-ea"/>
                  <a:cs typeface="+mn-cs"/>
                </a:rPr>
                <a:t> + 𝑁_(𝑎𝑐</a:t>
              </a:r>
              <a:r>
                <a:rPr lang="en-US" sz="1100" b="0" i="0" baseline="0">
                  <a:solidFill>
                    <a:schemeClr val="tx1"/>
                  </a:solidFill>
                  <a:effectLst/>
                  <a:latin typeface="+mn-lt"/>
                  <a:ea typeface="+mn-ea"/>
                  <a:cs typeface="+mn-cs"/>
                </a:rPr>
                <a:t>𝑡_𝑖𝑛𝑡𝑟𝑎 </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 (𝑙)∗  𝑆_𝑎𝑐𝑡𝑖𝑣𝑎𝑡𝑖𝑜𝑛</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𝐵𝑊_𝑖𝑛𝑡𝑟𝑎 </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∗𝑁_(𝑡𝑜𝑝𝑜_𝑖𝑛𝑡𝑟𝑎)</a:t>
              </a:r>
              <a:endParaRPr lang="en-GB" sz="1400" baseline="0">
                <a:solidFill>
                  <a:schemeClr val="tx1"/>
                </a:solidFill>
              </a:endParaRPr>
            </a:p>
            <a:p>
              <a:r>
                <a:rPr lang="en-US" sz="1400" b="0" i="0" baseline="0">
                  <a:solidFill>
                    <a:schemeClr val="tx1"/>
                  </a:solidFill>
                  <a:latin typeface="Cambria Math" panose="02040503050406030204" pitchFamily="18" charset="0"/>
                </a:rPr>
                <a:t>𝑁_(𝑎𝑐𝑡_𝑖𝑛𝑡𝑟𝑎 ) (𝑙,𝑐𝑜𝑚𝑚_𝑡𝑦𝑝𝑒 )=0 </a:t>
              </a:r>
              <a:r>
                <a:rPr lang="en-US" sz="1400" b="0" i="1" baseline="0">
                  <a:solidFill>
                    <a:schemeClr val="tx1"/>
                  </a:solidFill>
                  <a:latin typeface="Cambria Math" panose="02040503050406030204" pitchFamily="18" charset="0"/>
                </a:rPr>
                <a:t>if N_TP_inter != 1</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Cambria Math" panose="02040503050406030204" pitchFamily="18" charset="0"/>
                  <a:ea typeface="+mn-ea"/>
                  <a:cs typeface="+mn-cs"/>
                </a:rPr>
                <a:t>𝑁_(𝑎𝑐𝑡_𝑖𝑛𝑡𝑟𝑎 ) (𝑙,𝑐𝑜𝑚𝑚_𝑡𝑦𝑝𝑒 )= 𝑁_𝑎𝑐𝑡</a:t>
              </a:r>
              <a:r>
                <a:rPr lang="en-US" sz="1100" b="0" i="0" baseline="0">
                  <a:solidFill>
                    <a:schemeClr val="tx1"/>
                  </a:solidFill>
                  <a:effectLst/>
                  <a:latin typeface="+mn-lt"/>
                  <a:ea typeface="+mn-ea"/>
                  <a:cs typeface="+mn-cs"/>
                </a:rPr>
                <a:t> </a:t>
              </a:r>
              <a:r>
                <a:rPr lang="en-US" sz="1100" b="0" i="0" baseline="0">
                  <a:solidFill>
                    <a:schemeClr val="tx1"/>
                  </a:solidFill>
                  <a:effectLst/>
                  <a:latin typeface="Cambria Math" panose="02040503050406030204" pitchFamily="18" charset="0"/>
                  <a:ea typeface="+mn-ea"/>
                  <a:cs typeface="+mn-cs"/>
                </a:rPr>
                <a:t>"   </a:t>
              </a:r>
              <a:r>
                <a:rPr lang="en-GB" sz="1100" b="0" i="0" baseline="0">
                  <a:solidFill>
                    <a:schemeClr val="tx1"/>
                  </a:solidFill>
                  <a:effectLst/>
                  <a:latin typeface="+mn-lt"/>
                  <a:ea typeface="+mn-ea"/>
                  <a:cs typeface="+mn-cs"/>
                </a:rPr>
                <a:t>"</a:t>
              </a:r>
              <a:r>
                <a:rPr lang="en-US" sz="1100" b="0" i="1" baseline="0">
                  <a:solidFill>
                    <a:schemeClr val="tx1"/>
                  </a:solidFill>
                  <a:effectLst/>
                  <a:latin typeface="+mn-lt"/>
                  <a:ea typeface="+mn-ea"/>
                  <a:cs typeface="+mn-cs"/>
                </a:rPr>
                <a:t>if N_TP_inter =1</a:t>
              </a:r>
            </a:p>
            <a:p>
              <a:pPr/>
              <a:r>
                <a:rPr lang="en-US" sz="1100" b="0" i="0" baseline="0">
                  <a:solidFill>
                    <a:schemeClr val="tx1"/>
                  </a:solidFill>
                  <a:effectLst/>
                  <a:latin typeface="Cambria Math" panose="02040503050406030204" pitchFamily="18" charset="0"/>
                  <a:ea typeface="+mn-ea"/>
                  <a:cs typeface="+mn-cs"/>
                </a:rPr>
                <a:t>" </a:t>
              </a:r>
              <a:r>
                <a:rPr lang="en-GB" sz="1100" b="0" i="0" baseline="0">
                  <a:solidFill>
                    <a:schemeClr val="tx1"/>
                  </a:solidFill>
                  <a:effectLst/>
                  <a:latin typeface="+mn-lt"/>
                  <a:ea typeface="+mn-ea"/>
                  <a:cs typeface="+mn-cs"/>
                </a:rPr>
                <a:t>"</a:t>
              </a:r>
              <a:endParaRPr lang="en-GB" sz="1400" baseline="0">
                <a:solidFill>
                  <a:schemeClr val="tx1"/>
                </a:solidFill>
              </a:endParaRPr>
            </a:p>
          </xdr:txBody>
        </xdr:sp>
      </mc:Fallback>
    </mc:AlternateContent>
    <xdr:clientData/>
  </xdr:oneCellAnchor>
  <xdr:oneCellAnchor>
    <xdr:from>
      <xdr:col>1</xdr:col>
      <xdr:colOff>18143</xdr:colOff>
      <xdr:row>106</xdr:row>
      <xdr:rowOff>33562</xdr:rowOff>
    </xdr:from>
    <xdr:ext cx="17848035" cy="1205208"/>
    <mc:AlternateContent xmlns:mc="http://schemas.openxmlformats.org/markup-compatibility/2006" xmlns:a14="http://schemas.microsoft.com/office/drawing/2010/main">
      <mc:Choice Requires="a14">
        <xdr:sp macro="" textlink="">
          <xdr:nvSpPr>
            <xdr:cNvPr id="37" name="TextBox 90">
              <a:extLst>
                <a:ext uri="{FF2B5EF4-FFF2-40B4-BE49-F238E27FC236}">
                  <a16:creationId xmlns:a16="http://schemas.microsoft.com/office/drawing/2014/main" id="{596493D7-181E-4C99-B25C-F06F63CA63DD}"/>
                </a:ext>
              </a:extLst>
            </xdr:cNvPr>
            <xdr:cNvSpPr txBox="1"/>
          </xdr:nvSpPr>
          <xdr:spPr>
            <a:xfrm>
              <a:off x="3273208" y="45703866"/>
              <a:ext cx="17848035" cy="120520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left"/>
                  </m:oMathParaPr>
                  <m:oMath xmlns:m="http://schemas.openxmlformats.org/officeDocument/2006/math">
                    <m:r>
                      <a:rPr lang="en-US" sz="1400" b="0" i="1">
                        <a:solidFill>
                          <a:schemeClr val="tx1"/>
                        </a:solidFill>
                        <a:latin typeface="Cambria Math" panose="02040503050406030204" pitchFamily="18" charset="0"/>
                      </a:rPr>
                      <m:t>𝑀</m:t>
                    </m:r>
                    <m:r>
                      <a:rPr lang="en-US" sz="1400" b="0" i="1" baseline="-25000">
                        <a:solidFill>
                          <a:schemeClr val="tx1"/>
                        </a:solidFill>
                        <a:latin typeface="Cambria Math" panose="02040503050406030204" pitchFamily="18" charset="0"/>
                      </a:rPr>
                      <m:t>𝑓</m:t>
                    </m:r>
                    <m:r>
                      <a:rPr lang="en-US" sz="1400" b="0" i="1" baseline="-25000">
                        <a:solidFill>
                          <a:schemeClr val="tx1"/>
                        </a:solidFill>
                        <a:latin typeface="Cambria Math" panose="02040503050406030204" pitchFamily="18" charset="0"/>
                      </a:rPr>
                      <m:t>_</m:t>
                    </m:r>
                    <m:r>
                      <a:rPr lang="en-US" sz="1400" b="0" i="1" baseline="-25000">
                        <a:solidFill>
                          <a:schemeClr val="tx1"/>
                        </a:solidFill>
                        <a:latin typeface="Cambria Math" panose="02040503050406030204" pitchFamily="18" charset="0"/>
                      </a:rPr>
                      <m:t>𝑇𝑃</m:t>
                    </m:r>
                    <m:r>
                      <a:rPr lang="en-US" sz="1400" b="0" i="1" baseline="-25000">
                        <a:solidFill>
                          <a:schemeClr val="tx1"/>
                        </a:solidFill>
                        <a:latin typeface="Cambria Math" panose="02040503050406030204" pitchFamily="18" charset="0"/>
                      </a:rPr>
                      <m:t>_</m:t>
                    </m:r>
                    <m:r>
                      <a:rPr lang="en-US" sz="1400" b="0" i="1" baseline="-25000">
                        <a:solidFill>
                          <a:schemeClr val="tx1"/>
                        </a:solidFill>
                        <a:latin typeface="Cambria Math" panose="02040503050406030204" pitchFamily="18" charset="0"/>
                      </a:rPr>
                      <m:t>𝑖𝑛𝑡𝑒𝑟</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e>
                    </m:d>
                    <m:r>
                      <a:rPr lang="en-US" sz="1400" b="0" i="1" baseline="0">
                        <a:solidFill>
                          <a:schemeClr val="tx1"/>
                        </a:solidFill>
                        <a:latin typeface="Cambria Math" panose="02040503050406030204" pitchFamily="18" charset="0"/>
                      </a:rPr>
                      <m:t>= </m:t>
                    </m:r>
                    <m:r>
                      <a:rPr lang="en-GB" sz="1400" i="1">
                        <a:solidFill>
                          <a:schemeClr val="tx1"/>
                        </a:solidFill>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𝑖𝑛𝑡𝑒𝑟</m:t>
                        </m:r>
                      </m:sub>
                    </m:sSub>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𝑡𝑜𝑝</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𝑜</m:t>
                            </m:r>
                          </m:e>
                          <m:sub>
                            <m:r>
                              <a:rPr lang="en-US" sz="1100" b="0" i="1" baseline="0">
                                <a:solidFill>
                                  <a:schemeClr val="tx1"/>
                                </a:solidFill>
                                <a:effectLst/>
                                <a:latin typeface="Cambria Math" panose="02040503050406030204" pitchFamily="18" charset="0"/>
                                <a:ea typeface="+mn-ea"/>
                                <a:cs typeface="+mn-cs"/>
                              </a:rPr>
                              <m:t>𝑖𝑛𝑡𝑒𝑟</m:t>
                            </m:r>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𝑇</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en-US" sz="1100" b="0" i="1">
                                <a:solidFill>
                                  <a:schemeClr val="tx1"/>
                                </a:solidFill>
                                <a:effectLst/>
                                <a:latin typeface="Cambria Math" panose="02040503050406030204" pitchFamily="18" charset="0"/>
                                <a:ea typeface="+mn-ea"/>
                                <a:cs typeface="+mn-cs"/>
                              </a:rPr>
                              <m:t>𝑖𝑛𝑡𝑒𝑟</m:t>
                            </m:r>
                          </m:sub>
                        </m:sSub>
                      </m:sub>
                    </m:sSub>
                    <m:r>
                      <a:rPr lang="en-GB" sz="1100" i="1" baseline="0">
                        <a:solidFill>
                          <a:schemeClr val="tx1"/>
                        </a:solidFill>
                        <a:effectLst/>
                        <a:latin typeface="Cambria Math" panose="02040503050406030204" pitchFamily="18" charset="0"/>
                        <a:ea typeface="+mn-ea"/>
                        <a:cs typeface="+mn-cs"/>
                      </a:rPr>
                      <m:t>   + </m:t>
                    </m:r>
                    <m:sSub>
                      <m:sSubPr>
                        <m:ctrlPr>
                          <a:rPr lang="en-GB" sz="1100" i="1" baseline="0">
                            <a:solidFill>
                              <a:schemeClr val="tx1"/>
                            </a:solidFill>
                            <a:effectLst/>
                            <a:latin typeface="Cambria Math" panose="02040503050406030204" pitchFamily="18" charset="0"/>
                            <a:ea typeface="+mn-ea"/>
                            <a:cs typeface="+mn-cs"/>
                          </a:rPr>
                        </m:ctrlPr>
                      </m:sSubPr>
                      <m:e>
                        <m:r>
                          <a:rPr lang="en-GB" sz="1100" i="1" baseline="0">
                            <a:solidFill>
                              <a:schemeClr val="tx1"/>
                            </a:solidFill>
                            <a:effectLst/>
                            <a:latin typeface="Cambria Math" panose="02040503050406030204" pitchFamily="18" charset="0"/>
                            <a:ea typeface="+mn-ea"/>
                            <a:cs typeface="+mn-cs"/>
                          </a:rPr>
                          <m:t>𝑁</m:t>
                        </m:r>
                      </m:e>
                      <m:sub>
                        <m:r>
                          <a:rPr lang="en-GB" sz="1100" i="1" baseline="0">
                            <a:solidFill>
                              <a:schemeClr val="tx1"/>
                            </a:solidFill>
                            <a:effectLst/>
                            <a:latin typeface="Cambria Math" panose="02040503050406030204" pitchFamily="18" charset="0"/>
                            <a:ea typeface="+mn-ea"/>
                            <a:cs typeface="+mn-cs"/>
                          </a:rPr>
                          <m:t>𝑎𝑐</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𝑡</m:t>
                            </m:r>
                          </m:e>
                          <m:sub>
                            <m:r>
                              <a:rPr lang="en-US" sz="1100" b="0" i="1" baseline="0">
                                <a:solidFill>
                                  <a:schemeClr val="tx1"/>
                                </a:solidFill>
                                <a:effectLst/>
                                <a:latin typeface="Cambria Math" panose="02040503050406030204" pitchFamily="18" charset="0"/>
                                <a:ea typeface="+mn-ea"/>
                                <a:cs typeface="+mn-cs"/>
                              </a:rPr>
                              <m:t>𝑖𝑛𝑡𝑒𝑟</m:t>
                            </m:r>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e>
                    </m:d>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𝑎𝑐𝑡𝑖𝑣𝑎𝑡𝑖𝑜𝑛</m:t>
                            </m:r>
                          </m:sub>
                        </m:sSub>
                      </m:num>
                      <m:den>
                        <m:r>
                          <a:rPr lang="en-US" sz="1100" b="0" i="1" baseline="0">
                            <a:solidFill>
                              <a:schemeClr val="tx1"/>
                            </a:solidFill>
                            <a:effectLst/>
                            <a:latin typeface="Cambria Math" panose="02040503050406030204" pitchFamily="18" charset="0"/>
                            <a:ea typeface="+mn-ea"/>
                            <a:cs typeface="+mn-cs"/>
                          </a:rPr>
                          <m:t> </m:t>
                        </m:r>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𝑖𝑛𝑡𝑒𝑟</m:t>
                            </m:r>
                          </m:sub>
                        </m:sSub>
                      </m:den>
                    </m:f>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𝑡𝑜𝑝𝑜</m:t>
                            </m:r>
                          </m:sub>
                        </m:sSub>
                      </m:e>
                      <m:sub>
                        <m:r>
                          <a:rPr lang="en-US" sz="1100" b="0" i="1" baseline="0">
                            <a:solidFill>
                              <a:schemeClr val="tx1"/>
                            </a:solidFill>
                            <a:effectLst/>
                            <a:latin typeface="Cambria Math" panose="02040503050406030204" pitchFamily="18" charset="0"/>
                            <a:ea typeface="+mn-ea"/>
                            <a:cs typeface="+mn-cs"/>
                          </a:rPr>
                          <m:t>𝑖𝑛𝑡𝑒𝑟</m:t>
                        </m:r>
                      </m:sub>
                    </m:sSub>
                  </m:oMath>
                </m:oMathPara>
              </a14:m>
              <a:endParaRPr lang="en-GB" sz="14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𝑎𝑐</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𝑡</m:t>
                          </m:r>
                        </m:e>
                        <m:sub>
                          <m:r>
                            <a:rPr lang="en-US" sz="1100" b="0" i="1" baseline="0">
                              <a:solidFill>
                                <a:schemeClr val="tx1"/>
                              </a:solidFill>
                              <a:effectLst/>
                              <a:latin typeface="Cambria Math" panose="02040503050406030204" pitchFamily="18" charset="0"/>
                              <a:ea typeface="+mn-ea"/>
                              <a:cs typeface="+mn-cs"/>
                            </a:rPr>
                            <m:t>𝑖𝑛𝑡𝑒𝑟</m:t>
                          </m:r>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𝑐𝑜𝑚</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𝑚</m:t>
                          </m:r>
                        </m:e>
                        <m:sub>
                          <m:r>
                            <a:rPr lang="en-US" sz="1100" b="0" i="1" baseline="0">
                              <a:solidFill>
                                <a:schemeClr val="tx1"/>
                              </a:solidFill>
                              <a:effectLst/>
                              <a:latin typeface="Cambria Math" panose="02040503050406030204" pitchFamily="18" charset="0"/>
                              <a:ea typeface="+mn-ea"/>
                              <a:cs typeface="+mn-cs"/>
                            </a:rPr>
                            <m:t>𝑡𝑦𝑝𝑒</m:t>
                          </m:r>
                        </m:sub>
                      </m:sSub>
                    </m:e>
                  </m:d>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𝑎𝑐𝑡</m:t>
                      </m:r>
                    </m:sub>
                  </m:sSub>
                  <m:r>
                    <m:rPr>
                      <m:nor/>
                    </m:rPr>
                    <a:rPr lang="en-US" sz="1100" b="0" i="1" baseline="0">
                      <a:solidFill>
                        <a:srgbClr val="FF0000"/>
                      </a:solidFill>
                      <a:effectLst/>
                      <a:latin typeface="+mn-lt"/>
                      <a:ea typeface="+mn-ea"/>
                      <a:cs typeface="+mn-cs"/>
                    </a:rPr>
                    <m:t>   </m:t>
                  </m:r>
                </m:oMath>
              </a14:m>
              <a:r>
                <a:rPr lang="en-GB" sz="1400" baseline="0">
                  <a:solidFill>
                    <a:srgbClr val="FF0000"/>
                  </a:solidFill>
                </a:rPr>
                <a:t> </a:t>
              </a:r>
              <a:r>
                <a:rPr lang="en-US" sz="1100" b="0" i="1" baseline="0">
                  <a:solidFill>
                    <a:schemeClr val="tx1"/>
                  </a:solidFill>
                  <a:effectLst/>
                  <a:latin typeface="+mn-lt"/>
                  <a:ea typeface="+mn-ea"/>
                  <a:cs typeface="+mn-cs"/>
                </a:rPr>
                <a:t>if N_TP_inter != 1</a:t>
              </a:r>
            </a:p>
            <a:p>
              <a:pPr marL="0" marR="0" lvl="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𝑎𝑐</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𝑡</m:t>
                          </m:r>
                        </m:e>
                        <m:sub>
                          <m:r>
                            <a:rPr lang="en-US" sz="1100" b="0" i="1" baseline="0">
                              <a:solidFill>
                                <a:schemeClr val="tx1"/>
                              </a:solidFill>
                              <a:effectLst/>
                              <a:latin typeface="Cambria Math" panose="02040503050406030204" pitchFamily="18" charset="0"/>
                              <a:ea typeface="+mn-ea"/>
                              <a:cs typeface="+mn-cs"/>
                            </a:rPr>
                            <m:t>𝑖𝑛𝑡𝑒𝑟</m:t>
                          </m:r>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𝑐𝑜𝑚</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𝑚</m:t>
                          </m:r>
                        </m:e>
                        <m:sub>
                          <m:r>
                            <a:rPr lang="en-US" sz="1100" b="0" i="1" baseline="0">
                              <a:solidFill>
                                <a:schemeClr val="tx1"/>
                              </a:solidFill>
                              <a:effectLst/>
                              <a:latin typeface="Cambria Math" panose="02040503050406030204" pitchFamily="18" charset="0"/>
                              <a:ea typeface="+mn-ea"/>
                              <a:cs typeface="+mn-cs"/>
                            </a:rPr>
                            <m:t>𝑡𝑦𝑝𝑒</m:t>
                          </m:r>
                        </m:sub>
                      </m:sSub>
                    </m:e>
                  </m:d>
                  <m:r>
                    <a:rPr lang="en-US" sz="1100" b="0" i="1" baseline="0">
                      <a:solidFill>
                        <a:schemeClr val="tx1"/>
                      </a:solidFill>
                      <a:effectLst/>
                      <a:latin typeface="Cambria Math" panose="02040503050406030204" pitchFamily="18" charset="0"/>
                      <a:ea typeface="+mn-ea"/>
                      <a:cs typeface="+mn-cs"/>
                    </a:rPr>
                    <m:t>=0 </m:t>
                  </m:r>
                </m:oMath>
              </a14:m>
              <a:r>
                <a:rPr lang="en-US" sz="1100" b="0" i="1" baseline="0">
                  <a:solidFill>
                    <a:schemeClr val="tx1"/>
                  </a:solidFill>
                  <a:effectLst/>
                  <a:latin typeface="+mn-lt"/>
                  <a:ea typeface="+mn-ea"/>
                  <a:cs typeface="+mn-cs"/>
                </a:rPr>
                <a:t>if N_TP_inter = 1</a:t>
              </a:r>
            </a:p>
            <a:p>
              <a:pPr marL="0" marR="0" lvl="0" indent="0" defTabSz="914400" eaLnBrk="1" fontAlgn="auto" latinLnBrk="0" hangingPunct="1">
                <a:lnSpc>
                  <a:spcPct val="100000"/>
                </a:lnSpc>
                <a:spcBef>
                  <a:spcPts val="0"/>
                </a:spcBef>
                <a:spcAft>
                  <a:spcPts val="0"/>
                </a:spcAft>
                <a:buClrTx/>
                <a:buSzTx/>
                <a:buFontTx/>
                <a:buNone/>
                <a:tabLst/>
                <a:defRPr/>
              </a:pPr>
              <a:endParaRPr lang="en-GB" sz="1400">
                <a:effectLst/>
              </a:endParaRPr>
            </a:p>
          </xdr:txBody>
        </xdr:sp>
      </mc:Choice>
      <mc:Fallback xmlns="">
        <xdr:sp macro="" textlink="">
          <xdr:nvSpPr>
            <xdr:cNvPr id="37" name="TextBox 90">
              <a:extLst>
                <a:ext uri="{FF2B5EF4-FFF2-40B4-BE49-F238E27FC236}">
                  <a16:creationId xmlns:a16="http://schemas.microsoft.com/office/drawing/2014/main" id="{596493D7-181E-4C99-B25C-F06F63CA63DD}"/>
                </a:ext>
              </a:extLst>
            </xdr:cNvPr>
            <xdr:cNvSpPr txBox="1"/>
          </xdr:nvSpPr>
          <xdr:spPr>
            <a:xfrm>
              <a:off x="3276422" y="46346923"/>
              <a:ext cx="17848035" cy="120520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𝑓_𝑇𝑃_𝑖𝑛𝑡𝑒𝑟</a:t>
              </a:r>
              <a:r>
                <a:rPr lang="en-US" sz="1400" b="0" i="0" baseline="0">
                  <a:solidFill>
                    <a:schemeClr val="tx1"/>
                  </a:solidFill>
                  <a:latin typeface="Cambria Math" panose="02040503050406030204" pitchFamily="18" charset="0"/>
                </a:rPr>
                <a:t>(𝑙)= </a:t>
              </a:r>
              <a:r>
                <a:rPr lang="en-GB" sz="1400" i="0">
                  <a:solidFill>
                    <a:schemeClr val="tx1"/>
                  </a:solidFill>
                  <a:latin typeface="Cambria Math" panose="02040503050406030204" pitchFamily="18" charset="0"/>
                </a:rPr>
                <a:t> </a:t>
              </a:r>
              <a:r>
                <a:rPr lang="en-US" sz="1100" b="0" i="0">
                  <a:solidFill>
                    <a:schemeClr val="tx1"/>
                  </a:solidFill>
                  <a:effectLst/>
                  <a:latin typeface="+mn-lt"/>
                  <a:ea typeface="+mn-ea"/>
                  <a:cs typeface="+mn-cs"/>
                </a:rPr>
                <a:t>𝐶_𝑖𝑛𝑡𝑒𝑟</a:t>
              </a:r>
              <a:r>
                <a:rPr lang="en-US" sz="1100" b="0" i="0" baseline="0">
                  <a:solidFill>
                    <a:schemeClr val="tx1"/>
                  </a:solidFill>
                  <a:effectLst/>
                  <a:latin typeface="+mn-lt"/>
                  <a:ea typeface="+mn-ea"/>
                  <a:cs typeface="+mn-cs"/>
                </a:rPr>
                <a:t>∗𝑁_(𝑡𝑜𝑝𝑜_𝑖𝑛𝑡𝑒𝑟 )</a:t>
              </a:r>
              <a:r>
                <a:rPr lang="en-US" sz="1100" b="0" i="0">
                  <a:solidFill>
                    <a:schemeClr val="tx1"/>
                  </a:solidFill>
                  <a:effectLst/>
                  <a:latin typeface="+mn-lt"/>
                  <a:ea typeface="+mn-ea"/>
                  <a:cs typeface="+mn-cs"/>
                </a:rPr>
                <a:t>∗𝑁_(𝑇𝑃_𝑖𝑛𝑡𝑒𝑟 )</a:t>
              </a:r>
              <a:r>
                <a:rPr lang="en-GB" sz="1100" b="0" i="0" baseline="0">
                  <a:solidFill>
                    <a:schemeClr val="tx1"/>
                  </a:solidFill>
                  <a:effectLst/>
                  <a:latin typeface="+mn-lt"/>
                  <a:ea typeface="+mn-ea"/>
                  <a:cs typeface="+mn-cs"/>
                </a:rPr>
                <a:t> </a:t>
              </a:r>
              <a:r>
                <a:rPr lang="en-GB" sz="1100" i="0" baseline="0">
                  <a:solidFill>
                    <a:schemeClr val="tx1"/>
                  </a:solidFill>
                  <a:effectLst/>
                  <a:latin typeface="+mn-lt"/>
                  <a:ea typeface="+mn-ea"/>
                  <a:cs typeface="+mn-cs"/>
                </a:rPr>
                <a:t>   + 𝑁_(𝑎𝑐</a:t>
              </a:r>
              <a:r>
                <a:rPr lang="en-US" sz="1100" b="0" i="0" baseline="0">
                  <a:solidFill>
                    <a:schemeClr val="tx1"/>
                  </a:solidFill>
                  <a:effectLst/>
                  <a:latin typeface="+mn-lt"/>
                  <a:ea typeface="+mn-ea"/>
                  <a:cs typeface="+mn-cs"/>
                </a:rPr>
                <a:t>𝑡_𝑖𝑛𝑡𝑒𝑟 </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 (</a:t>
              </a:r>
              <a:r>
                <a:rPr lang="en-US" sz="1100" b="0" i="0" baseline="0">
                  <a:solidFill>
                    <a:schemeClr val="tx1"/>
                  </a:solidFill>
                  <a:effectLst/>
                  <a:latin typeface="Cambria Math" panose="02040503050406030204" pitchFamily="18" charset="0"/>
                  <a:ea typeface="+mn-ea"/>
                  <a:cs typeface="+mn-cs"/>
                </a:rPr>
                <a:t>𝑙</a:t>
              </a:r>
              <a:r>
                <a:rPr lang="en-US" sz="1100" b="0" i="0" baseline="0">
                  <a:solidFill>
                    <a:schemeClr val="tx1"/>
                  </a:solidFill>
                  <a:effectLst/>
                  <a:latin typeface="+mn-lt"/>
                  <a:ea typeface="+mn-ea"/>
                  <a:cs typeface="+mn-cs"/>
                </a:rPr>
                <a:t>)∗  𝑆_𝑎𝑐𝑡𝑖𝑣𝑎𝑡𝑖𝑜𝑛</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 𝐵𝑊_𝑖𝑛𝑡𝑒𝑟 </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∗〖𝑁_𝑡𝑜𝑝𝑜〗_𝑖𝑛𝑡𝑒𝑟</a:t>
              </a:r>
              <a:endParaRPr lang="en-GB" sz="14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Cambria Math" panose="02040503050406030204" pitchFamily="18" charset="0"/>
                  <a:ea typeface="+mn-ea"/>
                  <a:cs typeface="+mn-cs"/>
                </a:rPr>
                <a:t>𝑁_(𝑎𝑐𝑡_𝑖𝑛𝑡𝑒𝑟 ) (𝑙,𝑐𝑜𝑚𝑚_𝑡𝑦𝑝𝑒 )=𝑁_𝑎𝑐𝑡</a:t>
              </a:r>
              <a:r>
                <a:rPr lang="en-US" sz="1100" b="0" i="0" baseline="0">
                  <a:solidFill>
                    <a:srgbClr val="FF0000"/>
                  </a:solidFill>
                  <a:effectLst/>
                  <a:latin typeface="+mn-lt"/>
                  <a:ea typeface="+mn-ea"/>
                  <a:cs typeface="+mn-cs"/>
                </a:rPr>
                <a:t> </a:t>
              </a:r>
              <a:r>
                <a:rPr lang="en-US" sz="1100" b="0" i="0" baseline="0">
                  <a:solidFill>
                    <a:srgbClr val="FF0000"/>
                  </a:solidFill>
                  <a:effectLst/>
                  <a:latin typeface="Cambria Math" panose="02040503050406030204" pitchFamily="18" charset="0"/>
                  <a:ea typeface="+mn-ea"/>
                  <a:cs typeface="+mn-cs"/>
                </a:rPr>
                <a:t>"   </a:t>
              </a:r>
              <a:r>
                <a:rPr lang="en-GB" sz="1100" b="0" i="0" baseline="0">
                  <a:solidFill>
                    <a:srgbClr val="FF0000"/>
                  </a:solidFill>
                  <a:effectLst/>
                  <a:latin typeface="+mn-lt"/>
                  <a:ea typeface="+mn-ea"/>
                  <a:cs typeface="+mn-cs"/>
                </a:rPr>
                <a:t>"</a:t>
              </a:r>
              <a:r>
                <a:rPr lang="en-GB" sz="1400" baseline="0">
                  <a:solidFill>
                    <a:srgbClr val="FF0000"/>
                  </a:solidFill>
                </a:rPr>
                <a:t> </a:t>
              </a:r>
              <a:r>
                <a:rPr lang="en-US" sz="1100" b="0" i="1" baseline="0">
                  <a:solidFill>
                    <a:schemeClr val="tx1"/>
                  </a:solidFill>
                  <a:effectLst/>
                  <a:latin typeface="+mn-lt"/>
                  <a:ea typeface="+mn-ea"/>
                  <a:cs typeface="+mn-cs"/>
                </a:rPr>
                <a:t>if N_TP_inter != 1</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tx1"/>
                  </a:solidFill>
                  <a:effectLst/>
                  <a:latin typeface="Cambria Math" panose="02040503050406030204" pitchFamily="18" charset="0"/>
                  <a:ea typeface="+mn-ea"/>
                  <a:cs typeface="+mn-cs"/>
                </a:rPr>
                <a:t>𝑁_(𝑎𝑐𝑡_𝑖𝑛𝑡𝑒𝑟 ) (𝑙,𝑐𝑜𝑚𝑚_𝑡𝑦𝑝𝑒 )=0 </a:t>
              </a:r>
              <a:r>
                <a:rPr lang="en-US" sz="1100" b="0" i="1" baseline="0">
                  <a:solidFill>
                    <a:schemeClr val="tx1"/>
                  </a:solidFill>
                  <a:effectLst/>
                  <a:latin typeface="+mn-lt"/>
                  <a:ea typeface="+mn-ea"/>
                  <a:cs typeface="+mn-cs"/>
                </a:rPr>
                <a:t>if N_TP_inter = 1</a:t>
              </a:r>
            </a:p>
            <a:p>
              <a:pPr marL="0" marR="0" lvl="0" indent="0" defTabSz="914400" eaLnBrk="1" fontAlgn="auto" latinLnBrk="0" hangingPunct="1">
                <a:lnSpc>
                  <a:spcPct val="100000"/>
                </a:lnSpc>
                <a:spcBef>
                  <a:spcPts val="0"/>
                </a:spcBef>
                <a:spcAft>
                  <a:spcPts val="0"/>
                </a:spcAft>
                <a:buClrTx/>
                <a:buSzTx/>
                <a:buFontTx/>
                <a:buNone/>
                <a:tabLst/>
                <a:defRPr/>
              </a:pPr>
              <a:endParaRPr lang="en-GB" sz="1400">
                <a:effectLst/>
              </a:endParaRPr>
            </a:p>
          </xdr:txBody>
        </xdr:sp>
      </mc:Fallback>
    </mc:AlternateContent>
    <xdr:clientData/>
  </xdr:oneCellAnchor>
  <xdr:oneCellAnchor>
    <xdr:from>
      <xdr:col>1</xdr:col>
      <xdr:colOff>18143</xdr:colOff>
      <xdr:row>116</xdr:row>
      <xdr:rowOff>33563</xdr:rowOff>
    </xdr:from>
    <xdr:ext cx="17848035" cy="1045937"/>
    <mc:AlternateContent xmlns:mc="http://schemas.openxmlformats.org/markup-compatibility/2006" xmlns:a14="http://schemas.microsoft.com/office/drawing/2010/main">
      <mc:Choice Requires="a14">
        <xdr:sp macro="" textlink="">
          <xdr:nvSpPr>
            <xdr:cNvPr id="86" name="TextBox 90">
              <a:extLst>
                <a:ext uri="{FF2B5EF4-FFF2-40B4-BE49-F238E27FC236}">
                  <a16:creationId xmlns:a16="http://schemas.microsoft.com/office/drawing/2014/main" id="{C0D784E6-D242-4835-8C7A-6781FFD666BA}"/>
                </a:ext>
              </a:extLst>
            </xdr:cNvPr>
            <xdr:cNvSpPr txBox="1"/>
          </xdr:nvSpPr>
          <xdr:spPr>
            <a:xfrm>
              <a:off x="3273208" y="50366976"/>
              <a:ext cx="17848035" cy="104593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left"/>
                  </m:oMathParaPr>
                  <m:oMath xmlns:m="http://schemas.openxmlformats.org/officeDocument/2006/math">
                    <m:r>
                      <a:rPr lang="en-US" sz="1400" b="0" i="1">
                        <a:solidFill>
                          <a:schemeClr val="tx1"/>
                        </a:solidFill>
                        <a:latin typeface="Cambria Math" panose="02040503050406030204" pitchFamily="18" charset="0"/>
                      </a:rPr>
                      <m:t>𝑀</m:t>
                    </m:r>
                    <m:sSub>
                      <m:sSubPr>
                        <m:ctrlPr>
                          <a:rPr lang="en-US" sz="1400" b="0" i="1" baseline="-25000">
                            <a:solidFill>
                              <a:schemeClr val="tx1"/>
                            </a:solidFill>
                            <a:latin typeface="Cambria Math" panose="02040503050406030204" pitchFamily="18" charset="0"/>
                          </a:rPr>
                        </m:ctrlPr>
                      </m:sSubPr>
                      <m:e>
                        <m:r>
                          <a:rPr lang="en-US" sz="1400" b="0" i="1" baseline="-25000">
                            <a:solidFill>
                              <a:schemeClr val="tx1"/>
                            </a:solidFill>
                            <a:latin typeface="Cambria Math" panose="02040503050406030204" pitchFamily="18" charset="0"/>
                          </a:rPr>
                          <m:t>𝑓</m:t>
                        </m:r>
                      </m:e>
                      <m:sub>
                        <m:r>
                          <a:rPr lang="en-US" sz="1400" b="0" i="1" baseline="-25000">
                            <a:solidFill>
                              <a:schemeClr val="tx1"/>
                            </a:solidFill>
                            <a:latin typeface="Cambria Math" panose="02040503050406030204" pitchFamily="18" charset="0"/>
                          </a:rPr>
                          <m:t>𝑃</m:t>
                        </m:r>
                        <m:sSub>
                          <m:sSubPr>
                            <m:ctrlPr>
                              <a:rPr lang="en-US" sz="1400" b="0" i="1" baseline="-25000">
                                <a:solidFill>
                                  <a:schemeClr val="tx1"/>
                                </a:solidFill>
                                <a:latin typeface="Cambria Math" panose="02040503050406030204" pitchFamily="18" charset="0"/>
                              </a:rPr>
                            </m:ctrlPr>
                          </m:sSubPr>
                          <m:e>
                            <m:r>
                              <a:rPr lang="en-US" sz="1400" b="0" i="1" baseline="-25000">
                                <a:solidFill>
                                  <a:schemeClr val="tx1"/>
                                </a:solidFill>
                                <a:latin typeface="Cambria Math" panose="02040503050406030204" pitchFamily="18" charset="0"/>
                              </a:rPr>
                              <m:t>𝑃</m:t>
                            </m:r>
                          </m:e>
                          <m:sub>
                            <m:r>
                              <a:rPr lang="en-US" sz="1400" b="0" i="1" baseline="-25000">
                                <a:solidFill>
                                  <a:schemeClr val="tx1"/>
                                </a:solidFill>
                                <a:latin typeface="Cambria Math" panose="02040503050406030204" pitchFamily="18" charset="0"/>
                              </a:rPr>
                              <m:t>𝑖𝑛𝑡𝑟𝑎</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e>
                            </m:d>
                          </m:sub>
                        </m:sSub>
                      </m:sub>
                    </m:sSub>
                    <m:r>
                      <a:rPr lang="en-US" sz="1400" b="0" i="1" baseline="0">
                        <a:solidFill>
                          <a:schemeClr val="tx1"/>
                        </a:solidFill>
                        <a:latin typeface="Cambria Math" panose="02040503050406030204" pitchFamily="18" charset="0"/>
                      </a:rPr>
                      <m:t>= </m:t>
                    </m:r>
                    <m:f>
                      <m:fPr>
                        <m:ctrlPr>
                          <a:rPr lang="en-US" sz="1400" b="0" i="1">
                            <a:solidFill>
                              <a:schemeClr val="tx1"/>
                            </a:solidFill>
                            <a:latin typeface="Cambria Math" panose="02040503050406030204" pitchFamily="18" charset="0"/>
                          </a:rPr>
                        </m:ctrlPr>
                      </m:fPr>
                      <m:num>
                        <m:r>
                          <a:rPr lang="en-US" sz="1400" b="0" i="1">
                            <a:solidFill>
                              <a:schemeClr val="tx1"/>
                            </a:solidFill>
                            <a:latin typeface="Cambria Math" panose="02040503050406030204" pitchFamily="18" charset="0"/>
                          </a:rPr>
                          <m:t>1</m:t>
                        </m:r>
                      </m:num>
                      <m:den>
                        <m:r>
                          <a:rPr lang="en-US" sz="1400" b="0" i="1">
                            <a:solidFill>
                              <a:schemeClr val="tx1"/>
                            </a:solidFill>
                            <a:latin typeface="Cambria Math" panose="02040503050406030204" pitchFamily="18" charset="0"/>
                          </a:rPr>
                          <m:t>𝐿</m:t>
                        </m:r>
                      </m:den>
                    </m:f>
                    <m:d>
                      <m:dPr>
                        <m:begChr m:val="["/>
                        <m:endChr m:val="]"/>
                        <m:ctrlPr>
                          <a:rPr lang="en-US" sz="1100" b="0" i="1">
                            <a:solidFill>
                              <a:schemeClr val="tx1"/>
                            </a:solidFill>
                            <a:effectLst/>
                            <a:latin typeface="Cambria Math" panose="02040503050406030204" pitchFamily="18" charset="0"/>
                            <a:ea typeface="+mn-ea"/>
                            <a:cs typeface="+mn-cs"/>
                          </a:rPr>
                        </m:ctrlPr>
                      </m:d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𝑖𝑛𝑡𝑟𝑎</m:t>
                            </m:r>
                          </m:sub>
                        </m:sSub>
                        <m:r>
                          <a:rPr lang="en-GB" sz="1100" i="1" baseline="0">
                            <a:solidFill>
                              <a:schemeClr val="tx1"/>
                            </a:solidFill>
                            <a:effectLst/>
                            <a:latin typeface="Cambria Math" panose="02040503050406030204" pitchFamily="18" charset="0"/>
                            <a:ea typeface="+mn-ea"/>
                            <a:cs typeface="+mn-cs"/>
                          </a:rPr>
                          <m:t> + </m:t>
                        </m:r>
                        <m:sSub>
                          <m:sSubPr>
                            <m:ctrlPr>
                              <a:rPr lang="en-GB" sz="1100" i="1" baseline="0">
                                <a:solidFill>
                                  <a:schemeClr val="tx1"/>
                                </a:solidFill>
                                <a:effectLst/>
                                <a:latin typeface="Cambria Math" panose="02040503050406030204" pitchFamily="18" charset="0"/>
                                <a:ea typeface="+mn-ea"/>
                                <a:cs typeface="+mn-cs"/>
                              </a:rPr>
                            </m:ctrlPr>
                          </m:sSubPr>
                          <m:e>
                            <m:r>
                              <a:rPr lang="en-GB" sz="1100" i="1" baseline="0">
                                <a:solidFill>
                                  <a:schemeClr val="tx1"/>
                                </a:solidFill>
                                <a:effectLst/>
                                <a:latin typeface="Cambria Math" panose="02040503050406030204" pitchFamily="18" charset="0"/>
                                <a:ea typeface="+mn-ea"/>
                                <a:cs typeface="+mn-cs"/>
                              </a:rPr>
                              <m:t>𝑁</m:t>
                            </m:r>
                          </m:e>
                          <m:sub>
                            <m:r>
                              <a:rPr lang="en-GB" sz="1100" i="1" baseline="0">
                                <a:solidFill>
                                  <a:schemeClr val="tx1"/>
                                </a:solidFill>
                                <a:effectLst/>
                                <a:latin typeface="Cambria Math" panose="02040503050406030204" pitchFamily="18" charset="0"/>
                                <a:ea typeface="+mn-ea"/>
                                <a:cs typeface="+mn-cs"/>
                              </a:rPr>
                              <m:t>𝑎𝑐</m:t>
                            </m:r>
                            <m:r>
                              <a:rPr lang="en-US" sz="1100" b="0" i="1" baseline="0">
                                <a:solidFill>
                                  <a:schemeClr val="tx1"/>
                                </a:solidFill>
                                <a:effectLst/>
                                <a:latin typeface="Cambria Math" panose="02040503050406030204" pitchFamily="18" charset="0"/>
                                <a:ea typeface="+mn-ea"/>
                                <a:cs typeface="+mn-cs"/>
                              </a:rPr>
                              <m:t>𝑡</m:t>
                            </m:r>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e>
                        </m:d>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𝑎𝑐𝑡𝑖𝑣𝑎𝑡𝑖𝑜𝑛</m:t>
                                </m:r>
                              </m:sub>
                            </m:sSub>
                          </m:num>
                          <m:den>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𝑖𝑛𝑡𝑟𝑎</m:t>
                                </m:r>
                              </m:sub>
                            </m:sSub>
                          </m:den>
                        </m:f>
                        <m:r>
                          <a:rPr lang="en-GB" sz="1100" i="1" baseline="0">
                            <a:solidFill>
                              <a:schemeClr val="tx1"/>
                            </a:solidFill>
                            <a:effectLst/>
                            <a:latin typeface="Cambria Math" panose="02040503050406030204" pitchFamily="18" charset="0"/>
                            <a:ea typeface="+mn-ea"/>
                            <a:cs typeface="+mn-cs"/>
                          </a:rPr>
                          <m:t> </m:t>
                        </m:r>
                      </m:e>
                    </m:d>
                    <m:r>
                      <a:rPr lang="en-US" sz="1100" b="0" i="1" baseline="0">
                        <a:solidFill>
                          <a:schemeClr val="tx1"/>
                        </a:solidFill>
                        <a:effectLst/>
                        <a:latin typeface="Cambria Math" panose="02040503050406030204" pitchFamily="18" charset="0"/>
                        <a:ea typeface="+mn-ea"/>
                        <a:cs typeface="+mn-cs"/>
                      </a:rPr>
                      <m:t>𝑖𝑓</m:t>
                    </m:r>
                    <m:r>
                      <a:rPr lang="en-US" sz="1100" b="0" i="1" baseline="0">
                        <a:solidFill>
                          <a:schemeClr val="tx1"/>
                        </a:solidFill>
                        <a:effectLst/>
                        <a:latin typeface="Cambria Math" panose="02040503050406030204" pitchFamily="18" charset="0"/>
                        <a:ea typeface="+mn-ea"/>
                        <a:cs typeface="+mn-cs"/>
                      </a:rPr>
                      <m:t> </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𝑃</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𝑃</m:t>
                            </m:r>
                          </m:e>
                          <m:sub>
                            <m:r>
                              <a:rPr lang="en-US" sz="1100" b="0" i="1" baseline="0">
                                <a:solidFill>
                                  <a:schemeClr val="tx1"/>
                                </a:solidFill>
                                <a:effectLst/>
                                <a:latin typeface="Cambria Math" panose="02040503050406030204" pitchFamily="18" charset="0"/>
                                <a:ea typeface="+mn-ea"/>
                                <a:cs typeface="+mn-cs"/>
                              </a:rPr>
                              <m:t>𝑖𝑛𝑡𝑟𝑎</m:t>
                            </m:r>
                          </m:sub>
                        </m:sSub>
                      </m:sub>
                    </m:sSub>
                    <m:r>
                      <a:rPr lang="en-US" sz="1100" b="0" i="1" baseline="0">
                        <a:solidFill>
                          <a:schemeClr val="tx1"/>
                        </a:solidFill>
                        <a:effectLst/>
                        <a:latin typeface="Cambria Math" panose="02040503050406030204" pitchFamily="18" charset="0"/>
                        <a:ea typeface="+mn-ea"/>
                        <a:cs typeface="+mn-cs"/>
                      </a:rPr>
                      <m:t>!=1</m:t>
                    </m:r>
                    <m:r>
                      <m:rPr>
                        <m:nor/>
                      </m:rPr>
                      <a:rPr lang="en-US" sz="1100" b="0" i="1" baseline="0">
                        <a:solidFill>
                          <a:schemeClr val="tx1"/>
                        </a:solidFill>
                        <a:effectLst/>
                        <a:latin typeface="+mn-lt"/>
                        <a:ea typeface="+mn-ea"/>
                        <a:cs typeface="+mn-cs"/>
                      </a:rPr>
                      <m:t>, </m:t>
                    </m:r>
                    <m:r>
                      <m:rPr>
                        <m:nor/>
                      </m:rPr>
                      <a:rPr lang="en-US" sz="1100" b="0" i="1" baseline="0">
                        <a:solidFill>
                          <a:schemeClr val="tx1"/>
                        </a:solidFill>
                        <a:effectLst/>
                        <a:latin typeface="+mn-lt"/>
                        <a:ea typeface="+mn-ea"/>
                        <a:cs typeface="+mn-cs"/>
                      </a:rPr>
                      <m:t>else</m:t>
                    </m:r>
                    <m:r>
                      <m:rPr>
                        <m:nor/>
                      </m:rPr>
                      <a:rPr lang="en-US" sz="1100" b="0" i="1" baseline="0">
                        <a:solidFill>
                          <a:schemeClr val="tx1"/>
                        </a:solidFill>
                        <a:effectLst/>
                        <a:latin typeface="+mn-lt"/>
                        <a:ea typeface="+mn-ea"/>
                        <a:cs typeface="+mn-cs"/>
                      </a:rPr>
                      <m:t> 0</m:t>
                    </m:r>
                  </m:oMath>
                </m:oMathPara>
              </a14:m>
              <a:endParaRPr lang="en-GB" sz="1400" baseline="0">
                <a:solidFill>
                  <a:schemeClr val="tx1"/>
                </a:solidFill>
              </a:endParaRPr>
            </a:p>
            <a:p>
              <a14:m>
                <m:oMath xmlns:m="http://schemas.openxmlformats.org/officeDocument/2006/math">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𝑎𝑐𝑡</m:t>
                      </m:r>
                    </m:sub>
                  </m:sSub>
                  <m:r>
                    <a:rPr lang="en-US" sz="1100" b="0" i="1" baseline="0">
                      <a:solidFill>
                        <a:srgbClr val="FF0000"/>
                      </a:solidFill>
                      <a:effectLst/>
                      <a:latin typeface="Cambria Math" panose="02040503050406030204" pitchFamily="18" charset="0"/>
                      <a:ea typeface="+mn-ea"/>
                      <a:cs typeface="+mn-cs"/>
                    </a:rPr>
                    <m:t>∗[</m:t>
                  </m:r>
                  <m:f>
                    <m:fPr>
                      <m:ctrlPr>
                        <a:rPr lang="en-US" sz="1100" b="0" i="1" baseline="0">
                          <a:solidFill>
                            <a:srgbClr val="FF0000"/>
                          </a:solidFill>
                          <a:effectLst/>
                          <a:latin typeface="Cambria Math" panose="02040503050406030204" pitchFamily="18" charset="0"/>
                          <a:ea typeface="+mn-ea"/>
                          <a:cs typeface="+mn-cs"/>
                        </a:rPr>
                      </m:ctrlPr>
                    </m:fPr>
                    <m:num>
                      <m:sSub>
                        <m:sSubPr>
                          <m:ctrlPr>
                            <a:rPr lang="en-US" sz="1100" b="0" i="1" baseline="0">
                              <a:solidFill>
                                <a:srgbClr val="FF0000"/>
                              </a:solidFill>
                              <a:effectLst/>
                              <a:latin typeface="Cambria Math" panose="02040503050406030204" pitchFamily="18" charset="0"/>
                              <a:ea typeface="+mn-ea"/>
                              <a:cs typeface="+mn-cs"/>
                            </a:rPr>
                          </m:ctrlPr>
                        </m:sSubPr>
                        <m:e>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m:t>
                              </m:r>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𝑃</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𝑃</m:t>
                                  </m:r>
                                </m:e>
                                <m:sub>
                                  <m:r>
                                    <a:rPr lang="en-US" sz="1100" b="0" i="1" baseline="0">
                                      <a:solidFill>
                                        <a:srgbClr val="FF0000"/>
                                      </a:solidFill>
                                      <a:effectLst/>
                                      <a:latin typeface="Cambria Math" panose="02040503050406030204" pitchFamily="18" charset="0"/>
                                      <a:ea typeface="+mn-ea"/>
                                      <a:cs typeface="+mn-cs"/>
                                    </a:rPr>
                                    <m:t>𝑖𝑛𝑡𝑟𝑎</m:t>
                                  </m:r>
                                </m:sub>
                              </m:sSub>
                            </m:sub>
                          </m:sSub>
                          <m:r>
                            <a:rPr lang="en-US" sz="1100" b="0" i="1" baseline="0">
                              <a:solidFill>
                                <a:srgbClr val="FF0000"/>
                              </a:solidFill>
                              <a:effectLst/>
                              <a:latin typeface="Cambria Math" panose="02040503050406030204" pitchFamily="18" charset="0"/>
                              <a:ea typeface="+mn-ea"/>
                              <a:cs typeface="+mn-cs"/>
                            </a:rPr>
                            <m:t>−1)∗</m:t>
                          </m:r>
                          <m:r>
                            <a:rPr lang="en-US" sz="1100" b="0" i="1" baseline="0">
                              <a:solidFill>
                                <a:srgbClr val="FF0000"/>
                              </a:solidFill>
                              <a:effectLst/>
                              <a:latin typeface="Cambria Math" panose="02040503050406030204" pitchFamily="18" charset="0"/>
                              <a:ea typeface="+mn-ea"/>
                              <a:cs typeface="+mn-cs"/>
                            </a:rPr>
                            <m:t>𝑁</m:t>
                          </m:r>
                          <m:r>
                            <a:rPr lang="en-US" sz="1100" b="0" i="1" baseline="0">
                              <a:solidFill>
                                <a:srgbClr val="FF0000"/>
                              </a:solidFill>
                              <a:effectLst/>
                              <a:latin typeface="Cambria Math" panose="02040503050406030204" pitchFamily="18" charset="0"/>
                              <a:ea typeface="+mn-ea"/>
                              <a:cs typeface="+mn-cs"/>
                            </a:rPr>
                            <m:t>_</m:t>
                          </m:r>
                          <m:r>
                            <a:rPr lang="en-US" sz="1100" b="0" i="1" baseline="0">
                              <a:solidFill>
                                <a:srgbClr val="FF0000"/>
                              </a:solidFill>
                              <a:effectLst/>
                              <a:latin typeface="Cambria Math" panose="02040503050406030204" pitchFamily="18" charset="0"/>
                              <a:ea typeface="+mn-ea"/>
                              <a:cs typeface="+mn-cs"/>
                            </a:rPr>
                            <m:t>𝑃𝑃</m:t>
                          </m:r>
                          <m:r>
                            <a:rPr lang="en-US" sz="1100" b="0" i="1" baseline="0">
                              <a:solidFill>
                                <a:srgbClr val="FF0000"/>
                              </a:solidFill>
                              <a:effectLst/>
                              <a:latin typeface="Cambria Math" panose="02040503050406030204" pitchFamily="18" charset="0"/>
                              <a:ea typeface="+mn-ea"/>
                              <a:cs typeface="+mn-cs"/>
                            </a:rPr>
                            <m:t>_</m:t>
                          </m:r>
                          <m:r>
                            <a:rPr lang="en-US" sz="1100" b="0" i="1" baseline="0">
                              <a:solidFill>
                                <a:srgbClr val="FF0000"/>
                              </a:solidFill>
                              <a:effectLst/>
                              <a:latin typeface="Cambria Math" panose="02040503050406030204" pitchFamily="18" charset="0"/>
                              <a:ea typeface="+mn-ea"/>
                              <a:cs typeface="+mn-cs"/>
                            </a:rPr>
                            <m:t>𝑖𝑛𝑡𝑒𝑟</m:t>
                          </m:r>
                          <m:r>
                            <a:rPr lang="en-US" sz="1100" b="0" i="1" baseline="0">
                              <a:solidFill>
                                <a:srgbClr val="FF0000"/>
                              </a:solidFill>
                              <a:effectLst/>
                              <a:latin typeface="Cambria Math" panose="02040503050406030204" pitchFamily="18" charset="0"/>
                              <a:ea typeface="+mn-ea"/>
                              <a:cs typeface="+mn-cs"/>
                            </a:rPr>
                            <m:t>  </m:t>
                          </m:r>
                        </m:e>
                        <m:sub/>
                      </m:sSub>
                    </m:num>
                    <m:den>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𝑃𝑃</m:t>
                          </m:r>
                        </m:sub>
                      </m:sSub>
                    </m:den>
                  </m:f>
                  <m:r>
                    <a:rPr lang="en-US" sz="1100" b="0" i="1" baseline="0">
                      <a:solidFill>
                        <a:srgbClr val="FF0000"/>
                      </a:solidFill>
                      <a:effectLst/>
                      <a:latin typeface="Cambria Math" panose="02040503050406030204" pitchFamily="18" charset="0"/>
                      <a:ea typeface="+mn-ea"/>
                      <a:cs typeface="+mn-cs"/>
                    </a:rPr>
                    <m:t>]</m:t>
                  </m:r>
                </m:oMath>
              </a14:m>
              <a:r>
                <a:rPr lang="en-US" sz="1100" b="0" i="1" baseline="0">
                  <a:solidFill>
                    <a:srgbClr val="FF0000"/>
                  </a:solidFill>
                  <a:effectLst/>
                  <a:latin typeface="+mn-lt"/>
                  <a:ea typeface="+mn-ea"/>
                  <a:cs typeface="+mn-cs"/>
                </a:rPr>
                <a:t>   </a:t>
              </a:r>
              <a:endParaRPr lang="en-GB" sz="1400" baseline="0">
                <a:solidFill>
                  <a:schemeClr val="tx1"/>
                </a:solidFill>
              </a:endParaRPr>
            </a:p>
          </xdr:txBody>
        </xdr:sp>
      </mc:Choice>
      <mc:Fallback xmlns="">
        <xdr:sp macro="" textlink="">
          <xdr:nvSpPr>
            <xdr:cNvPr id="86" name="TextBox 90">
              <a:extLst>
                <a:ext uri="{FF2B5EF4-FFF2-40B4-BE49-F238E27FC236}">
                  <a16:creationId xmlns:a16="http://schemas.microsoft.com/office/drawing/2014/main" id="{C0D784E6-D242-4835-8C7A-6781FFD666BA}"/>
                </a:ext>
              </a:extLst>
            </xdr:cNvPr>
            <xdr:cNvSpPr txBox="1"/>
          </xdr:nvSpPr>
          <xdr:spPr>
            <a:xfrm>
              <a:off x="3425976" y="48663980"/>
              <a:ext cx="17848035" cy="104593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𝑓_(𝑃𝑃_𝑖𝑛𝑡𝑟𝑎</a:t>
              </a:r>
              <a:r>
                <a:rPr lang="en-US" sz="1400" b="0" i="0" baseline="0">
                  <a:solidFill>
                    <a:schemeClr val="tx1"/>
                  </a:solidFill>
                  <a:latin typeface="Cambria Math" panose="02040503050406030204" pitchFamily="18" charset="0"/>
                </a:rPr>
                <a:t>(𝑙)</a:t>
              </a:r>
              <a:r>
                <a:rPr lang="en-US" sz="1400" b="0" i="0" baseline="-25000">
                  <a:solidFill>
                    <a:schemeClr val="tx1"/>
                  </a:solidFill>
                  <a:latin typeface="Cambria Math" panose="02040503050406030204" pitchFamily="18" charset="0"/>
                </a:rPr>
                <a:t>  )</a:t>
              </a:r>
              <a:r>
                <a:rPr lang="en-US" sz="1400" b="0" i="0" baseline="0">
                  <a:solidFill>
                    <a:schemeClr val="tx1"/>
                  </a:solidFill>
                  <a:latin typeface="Cambria Math" panose="02040503050406030204" pitchFamily="18" charset="0"/>
                </a:rPr>
                <a:t>= </a:t>
              </a:r>
              <a:r>
                <a:rPr lang="en-US" sz="1400" b="0" i="0">
                  <a:solidFill>
                    <a:schemeClr val="tx1"/>
                  </a:solidFill>
                  <a:latin typeface="Cambria Math" panose="02040503050406030204" pitchFamily="18" charset="0"/>
                </a:rPr>
                <a:t> 1/𝐿</a:t>
              </a:r>
              <a:r>
                <a:rPr lang="en-US" sz="1100" b="0" i="0">
                  <a:solidFill>
                    <a:schemeClr val="tx1"/>
                  </a:solidFill>
                  <a:effectLst/>
                  <a:latin typeface="Cambria Math" panose="02040503050406030204" pitchFamily="18" charset="0"/>
                  <a:ea typeface="+mn-ea"/>
                  <a:cs typeface="+mn-cs"/>
                </a:rPr>
                <a:t> [𝐶_𝑖𝑛𝑡𝑟𝑎</a:t>
              </a:r>
              <a:r>
                <a:rPr lang="en-GB" sz="1100" b="0" i="0" baseline="0">
                  <a:solidFill>
                    <a:schemeClr val="tx1"/>
                  </a:solidFill>
                  <a:effectLst/>
                  <a:latin typeface="Cambria Math" panose="02040503050406030204" pitchFamily="18" charset="0"/>
                  <a:ea typeface="+mn-ea"/>
                  <a:cs typeface="+mn-cs"/>
                </a:rPr>
                <a:t> </a:t>
              </a:r>
              <a:r>
                <a:rPr lang="en-GB" sz="1100" i="0" baseline="0">
                  <a:solidFill>
                    <a:schemeClr val="tx1"/>
                  </a:solidFill>
                  <a:effectLst/>
                  <a:latin typeface="Cambria Math" panose="02040503050406030204" pitchFamily="18" charset="0"/>
                  <a:ea typeface="+mn-ea"/>
                  <a:cs typeface="+mn-cs"/>
                </a:rPr>
                <a:t> + 𝑁_𝑎𝑐</a:t>
              </a:r>
              <a:r>
                <a:rPr lang="en-US" sz="1100" b="0" i="0" baseline="0">
                  <a:solidFill>
                    <a:schemeClr val="tx1"/>
                  </a:solidFill>
                  <a:effectLst/>
                  <a:latin typeface="Cambria Math" panose="02040503050406030204" pitchFamily="18" charset="0"/>
                  <a:ea typeface="+mn-ea"/>
                  <a:cs typeface="+mn-cs"/>
                </a:rPr>
                <a:t>𝑡 (𝑙)∗ 𝑆_𝑎𝑐𝑡𝑖𝑣𝑎𝑡𝑖𝑜𝑛</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𝐵𝑊_𝑖𝑛𝑡𝑟𝑎 </a:t>
              </a:r>
              <a:r>
                <a:rPr lang="en-GB" sz="1100" b="0" i="0" baseline="0">
                  <a:solidFill>
                    <a:schemeClr val="tx1"/>
                  </a:solidFill>
                  <a:effectLst/>
                  <a:latin typeface="Cambria Math" panose="02040503050406030204" pitchFamily="18" charset="0"/>
                  <a:ea typeface="+mn-ea"/>
                  <a:cs typeface="+mn-cs"/>
                </a:rPr>
                <a:t>) </a:t>
              </a:r>
              <a:r>
                <a:rPr lang="en-GB" sz="1100" i="0" baseline="0">
                  <a:solidFill>
                    <a:schemeClr val="tx1"/>
                  </a:solidFill>
                  <a:effectLst/>
                  <a:latin typeface="Cambria Math" panose="02040503050406030204" pitchFamily="18" charset="0"/>
                  <a:ea typeface="+mn-ea"/>
                  <a:cs typeface="+mn-cs"/>
                </a:rPr>
                <a:t> ]</a:t>
              </a:r>
              <a:r>
                <a:rPr lang="en-US" sz="1100" b="0" i="0" baseline="0">
                  <a:solidFill>
                    <a:schemeClr val="tx1"/>
                  </a:solidFill>
                  <a:effectLst/>
                  <a:latin typeface="+mn-lt"/>
                  <a:ea typeface="+mn-ea"/>
                  <a:cs typeface="+mn-cs"/>
                </a:rPr>
                <a:t>𝑖𝑓 𝑁_(𝑃𝑃_𝑖𝑛𝑡𝑟𝑎 ) !=1</a:t>
              </a:r>
              <a:r>
                <a:rPr lang="en-US" sz="1100" b="0" i="0" baseline="0">
                  <a:solidFill>
                    <a:schemeClr val="tx1"/>
                  </a:solidFill>
                  <a:effectLst/>
                  <a:latin typeface="Cambria Math" panose="02040503050406030204" pitchFamily="18" charset="0"/>
                  <a:ea typeface="+mn-ea"/>
                  <a:cs typeface="+mn-cs"/>
                </a:rPr>
                <a:t>", else 0</a:t>
              </a:r>
              <a:r>
                <a:rPr lang="en-GB" sz="1100" b="0" i="0" baseline="0">
                  <a:solidFill>
                    <a:schemeClr val="tx1"/>
                  </a:solidFill>
                  <a:effectLst/>
                  <a:latin typeface="+mn-lt"/>
                  <a:ea typeface="+mn-ea"/>
                  <a:cs typeface="+mn-cs"/>
                </a:rPr>
                <a:t>"</a:t>
              </a:r>
              <a:endParaRPr lang="en-GB" sz="1400" baseline="0">
                <a:solidFill>
                  <a:schemeClr val="tx1"/>
                </a:solidFill>
              </a:endParaRPr>
            </a:p>
            <a:p>
              <a:r>
                <a:rPr lang="en-US" sz="1100" b="0" i="0" baseline="0">
                  <a:solidFill>
                    <a:srgbClr val="FF0000"/>
                  </a:solidFill>
                  <a:effectLst/>
                  <a:latin typeface="+mn-lt"/>
                  <a:ea typeface="+mn-ea"/>
                  <a:cs typeface="+mn-cs"/>
                </a:rPr>
                <a:t>𝑁_𝑎𝑐𝑡∗[〖〖(𝑁〗_(𝑃𝑃_𝑖𝑛𝑡𝑟𝑎 )−1)∗𝑁_𝑃𝑃_𝑖𝑛𝑡𝑒𝑟  〗_ /𝑁_𝑃𝑃 ]</a:t>
              </a:r>
              <a:r>
                <a:rPr lang="en-US" sz="1100" b="0" i="1" baseline="0">
                  <a:solidFill>
                    <a:srgbClr val="FF0000"/>
                  </a:solidFill>
                  <a:effectLst/>
                  <a:latin typeface="+mn-lt"/>
                  <a:ea typeface="+mn-ea"/>
                  <a:cs typeface="+mn-cs"/>
                </a:rPr>
                <a:t>   </a:t>
              </a:r>
              <a:endParaRPr lang="en-GB" sz="1400" baseline="0">
                <a:solidFill>
                  <a:schemeClr val="tx1"/>
                </a:solidFill>
              </a:endParaRPr>
            </a:p>
          </xdr:txBody>
        </xdr:sp>
      </mc:Fallback>
    </mc:AlternateContent>
    <xdr:clientData/>
  </xdr:oneCellAnchor>
  <xdr:oneCellAnchor>
    <xdr:from>
      <xdr:col>1</xdr:col>
      <xdr:colOff>18143</xdr:colOff>
      <xdr:row>126</xdr:row>
      <xdr:rowOff>33563</xdr:rowOff>
    </xdr:from>
    <xdr:ext cx="17848035" cy="937987"/>
    <mc:AlternateContent xmlns:mc="http://schemas.openxmlformats.org/markup-compatibility/2006" xmlns:a14="http://schemas.microsoft.com/office/drawing/2010/main">
      <mc:Choice Requires="a14">
        <xdr:sp macro="" textlink="">
          <xdr:nvSpPr>
            <xdr:cNvPr id="82" name="TextBox 90">
              <a:extLst>
                <a:ext uri="{FF2B5EF4-FFF2-40B4-BE49-F238E27FC236}">
                  <a16:creationId xmlns:a16="http://schemas.microsoft.com/office/drawing/2014/main" id="{B80AA108-E446-487C-B34A-1780E9317348}"/>
                </a:ext>
              </a:extLst>
            </xdr:cNvPr>
            <xdr:cNvSpPr txBox="1"/>
          </xdr:nvSpPr>
          <xdr:spPr>
            <a:xfrm>
              <a:off x="3275693" y="45343988"/>
              <a:ext cx="17848035" cy="93798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left"/>
                  </m:oMathParaPr>
                  <m:oMath xmlns:m="http://schemas.openxmlformats.org/officeDocument/2006/math">
                    <m:r>
                      <a:rPr lang="en-US" sz="1400" b="0" i="1">
                        <a:solidFill>
                          <a:sysClr val="windowText" lastClr="000000"/>
                        </a:solidFill>
                        <a:latin typeface="Cambria Math" panose="02040503050406030204" pitchFamily="18" charset="0"/>
                      </a:rPr>
                      <m:t>𝑀</m:t>
                    </m:r>
                    <m:r>
                      <a:rPr lang="en-US" sz="1400" b="0" i="1" baseline="-25000">
                        <a:solidFill>
                          <a:sysClr val="windowText" lastClr="000000"/>
                        </a:solidFill>
                        <a:latin typeface="Cambria Math" panose="02040503050406030204" pitchFamily="18" charset="0"/>
                      </a:rPr>
                      <m:t>𝑓</m:t>
                    </m:r>
                    <m:r>
                      <a:rPr lang="en-US" sz="1400" b="0" i="1" baseline="-25000">
                        <a:solidFill>
                          <a:sysClr val="windowText" lastClr="000000"/>
                        </a:solidFill>
                        <a:latin typeface="Cambria Math" panose="02040503050406030204" pitchFamily="18" charset="0"/>
                      </a:rPr>
                      <m:t>_</m:t>
                    </m:r>
                    <m:r>
                      <a:rPr lang="en-US" sz="1400" b="0" i="1" baseline="-25000">
                        <a:solidFill>
                          <a:sysClr val="windowText" lastClr="000000"/>
                        </a:solidFill>
                        <a:latin typeface="Cambria Math" panose="02040503050406030204" pitchFamily="18" charset="0"/>
                      </a:rPr>
                      <m:t>𝑃𝑃</m:t>
                    </m:r>
                    <m:r>
                      <a:rPr lang="en-US" sz="1400" b="0" i="1" baseline="-25000">
                        <a:solidFill>
                          <a:sysClr val="windowText" lastClr="000000"/>
                        </a:solidFill>
                        <a:latin typeface="Cambria Math" panose="02040503050406030204" pitchFamily="18" charset="0"/>
                      </a:rPr>
                      <m:t>_</m:t>
                    </m:r>
                    <m:r>
                      <a:rPr lang="en-US" sz="1400" b="0" i="1" baseline="-25000">
                        <a:solidFill>
                          <a:sysClr val="windowText" lastClr="000000"/>
                        </a:solidFill>
                        <a:latin typeface="Cambria Math" panose="02040503050406030204" pitchFamily="18" charset="0"/>
                      </a:rPr>
                      <m:t>𝑖𝑛𝑡𝑒𝑟</m:t>
                    </m:r>
                    <m:d>
                      <m:dPr>
                        <m:ctrlPr>
                          <a:rPr lang="en-US" sz="1400" b="0" i="1" baseline="0">
                            <a:solidFill>
                              <a:sysClr val="windowText" lastClr="000000"/>
                            </a:solidFill>
                            <a:latin typeface="Cambria Math" panose="02040503050406030204" pitchFamily="18" charset="0"/>
                          </a:rPr>
                        </m:ctrlPr>
                      </m:dPr>
                      <m:e>
                        <m:r>
                          <a:rPr lang="en-US" sz="1400" b="0" i="1" baseline="0">
                            <a:solidFill>
                              <a:sysClr val="windowText" lastClr="000000"/>
                            </a:solidFill>
                            <a:latin typeface="Cambria Math" panose="02040503050406030204" pitchFamily="18" charset="0"/>
                          </a:rPr>
                          <m:t>𝑙</m:t>
                        </m:r>
                      </m:e>
                    </m:d>
                    <m:r>
                      <a:rPr lang="en-US" sz="1400" b="0" i="1" baseline="0">
                        <a:solidFill>
                          <a:sysClr val="windowText" lastClr="000000"/>
                        </a:solidFill>
                        <a:latin typeface="Cambria Math" panose="02040503050406030204" pitchFamily="18" charset="0"/>
                      </a:rPr>
                      <m:t>= </m:t>
                    </m:r>
                    <m:f>
                      <m:fPr>
                        <m:ctrlPr>
                          <a:rPr lang="en-US" sz="1400" b="0" i="1" baseline="0">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1</m:t>
                        </m:r>
                      </m:num>
                      <m:den>
                        <m:r>
                          <a:rPr lang="en-US" sz="1400" b="0" i="1">
                            <a:solidFill>
                              <a:sysClr val="windowText" lastClr="000000"/>
                            </a:solidFill>
                            <a:latin typeface="Cambria Math" panose="02040503050406030204" pitchFamily="18" charset="0"/>
                          </a:rPr>
                          <m:t>𝐿</m:t>
                        </m:r>
                      </m:den>
                    </m:f>
                    <m:d>
                      <m:dPr>
                        <m:begChr m:val="["/>
                        <m:endChr m:val="]"/>
                        <m:ctrlPr>
                          <a:rPr lang="en-US" sz="1100" b="0" i="1">
                            <a:solidFill>
                              <a:sysClr val="windowText" lastClr="000000"/>
                            </a:solidFill>
                            <a:effectLst/>
                            <a:latin typeface="Cambria Math" panose="02040503050406030204" pitchFamily="18" charset="0"/>
                            <a:ea typeface="+mn-ea"/>
                            <a:cs typeface="+mn-cs"/>
                          </a:rPr>
                        </m:ctrlPr>
                      </m:dPr>
                      <m:e>
                        <m:sSub>
                          <m:sSubPr>
                            <m:ctrlPr>
                              <a:rPr lang="en-US" sz="1100" b="0" i="1">
                                <a:solidFill>
                                  <a:sysClr val="windowText" lastClr="000000"/>
                                </a:solidFill>
                                <a:effectLst/>
                                <a:latin typeface="Cambria Math" panose="02040503050406030204" pitchFamily="18" charset="0"/>
                                <a:ea typeface="+mn-ea"/>
                                <a:cs typeface="+mn-cs"/>
                              </a:rPr>
                            </m:ctrlPr>
                          </m:sSubPr>
                          <m:e>
                            <m:r>
                              <a:rPr lang="en-US" sz="1100" b="0" i="1">
                                <a:solidFill>
                                  <a:sysClr val="windowText" lastClr="000000"/>
                                </a:solidFill>
                                <a:effectLst/>
                                <a:latin typeface="Cambria Math" panose="02040503050406030204" pitchFamily="18" charset="0"/>
                                <a:ea typeface="+mn-ea"/>
                                <a:cs typeface="+mn-cs"/>
                              </a:rPr>
                              <m:t>𝐶</m:t>
                            </m:r>
                          </m:e>
                          <m:sub>
                            <m:r>
                              <a:rPr lang="en-US" sz="1100" b="0" i="1">
                                <a:solidFill>
                                  <a:sysClr val="windowText" lastClr="000000"/>
                                </a:solidFill>
                                <a:effectLst/>
                                <a:latin typeface="Cambria Math" panose="02040503050406030204" pitchFamily="18" charset="0"/>
                                <a:ea typeface="+mn-ea"/>
                                <a:cs typeface="+mn-cs"/>
                              </a:rPr>
                              <m:t>𝑖𝑛𝑡𝑒𝑟</m:t>
                            </m:r>
                          </m:sub>
                        </m:sSub>
                        <m:r>
                          <a:rPr lang="en-GB" sz="1100" i="1" baseline="0">
                            <a:solidFill>
                              <a:sysClr val="windowText" lastClr="000000"/>
                            </a:solidFill>
                            <a:effectLst/>
                            <a:latin typeface="Cambria Math" panose="02040503050406030204" pitchFamily="18" charset="0"/>
                            <a:ea typeface="+mn-ea"/>
                            <a:cs typeface="+mn-cs"/>
                          </a:rPr>
                          <m:t> + </m:t>
                        </m:r>
                        <m:sSub>
                          <m:sSubPr>
                            <m:ctrlPr>
                              <a:rPr lang="en-GB" sz="1100" i="1" baseline="0">
                                <a:solidFill>
                                  <a:sysClr val="windowText" lastClr="000000"/>
                                </a:solidFill>
                                <a:effectLst/>
                                <a:latin typeface="Cambria Math" panose="02040503050406030204" pitchFamily="18" charset="0"/>
                                <a:ea typeface="+mn-ea"/>
                                <a:cs typeface="+mn-cs"/>
                              </a:rPr>
                            </m:ctrlPr>
                          </m:sSubPr>
                          <m:e>
                            <m:r>
                              <a:rPr lang="en-GB" sz="1100" i="1" baseline="0">
                                <a:solidFill>
                                  <a:sysClr val="windowText" lastClr="000000"/>
                                </a:solidFill>
                                <a:effectLst/>
                                <a:latin typeface="Cambria Math" panose="02040503050406030204" pitchFamily="18" charset="0"/>
                                <a:ea typeface="+mn-ea"/>
                                <a:cs typeface="+mn-cs"/>
                              </a:rPr>
                              <m:t>𝑁</m:t>
                            </m:r>
                          </m:e>
                          <m:sub>
                            <m:r>
                              <a:rPr lang="en-GB" sz="1100" i="1" baseline="0">
                                <a:solidFill>
                                  <a:sysClr val="windowText" lastClr="000000"/>
                                </a:solidFill>
                                <a:effectLst/>
                                <a:latin typeface="Cambria Math" panose="02040503050406030204" pitchFamily="18" charset="0"/>
                                <a:ea typeface="+mn-ea"/>
                                <a:cs typeface="+mn-cs"/>
                              </a:rPr>
                              <m:t>𝑎𝑐</m:t>
                            </m:r>
                            <m:r>
                              <a:rPr lang="en-US" sz="1100" b="0" i="1" baseline="0">
                                <a:solidFill>
                                  <a:sysClr val="windowText" lastClr="000000"/>
                                </a:solidFill>
                                <a:effectLst/>
                                <a:latin typeface="Cambria Math" panose="02040503050406030204" pitchFamily="18" charset="0"/>
                                <a:ea typeface="+mn-ea"/>
                                <a:cs typeface="+mn-cs"/>
                              </a:rPr>
                              <m:t>𝑡</m:t>
                            </m:r>
                          </m:sub>
                        </m:sSub>
                        <m:d>
                          <m:dPr>
                            <m:ctrlPr>
                              <a:rPr lang="en-US" sz="1100" b="0" i="1" baseline="0">
                                <a:solidFill>
                                  <a:sysClr val="windowText" lastClr="000000"/>
                                </a:solidFill>
                                <a:effectLst/>
                                <a:latin typeface="Cambria Math" panose="02040503050406030204" pitchFamily="18" charset="0"/>
                                <a:ea typeface="+mn-ea"/>
                                <a:cs typeface="+mn-cs"/>
                              </a:rPr>
                            </m:ctrlPr>
                          </m:dPr>
                          <m:e>
                            <m:r>
                              <a:rPr lang="en-US" sz="1100" b="0" i="1" baseline="0">
                                <a:solidFill>
                                  <a:sysClr val="windowText" lastClr="000000"/>
                                </a:solidFill>
                                <a:effectLst/>
                                <a:latin typeface="Cambria Math" panose="02040503050406030204" pitchFamily="18" charset="0"/>
                                <a:ea typeface="+mn-ea"/>
                                <a:cs typeface="+mn-cs"/>
                              </a:rPr>
                              <m:t>𝑙</m:t>
                            </m:r>
                          </m:e>
                        </m:d>
                        <m:r>
                          <a:rPr lang="en-US" sz="1100" b="0" i="1" baseline="0">
                            <a:solidFill>
                              <a:sysClr val="windowText" lastClr="000000"/>
                            </a:solidFill>
                            <a:effectLst/>
                            <a:latin typeface="Cambria Math" panose="02040503050406030204" pitchFamily="18" charset="0"/>
                            <a:ea typeface="+mn-ea"/>
                            <a:cs typeface="+mn-cs"/>
                          </a:rPr>
                          <m:t>∗ </m:t>
                        </m:r>
                        <m:f>
                          <m:fPr>
                            <m:ctrlPr>
                              <a:rPr lang="en-GB" sz="1100" i="1" baseline="0">
                                <a:solidFill>
                                  <a:sysClr val="windowText" lastClr="000000"/>
                                </a:solidFill>
                                <a:effectLst/>
                                <a:latin typeface="Cambria Math" panose="02040503050406030204" pitchFamily="18" charset="0"/>
                                <a:ea typeface="+mn-ea"/>
                                <a:cs typeface="+mn-cs"/>
                              </a:rPr>
                            </m:ctrlPr>
                          </m:fPr>
                          <m:num>
                            <m:sSub>
                              <m:sSubPr>
                                <m:ctrlPr>
                                  <a:rPr lang="en-US" sz="1100" b="0" i="1" baseline="0">
                                    <a:solidFill>
                                      <a:sysClr val="windowText" lastClr="000000"/>
                                    </a:solidFill>
                                    <a:effectLst/>
                                    <a:latin typeface="Cambria Math" panose="02040503050406030204" pitchFamily="18" charset="0"/>
                                    <a:ea typeface="+mn-ea"/>
                                    <a:cs typeface="+mn-cs"/>
                                  </a:rPr>
                                </m:ctrlPr>
                              </m:sSubPr>
                              <m:e>
                                <m:r>
                                  <a:rPr lang="en-US" sz="1100" b="0" i="1" baseline="0">
                                    <a:solidFill>
                                      <a:sysClr val="windowText" lastClr="000000"/>
                                    </a:solidFill>
                                    <a:effectLst/>
                                    <a:latin typeface="Cambria Math" panose="02040503050406030204" pitchFamily="18" charset="0"/>
                                    <a:ea typeface="+mn-ea"/>
                                    <a:cs typeface="+mn-cs"/>
                                  </a:rPr>
                                  <m:t>𝑆</m:t>
                                </m:r>
                              </m:e>
                              <m:sub>
                                <m:r>
                                  <a:rPr lang="en-US" sz="1100" b="0" i="1" baseline="0">
                                    <a:solidFill>
                                      <a:sysClr val="windowText" lastClr="000000"/>
                                    </a:solidFill>
                                    <a:effectLst/>
                                    <a:latin typeface="Cambria Math" panose="02040503050406030204" pitchFamily="18" charset="0"/>
                                    <a:ea typeface="+mn-ea"/>
                                    <a:cs typeface="+mn-cs"/>
                                  </a:rPr>
                                  <m:t>𝑎𝑐𝑡𝑖𝑣𝑎𝑡𝑖𝑜𝑛</m:t>
                                </m:r>
                              </m:sub>
                            </m:sSub>
                          </m:num>
                          <m:den>
                            <m:r>
                              <a:rPr lang="en-US" sz="1100" b="0" i="1" baseline="0">
                                <a:solidFill>
                                  <a:sysClr val="windowText" lastClr="000000"/>
                                </a:solidFill>
                                <a:effectLst/>
                                <a:latin typeface="Cambria Math" panose="02040503050406030204" pitchFamily="18" charset="0"/>
                                <a:ea typeface="+mn-ea"/>
                                <a:cs typeface="+mn-cs"/>
                              </a:rPr>
                              <m:t>𝐵</m:t>
                            </m:r>
                            <m:sSub>
                              <m:sSubPr>
                                <m:ctrlPr>
                                  <a:rPr lang="en-US" sz="1100" b="0" i="1" baseline="0">
                                    <a:solidFill>
                                      <a:sysClr val="windowText" lastClr="000000"/>
                                    </a:solidFill>
                                    <a:effectLst/>
                                    <a:latin typeface="Cambria Math" panose="02040503050406030204" pitchFamily="18" charset="0"/>
                                    <a:ea typeface="+mn-ea"/>
                                    <a:cs typeface="+mn-cs"/>
                                  </a:rPr>
                                </m:ctrlPr>
                              </m:sSubPr>
                              <m:e>
                                <m:r>
                                  <a:rPr lang="en-US" sz="1100" b="0" i="1" baseline="0">
                                    <a:solidFill>
                                      <a:sysClr val="windowText" lastClr="000000"/>
                                    </a:solidFill>
                                    <a:effectLst/>
                                    <a:latin typeface="Cambria Math" panose="02040503050406030204" pitchFamily="18" charset="0"/>
                                    <a:ea typeface="+mn-ea"/>
                                    <a:cs typeface="+mn-cs"/>
                                  </a:rPr>
                                  <m:t>𝑊</m:t>
                                </m:r>
                              </m:e>
                              <m:sub>
                                <m:r>
                                  <a:rPr lang="en-US" sz="1100" b="0" i="1" baseline="0">
                                    <a:solidFill>
                                      <a:sysClr val="windowText" lastClr="000000"/>
                                    </a:solidFill>
                                    <a:effectLst/>
                                    <a:latin typeface="Cambria Math" panose="02040503050406030204" pitchFamily="18" charset="0"/>
                                    <a:ea typeface="+mn-ea"/>
                                    <a:cs typeface="+mn-cs"/>
                                  </a:rPr>
                                  <m:t>𝑖𝑛𝑡𝑒𝑟</m:t>
                                </m:r>
                              </m:sub>
                            </m:sSub>
                          </m:den>
                        </m:f>
                        <m:r>
                          <a:rPr lang="en-GB" sz="1100" i="1" baseline="0">
                            <a:solidFill>
                              <a:sysClr val="windowText" lastClr="000000"/>
                            </a:solidFill>
                            <a:effectLst/>
                            <a:latin typeface="Cambria Math" panose="02040503050406030204" pitchFamily="18" charset="0"/>
                            <a:ea typeface="+mn-ea"/>
                            <a:cs typeface="+mn-cs"/>
                          </a:rPr>
                          <m:t> </m:t>
                        </m:r>
                      </m:e>
                    </m:d>
                    <m:r>
                      <a:rPr lang="en-US" sz="1100" b="0" i="1" baseline="0">
                        <a:solidFill>
                          <a:schemeClr val="tx1"/>
                        </a:solidFill>
                        <a:effectLst/>
                        <a:latin typeface="Cambria Math" panose="02040503050406030204" pitchFamily="18" charset="0"/>
                        <a:ea typeface="+mn-ea"/>
                        <a:cs typeface="+mn-cs"/>
                      </a:rPr>
                      <m:t>𝑖𝑓</m:t>
                    </m:r>
                    <m:r>
                      <a:rPr lang="en-US" sz="1100" b="0" i="1" baseline="0">
                        <a:solidFill>
                          <a:schemeClr val="tx1"/>
                        </a:solidFill>
                        <a:effectLst/>
                        <a:latin typeface="Cambria Math" panose="02040503050406030204" pitchFamily="18" charset="0"/>
                        <a:ea typeface="+mn-ea"/>
                        <a:cs typeface="+mn-cs"/>
                      </a:rPr>
                      <m:t> </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𝑃</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𝑃</m:t>
                            </m:r>
                          </m:e>
                          <m:sub>
                            <m:r>
                              <a:rPr lang="en-US" sz="1100" b="0" i="1" baseline="0">
                                <a:solidFill>
                                  <a:schemeClr val="tx1"/>
                                </a:solidFill>
                                <a:effectLst/>
                                <a:latin typeface="Cambria Math" panose="02040503050406030204" pitchFamily="18" charset="0"/>
                                <a:ea typeface="+mn-ea"/>
                                <a:cs typeface="+mn-cs"/>
                              </a:rPr>
                              <m:t>𝑖𝑛𝑡𝑒𝑟</m:t>
                            </m:r>
                          </m:sub>
                        </m:sSub>
                      </m:sub>
                    </m:sSub>
                    <m:r>
                      <a:rPr lang="en-US" sz="1100" b="0" i="1" baseline="0">
                        <a:solidFill>
                          <a:schemeClr val="tx1"/>
                        </a:solidFill>
                        <a:effectLst/>
                        <a:latin typeface="Cambria Math" panose="02040503050406030204" pitchFamily="18" charset="0"/>
                        <a:ea typeface="+mn-ea"/>
                        <a:cs typeface="+mn-cs"/>
                      </a:rPr>
                      <m:t>!=1</m:t>
                    </m:r>
                    <m:r>
                      <m:rPr>
                        <m:nor/>
                      </m:rPr>
                      <a:rPr lang="en-US" sz="1100" b="0" i="1" baseline="0">
                        <a:solidFill>
                          <a:schemeClr val="tx1"/>
                        </a:solidFill>
                        <a:effectLst/>
                        <a:latin typeface="+mn-lt"/>
                        <a:ea typeface="+mn-ea"/>
                        <a:cs typeface="+mn-cs"/>
                      </a:rPr>
                      <m:t>, </m:t>
                    </m:r>
                    <m:r>
                      <m:rPr>
                        <m:nor/>
                      </m:rPr>
                      <a:rPr lang="en-US" sz="1100" b="0" i="1" baseline="0">
                        <a:solidFill>
                          <a:schemeClr val="tx1"/>
                        </a:solidFill>
                        <a:effectLst/>
                        <a:latin typeface="+mn-lt"/>
                        <a:ea typeface="+mn-ea"/>
                        <a:cs typeface="+mn-cs"/>
                      </a:rPr>
                      <m:t>else</m:t>
                    </m:r>
                    <m:r>
                      <m:rPr>
                        <m:nor/>
                      </m:rPr>
                      <a:rPr lang="en-US" sz="1100" b="0" i="1" baseline="0">
                        <a:solidFill>
                          <a:schemeClr val="tx1"/>
                        </a:solidFill>
                        <a:effectLst/>
                        <a:latin typeface="+mn-lt"/>
                        <a:ea typeface="+mn-ea"/>
                        <a:cs typeface="+mn-cs"/>
                      </a:rPr>
                      <m:t> 0</m:t>
                    </m:r>
                  </m:oMath>
                </m:oMathPara>
              </a14:m>
              <a:endParaRPr lang="en-GB" sz="1400" baseline="0">
                <a:solidFill>
                  <a:srgbClr val="FF0000"/>
                </a:solidFill>
              </a:endParaRPr>
            </a:p>
            <a:p>
              <a14:m>
                <m:oMath xmlns:m="http://schemas.openxmlformats.org/officeDocument/2006/math">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𝑎𝑐</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𝑡</m:t>
                          </m:r>
                        </m:e>
                        <m:sub>
                          <m:r>
                            <a:rPr lang="en-US" sz="1100" b="0" i="1" baseline="0">
                              <a:solidFill>
                                <a:srgbClr val="FF0000"/>
                              </a:solidFill>
                              <a:effectLst/>
                              <a:latin typeface="Cambria Math" panose="02040503050406030204" pitchFamily="18" charset="0"/>
                              <a:ea typeface="+mn-ea"/>
                              <a:cs typeface="+mn-cs"/>
                            </a:rPr>
                            <m:t>𝑖𝑛𝑡𝑒𝑟</m:t>
                          </m:r>
                        </m:sub>
                      </m:sSub>
                    </m:sub>
                  </m:sSub>
                  <m:d>
                    <m:dPr>
                      <m:ctrlPr>
                        <a:rPr lang="en-US" sz="1100" b="0" i="1" baseline="0">
                          <a:solidFill>
                            <a:srgbClr val="FF0000"/>
                          </a:solidFill>
                          <a:effectLst/>
                          <a:latin typeface="Cambria Math" panose="02040503050406030204" pitchFamily="18" charset="0"/>
                          <a:ea typeface="+mn-ea"/>
                          <a:cs typeface="+mn-cs"/>
                        </a:rPr>
                      </m:ctrlPr>
                    </m:dPr>
                    <m:e>
                      <m:r>
                        <a:rPr lang="en-US" sz="1100" b="0" i="1" baseline="0">
                          <a:solidFill>
                            <a:srgbClr val="FF0000"/>
                          </a:solidFill>
                          <a:effectLst/>
                          <a:latin typeface="Cambria Math" panose="02040503050406030204" pitchFamily="18" charset="0"/>
                          <a:ea typeface="+mn-ea"/>
                          <a:cs typeface="+mn-cs"/>
                        </a:rPr>
                        <m:t>𝑙</m:t>
                      </m:r>
                      <m:r>
                        <a:rPr lang="en-US" sz="1100" b="0" i="1" baseline="0">
                          <a:solidFill>
                            <a:srgbClr val="FF0000"/>
                          </a:solidFill>
                          <a:effectLst/>
                          <a:latin typeface="Cambria Math" panose="02040503050406030204" pitchFamily="18" charset="0"/>
                          <a:ea typeface="+mn-ea"/>
                          <a:cs typeface="+mn-cs"/>
                        </a:rPr>
                        <m:t>,</m:t>
                      </m:r>
                      <m:r>
                        <a:rPr lang="en-US" sz="1100" b="0" i="1" baseline="0">
                          <a:solidFill>
                            <a:srgbClr val="FF0000"/>
                          </a:solidFill>
                          <a:effectLst/>
                          <a:latin typeface="Cambria Math" panose="02040503050406030204" pitchFamily="18" charset="0"/>
                          <a:ea typeface="+mn-ea"/>
                          <a:cs typeface="+mn-cs"/>
                        </a:rPr>
                        <m:t>𝑐𝑜𝑚</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𝑚</m:t>
                          </m:r>
                        </m:e>
                        <m:sub>
                          <m:r>
                            <a:rPr lang="en-US" sz="1100" b="0" i="1" baseline="0">
                              <a:solidFill>
                                <a:srgbClr val="FF0000"/>
                              </a:solidFill>
                              <a:effectLst/>
                              <a:latin typeface="Cambria Math" panose="02040503050406030204" pitchFamily="18" charset="0"/>
                              <a:ea typeface="+mn-ea"/>
                              <a:cs typeface="+mn-cs"/>
                            </a:rPr>
                            <m:t>𝑡𝑦𝑝𝑒</m:t>
                          </m:r>
                        </m:sub>
                      </m:sSub>
                    </m:e>
                  </m:d>
                  <m:r>
                    <a:rPr lang="en-US" sz="1100" b="0" i="1" baseline="0">
                      <a:solidFill>
                        <a:srgbClr val="FF0000"/>
                      </a:solidFill>
                      <a:effectLst/>
                      <a:latin typeface="Cambria Math" panose="02040503050406030204" pitchFamily="18" charset="0"/>
                      <a:ea typeface="+mn-ea"/>
                      <a:cs typeface="+mn-cs"/>
                    </a:rPr>
                    <m:t>=</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𝑎𝑐𝑡</m:t>
                      </m:r>
                    </m:sub>
                  </m:sSub>
                  <m:r>
                    <a:rPr lang="en-US" sz="1100" b="0" i="1" baseline="0">
                      <a:solidFill>
                        <a:srgbClr val="FF0000"/>
                      </a:solidFill>
                      <a:effectLst/>
                      <a:latin typeface="Cambria Math" panose="02040503050406030204" pitchFamily="18" charset="0"/>
                      <a:ea typeface="+mn-ea"/>
                      <a:cs typeface="+mn-cs"/>
                    </a:rPr>
                    <m:t>∗[</m:t>
                  </m:r>
                  <m:f>
                    <m:fPr>
                      <m:ctrlPr>
                        <a:rPr lang="en-US" sz="1100" b="0" i="1" baseline="0">
                          <a:solidFill>
                            <a:srgbClr val="FF0000"/>
                          </a:solidFill>
                          <a:effectLst/>
                          <a:latin typeface="Cambria Math" panose="02040503050406030204" pitchFamily="18" charset="0"/>
                          <a:ea typeface="+mn-ea"/>
                          <a:cs typeface="+mn-cs"/>
                        </a:rPr>
                      </m:ctrlPr>
                    </m:fPr>
                    <m:num>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𝑃</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𝑃</m:t>
                              </m:r>
                            </m:e>
                            <m:sub>
                              <m:r>
                                <a:rPr lang="en-US" sz="1100" b="0" i="1" baseline="0">
                                  <a:solidFill>
                                    <a:srgbClr val="FF0000"/>
                                  </a:solidFill>
                                  <a:effectLst/>
                                  <a:latin typeface="Cambria Math" panose="02040503050406030204" pitchFamily="18" charset="0"/>
                                  <a:ea typeface="+mn-ea"/>
                                  <a:cs typeface="+mn-cs"/>
                                </a:rPr>
                                <m:t>𝑖𝑛𝑡𝑒𝑟</m:t>
                              </m:r>
                            </m:sub>
                          </m:sSub>
                          <m:r>
                            <a:rPr lang="en-US" sz="1100" b="0" i="1" baseline="0">
                              <a:solidFill>
                                <a:srgbClr val="FF0000"/>
                              </a:solidFill>
                              <a:effectLst/>
                              <a:latin typeface="Cambria Math" panose="02040503050406030204" pitchFamily="18" charset="0"/>
                              <a:ea typeface="+mn-ea"/>
                              <a:cs typeface="+mn-cs"/>
                            </a:rPr>
                            <m:t>−1</m:t>
                          </m:r>
                        </m:sub>
                      </m:sSub>
                    </m:num>
                    <m:den>
                      <m:eqArr>
                        <m:eqArrPr>
                          <m:ctrlPr>
                            <a:rPr lang="en-US" sz="1100" b="0" i="1" baseline="0">
                              <a:solidFill>
                                <a:srgbClr val="FF0000"/>
                              </a:solidFill>
                              <a:effectLst/>
                              <a:latin typeface="Cambria Math" panose="02040503050406030204" pitchFamily="18" charset="0"/>
                              <a:ea typeface="+mn-ea"/>
                              <a:cs typeface="+mn-cs"/>
                            </a:rPr>
                          </m:ctrlPr>
                        </m:eqArrPr>
                        <m:e>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𝑃𝑃</m:t>
                              </m:r>
                            </m:sub>
                          </m:sSub>
                        </m:e>
                        <m:e/>
                      </m:eqArr>
                    </m:den>
                  </m:f>
                  <m:r>
                    <a:rPr lang="en-US" sz="1100" b="0" i="1" baseline="0">
                      <a:solidFill>
                        <a:srgbClr val="FF0000"/>
                      </a:solidFill>
                      <a:effectLst/>
                      <a:latin typeface="Cambria Math" panose="02040503050406030204" pitchFamily="18" charset="0"/>
                      <a:ea typeface="+mn-ea"/>
                      <a:cs typeface="+mn-cs"/>
                    </a:rPr>
                    <m:t>]</m:t>
                  </m:r>
                </m:oMath>
              </a14:m>
              <a:r>
                <a:rPr lang="en-US" sz="1100" b="0" i="1" baseline="0">
                  <a:solidFill>
                    <a:srgbClr val="FF0000"/>
                  </a:solidFill>
                  <a:effectLst/>
                  <a:latin typeface="+mn-lt"/>
                  <a:ea typeface="+mn-ea"/>
                  <a:cs typeface="+mn-cs"/>
                </a:rPr>
                <a:t>   </a:t>
              </a:r>
              <a:endParaRPr lang="en-GB" sz="1400" baseline="0">
                <a:solidFill>
                  <a:srgbClr val="FF0000"/>
                </a:solidFill>
              </a:endParaRPr>
            </a:p>
          </xdr:txBody>
        </xdr:sp>
      </mc:Choice>
      <mc:Fallback xmlns="">
        <xdr:sp macro="" textlink="">
          <xdr:nvSpPr>
            <xdr:cNvPr id="82" name="TextBox 90">
              <a:extLst>
                <a:ext uri="{FF2B5EF4-FFF2-40B4-BE49-F238E27FC236}">
                  <a16:creationId xmlns:a16="http://schemas.microsoft.com/office/drawing/2014/main" id="{B80AA108-E446-487C-B34A-1780E9317348}"/>
                </a:ext>
              </a:extLst>
            </xdr:cNvPr>
            <xdr:cNvSpPr txBox="1"/>
          </xdr:nvSpPr>
          <xdr:spPr>
            <a:xfrm>
              <a:off x="3275693" y="45343988"/>
              <a:ext cx="17848035" cy="93798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400" b="0" i="0">
                  <a:solidFill>
                    <a:sysClr val="windowText" lastClr="000000"/>
                  </a:solidFill>
                  <a:latin typeface="Cambria Math" panose="02040503050406030204" pitchFamily="18" charset="0"/>
                </a:rPr>
                <a:t>𝑀</a:t>
              </a:r>
              <a:r>
                <a:rPr lang="en-US" sz="1400" b="0" i="0" baseline="-25000">
                  <a:solidFill>
                    <a:sysClr val="windowText" lastClr="000000"/>
                  </a:solidFill>
                  <a:latin typeface="Cambria Math" panose="02040503050406030204" pitchFamily="18" charset="0"/>
                </a:rPr>
                <a:t>𝑓_𝑃𝑃_𝑖𝑛𝑡𝑒𝑟</a:t>
              </a:r>
              <a:r>
                <a:rPr lang="en-US" sz="1400" b="0" i="0" baseline="0">
                  <a:solidFill>
                    <a:sysClr val="windowText" lastClr="000000"/>
                  </a:solidFill>
                  <a:latin typeface="Cambria Math" panose="02040503050406030204" pitchFamily="18" charset="0"/>
                </a:rPr>
                <a:t>(𝑙)= </a:t>
              </a:r>
              <a:r>
                <a:rPr lang="en-US" sz="1400" b="0" i="0">
                  <a:solidFill>
                    <a:sysClr val="windowText" lastClr="000000"/>
                  </a:solidFill>
                  <a:latin typeface="Cambria Math" panose="02040503050406030204" pitchFamily="18" charset="0"/>
                </a:rPr>
                <a:t> 1</a:t>
              </a:r>
              <a:r>
                <a:rPr lang="en-US" sz="1400" b="0" i="0" baseline="0">
                  <a:solidFill>
                    <a:sysClr val="windowText" lastClr="000000"/>
                  </a:solidFill>
                  <a:latin typeface="Cambria Math" panose="02040503050406030204" pitchFamily="18" charset="0"/>
                </a:rPr>
                <a:t>/</a:t>
              </a:r>
              <a:r>
                <a:rPr lang="en-US" sz="1400" b="0" i="0">
                  <a:solidFill>
                    <a:sysClr val="windowText" lastClr="000000"/>
                  </a:solidFill>
                  <a:latin typeface="Cambria Math" panose="02040503050406030204" pitchFamily="18" charset="0"/>
                </a:rPr>
                <a:t>𝐿</a:t>
              </a:r>
              <a:r>
                <a:rPr lang="en-US" sz="1100" b="0" i="0">
                  <a:solidFill>
                    <a:sysClr val="windowText" lastClr="000000"/>
                  </a:solidFill>
                  <a:effectLst/>
                  <a:latin typeface="Cambria Math" panose="02040503050406030204" pitchFamily="18" charset="0"/>
                  <a:ea typeface="+mn-ea"/>
                  <a:cs typeface="+mn-cs"/>
                </a:rPr>
                <a:t> [𝐶_𝑖𝑛𝑡𝑒𝑟</a:t>
              </a:r>
              <a:r>
                <a:rPr lang="en-GB" sz="1100" b="0" i="0" baseline="0">
                  <a:solidFill>
                    <a:sysClr val="windowText" lastClr="000000"/>
                  </a:solidFill>
                  <a:effectLst/>
                  <a:latin typeface="Cambria Math" panose="02040503050406030204" pitchFamily="18" charset="0"/>
                  <a:ea typeface="+mn-ea"/>
                  <a:cs typeface="+mn-cs"/>
                </a:rPr>
                <a:t> </a:t>
              </a:r>
              <a:r>
                <a:rPr lang="en-GB" sz="1100" i="0" baseline="0">
                  <a:solidFill>
                    <a:sysClr val="windowText" lastClr="000000"/>
                  </a:solidFill>
                  <a:effectLst/>
                  <a:latin typeface="Cambria Math" panose="02040503050406030204" pitchFamily="18" charset="0"/>
                  <a:ea typeface="+mn-ea"/>
                  <a:cs typeface="+mn-cs"/>
                </a:rPr>
                <a:t> + 𝑁_𝑎𝑐</a:t>
              </a:r>
              <a:r>
                <a:rPr lang="en-US" sz="1100" b="0" i="0" baseline="0">
                  <a:solidFill>
                    <a:sysClr val="windowText" lastClr="000000"/>
                  </a:solidFill>
                  <a:effectLst/>
                  <a:latin typeface="Cambria Math" panose="02040503050406030204" pitchFamily="18" charset="0"/>
                  <a:ea typeface="+mn-ea"/>
                  <a:cs typeface="+mn-cs"/>
                </a:rPr>
                <a:t>𝑡 (𝑙)∗ 𝑆_𝑎𝑐𝑡𝑖𝑣𝑎𝑡𝑖𝑜𝑛</a:t>
              </a:r>
              <a:r>
                <a:rPr lang="en-GB" sz="1100" b="0" i="0" baseline="0">
                  <a:solidFill>
                    <a:sysClr val="windowText" lastClr="000000"/>
                  </a:solidFill>
                  <a:effectLst/>
                  <a:latin typeface="Cambria Math" panose="02040503050406030204" pitchFamily="18" charset="0"/>
                  <a:ea typeface="+mn-ea"/>
                  <a:cs typeface="+mn-cs"/>
                </a:rPr>
                <a:t>/(</a:t>
              </a:r>
              <a:r>
                <a:rPr lang="en-US" sz="1100" b="0" i="0" baseline="0">
                  <a:solidFill>
                    <a:sysClr val="windowText" lastClr="000000"/>
                  </a:solidFill>
                  <a:effectLst/>
                  <a:latin typeface="Cambria Math" panose="02040503050406030204" pitchFamily="18" charset="0"/>
                  <a:ea typeface="+mn-ea"/>
                  <a:cs typeface="+mn-cs"/>
                </a:rPr>
                <a:t>𝐵𝑊_𝑖𝑛𝑡𝑒𝑟 </a:t>
              </a:r>
              <a:r>
                <a:rPr lang="en-GB" sz="1100" b="0" i="0" baseline="0">
                  <a:solidFill>
                    <a:sysClr val="windowText" lastClr="000000"/>
                  </a:solidFill>
                  <a:effectLst/>
                  <a:latin typeface="Cambria Math" panose="02040503050406030204" pitchFamily="18" charset="0"/>
                  <a:ea typeface="+mn-ea"/>
                  <a:cs typeface="+mn-cs"/>
                </a:rPr>
                <a:t>) </a:t>
              </a:r>
              <a:r>
                <a:rPr lang="en-GB" sz="1100" i="0" baseline="0">
                  <a:solidFill>
                    <a:sysClr val="windowText" lastClr="000000"/>
                  </a:solidFill>
                  <a:effectLst/>
                  <a:latin typeface="Cambria Math" panose="02040503050406030204" pitchFamily="18" charset="0"/>
                  <a:ea typeface="+mn-ea"/>
                  <a:cs typeface="+mn-cs"/>
                </a:rPr>
                <a:t> ]</a:t>
              </a:r>
              <a:r>
                <a:rPr lang="en-US" sz="1100" b="0" i="0" baseline="0">
                  <a:solidFill>
                    <a:schemeClr val="tx1"/>
                  </a:solidFill>
                  <a:effectLst/>
                  <a:latin typeface="Cambria Math" panose="02040503050406030204" pitchFamily="18" charset="0"/>
                  <a:ea typeface="+mn-ea"/>
                  <a:cs typeface="+mn-cs"/>
                </a:rPr>
                <a:t>𝑖𝑓 𝑁_(𝑃𝑃_𝑖𝑛𝑡𝑒𝑟 ) !=1", else 0</a:t>
              </a:r>
              <a:r>
                <a:rPr lang="en-GB" sz="1100" b="0" i="0" baseline="0">
                  <a:solidFill>
                    <a:schemeClr val="tx1"/>
                  </a:solidFill>
                  <a:effectLst/>
                  <a:latin typeface="+mn-lt"/>
                  <a:ea typeface="+mn-ea"/>
                  <a:cs typeface="+mn-cs"/>
                </a:rPr>
                <a:t>"</a:t>
              </a:r>
              <a:endParaRPr lang="en-GB" sz="1400" baseline="0">
                <a:solidFill>
                  <a:srgbClr val="FF0000"/>
                </a:solidFill>
              </a:endParaRPr>
            </a:p>
            <a:p>
              <a:r>
                <a:rPr lang="en-US" sz="1100" b="0" i="0" baseline="0">
                  <a:solidFill>
                    <a:srgbClr val="FF0000"/>
                  </a:solidFill>
                  <a:effectLst/>
                  <a:latin typeface="Cambria Math" panose="02040503050406030204" pitchFamily="18" charset="0"/>
                  <a:ea typeface="+mn-ea"/>
                  <a:cs typeface="+mn-cs"/>
                </a:rPr>
                <a:t>𝑁_(𝑎𝑐𝑡_𝑖𝑛𝑡𝑒𝑟 ) (𝑙,𝑐𝑜𝑚𝑚_𝑡𝑦𝑝𝑒 )=𝑁_𝑎𝑐𝑡∗[𝑁_(𝑃𝑃_𝑖𝑛𝑡𝑒𝑟−1)/█(𝑁_𝑃𝑃@)]</a:t>
              </a:r>
              <a:r>
                <a:rPr lang="en-US" sz="1100" b="0" i="1" baseline="0">
                  <a:solidFill>
                    <a:srgbClr val="FF0000"/>
                  </a:solidFill>
                  <a:effectLst/>
                  <a:latin typeface="+mn-lt"/>
                  <a:ea typeface="+mn-ea"/>
                  <a:cs typeface="+mn-cs"/>
                </a:rPr>
                <a:t>   </a:t>
              </a:r>
              <a:endParaRPr lang="en-GB" sz="1400" baseline="0">
                <a:solidFill>
                  <a:srgbClr val="FF0000"/>
                </a:solidFill>
              </a:endParaRPr>
            </a:p>
          </xdr:txBody>
        </xdr:sp>
      </mc:Fallback>
    </mc:AlternateContent>
    <xdr:clientData/>
  </xdr:oneCellAnchor>
  <xdr:oneCellAnchor>
    <xdr:from>
      <xdr:col>1</xdr:col>
      <xdr:colOff>18143</xdr:colOff>
      <xdr:row>159</xdr:row>
      <xdr:rowOff>33563</xdr:rowOff>
    </xdr:from>
    <xdr:ext cx="17848035" cy="1249125"/>
    <mc:AlternateContent xmlns:mc="http://schemas.openxmlformats.org/markup-compatibility/2006" xmlns:a14="http://schemas.microsoft.com/office/drawing/2010/main">
      <mc:Choice Requires="a14">
        <xdr:sp macro="" textlink="">
          <xdr:nvSpPr>
            <xdr:cNvPr id="226" name="TextBox 90">
              <a:extLst>
                <a:ext uri="{FF2B5EF4-FFF2-40B4-BE49-F238E27FC236}">
                  <a16:creationId xmlns:a16="http://schemas.microsoft.com/office/drawing/2014/main" id="{8BBCD33B-1FD1-4168-A5EC-E9D2A07D9C8A}"/>
                </a:ext>
              </a:extLst>
            </xdr:cNvPr>
            <xdr:cNvSpPr txBox="1"/>
          </xdr:nvSpPr>
          <xdr:spPr>
            <a:xfrm>
              <a:off x="3273208" y="65317085"/>
              <a:ext cx="17848035" cy="12491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400" b="0" i="1">
                        <a:solidFill>
                          <a:schemeClr val="tx1"/>
                        </a:solidFill>
                        <a:latin typeface="Cambria Math" panose="02040503050406030204" pitchFamily="18" charset="0"/>
                      </a:rPr>
                      <m:t>𝑀</m:t>
                    </m:r>
                    <m:r>
                      <a:rPr lang="en-US" sz="1400" b="0" i="1" baseline="-25000">
                        <a:solidFill>
                          <a:schemeClr val="tx1"/>
                        </a:solidFill>
                        <a:latin typeface="Cambria Math" panose="02040503050406030204" pitchFamily="18" charset="0"/>
                      </a:rPr>
                      <m:t>𝑏</m:t>
                    </m:r>
                    <m:r>
                      <a:rPr lang="en-US" sz="1400" b="0" i="1" baseline="-25000">
                        <a:solidFill>
                          <a:schemeClr val="tx1"/>
                        </a:solidFill>
                        <a:latin typeface="Cambria Math" panose="02040503050406030204" pitchFamily="18" charset="0"/>
                      </a:rPr>
                      <m:t>_</m:t>
                    </m:r>
                    <m:r>
                      <a:rPr lang="en-US" sz="1400" b="0" i="1" baseline="-25000">
                        <a:solidFill>
                          <a:schemeClr val="tx1"/>
                        </a:solidFill>
                        <a:latin typeface="Cambria Math" panose="02040503050406030204" pitchFamily="18" charset="0"/>
                      </a:rPr>
                      <m:t>𝑇𝑃</m:t>
                    </m:r>
                    <m:r>
                      <a:rPr lang="en-US" sz="1400" b="0" i="1" baseline="-25000">
                        <a:solidFill>
                          <a:schemeClr val="tx1"/>
                        </a:solidFill>
                        <a:latin typeface="Cambria Math" panose="02040503050406030204" pitchFamily="18" charset="0"/>
                      </a:rPr>
                      <m:t>_</m:t>
                    </m:r>
                    <m:r>
                      <a:rPr lang="en-US" sz="1400" b="0" i="1" baseline="-25000">
                        <a:solidFill>
                          <a:schemeClr val="tx1"/>
                        </a:solidFill>
                        <a:latin typeface="Cambria Math" panose="02040503050406030204" pitchFamily="18" charset="0"/>
                      </a:rPr>
                      <m:t>𝑖𝑛𝑡𝑟𝑎</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e>
                    </m:d>
                    <m:r>
                      <a:rPr lang="en-US" sz="1400" b="0" i="1" baseline="0">
                        <a:solidFill>
                          <a:schemeClr val="tx1"/>
                        </a:solidFill>
                        <a:latin typeface="Cambria Math" panose="02040503050406030204" pitchFamily="18" charset="0"/>
                      </a:rPr>
                      <m:t>= </m:t>
                    </m:r>
                    <m:r>
                      <a:rPr lang="en-GB" sz="1400" i="1">
                        <a:solidFill>
                          <a:schemeClr val="tx1"/>
                        </a:solidFill>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𝑖𝑛𝑡𝑟𝑎</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𝑜</m:t>
                            </m:r>
                          </m:e>
                          <m:sub>
                            <m:r>
                              <a:rPr lang="en-US" sz="1100" b="0" i="1">
                                <a:solidFill>
                                  <a:schemeClr val="tx1"/>
                                </a:solidFill>
                                <a:effectLst/>
                                <a:latin typeface="Cambria Math" panose="02040503050406030204" pitchFamily="18" charset="0"/>
                                <a:ea typeface="+mn-ea"/>
                                <a:cs typeface="+mn-cs"/>
                              </a:rPr>
                              <m:t>𝑖𝑛𝑡𝑟𝑎</m:t>
                            </m:r>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𝑇</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en-US" sz="1100" b="0" i="1">
                                <a:solidFill>
                                  <a:schemeClr val="tx1"/>
                                </a:solidFill>
                                <a:effectLst/>
                                <a:latin typeface="Cambria Math" panose="02040503050406030204" pitchFamily="18" charset="0"/>
                                <a:ea typeface="+mn-ea"/>
                                <a:cs typeface="+mn-cs"/>
                              </a:rPr>
                              <m:t>𝑖𝑛𝑡𝑟𝑎</m:t>
                            </m:r>
                          </m:sub>
                        </m:sSub>
                      </m:sub>
                    </m:sSub>
                    <m:r>
                      <a:rPr lang="en-GB" sz="1100" i="1" baseline="0">
                        <a:solidFill>
                          <a:schemeClr val="tx1"/>
                        </a:solidFill>
                        <a:effectLst/>
                        <a:latin typeface="Cambria Math" panose="02040503050406030204" pitchFamily="18" charset="0"/>
                        <a:ea typeface="+mn-ea"/>
                        <a:cs typeface="+mn-cs"/>
                      </a:rPr>
                      <m:t> + </m:t>
                    </m:r>
                    <m:sSub>
                      <m:sSubPr>
                        <m:ctrlPr>
                          <a:rPr lang="en-GB" sz="1100" i="1" baseline="0">
                            <a:solidFill>
                              <a:schemeClr val="tx1"/>
                            </a:solidFill>
                            <a:effectLst/>
                            <a:latin typeface="Cambria Math" panose="02040503050406030204" pitchFamily="18" charset="0"/>
                            <a:ea typeface="+mn-ea"/>
                            <a:cs typeface="+mn-cs"/>
                          </a:rPr>
                        </m:ctrlPr>
                      </m:sSubPr>
                      <m:e>
                        <m:r>
                          <a:rPr lang="en-GB" sz="1100" i="1" baseline="0">
                            <a:solidFill>
                              <a:schemeClr val="tx1"/>
                            </a:solidFill>
                            <a:effectLst/>
                            <a:latin typeface="Cambria Math" panose="02040503050406030204" pitchFamily="18" charset="0"/>
                            <a:ea typeface="+mn-ea"/>
                            <a:cs typeface="+mn-cs"/>
                          </a:rPr>
                          <m:t>𝑁</m:t>
                        </m:r>
                      </m:e>
                      <m:sub>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𝑒𝑟𝑟</m:t>
                            </m:r>
                          </m:e>
                          <m:sub>
                            <m:r>
                              <a:rPr lang="en-US" sz="1100" b="0" i="1" baseline="0">
                                <a:solidFill>
                                  <a:schemeClr val="tx1"/>
                                </a:solidFill>
                                <a:effectLst/>
                                <a:latin typeface="Cambria Math" panose="02040503050406030204" pitchFamily="18" charset="0"/>
                                <a:ea typeface="+mn-ea"/>
                                <a:cs typeface="+mn-cs"/>
                              </a:rPr>
                              <m:t>𝑖𝑛𝑡𝑟𝑎</m:t>
                            </m:r>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e>
                    </m:d>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𝑒𝑟𝑟</m:t>
                            </m:r>
                          </m:sub>
                        </m:sSub>
                      </m:num>
                      <m:den>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𝑖𝑛𝑡𝑟𝑎</m:t>
                            </m:r>
                          </m:sub>
                        </m:sSub>
                      </m:den>
                    </m:f>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𝑡𝑜𝑝</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𝑜</m:t>
                            </m:r>
                          </m:e>
                          <m:sub>
                            <m:r>
                              <a:rPr lang="en-US" sz="1100" b="0" i="1" baseline="0">
                                <a:solidFill>
                                  <a:schemeClr val="tx1"/>
                                </a:solidFill>
                                <a:effectLst/>
                                <a:latin typeface="Cambria Math" panose="02040503050406030204" pitchFamily="18" charset="0"/>
                                <a:ea typeface="+mn-ea"/>
                                <a:cs typeface="+mn-cs"/>
                              </a:rPr>
                              <m:t>𝑖𝑛𝑡𝑟𝑎</m:t>
                            </m:r>
                          </m:sub>
                        </m:sSub>
                      </m:sub>
                    </m:sSub>
                  </m:oMath>
                </m:oMathPara>
              </a14:m>
              <a:endParaRPr lang="en-GB" sz="1400" baseline="0">
                <a:solidFill>
                  <a:schemeClr val="tx1"/>
                </a:solidFill>
              </a:endParaRPr>
            </a:p>
            <a:p>
              <a:r>
                <a:rPr lang="en-GB" sz="1400" baseline="0">
                  <a:solidFill>
                    <a:schemeClr val="tx1"/>
                  </a:solidFill>
                </a:rPr>
                <a:t>Tensor model parallelism </a:t>
              </a:r>
            </a:p>
            <a:p>
              <a14:m>
                <m:oMath xmlns:m="http://schemas.openxmlformats.org/officeDocument/2006/math">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𝑒𝑟𝑟</m:t>
                          </m:r>
                        </m:e>
                        <m:sub>
                          <m:r>
                            <a:rPr lang="en-US" sz="1100" b="0" i="1" baseline="0">
                              <a:solidFill>
                                <a:schemeClr val="tx1"/>
                              </a:solidFill>
                              <a:effectLst/>
                              <a:latin typeface="Cambria Math" panose="02040503050406030204" pitchFamily="18" charset="0"/>
                              <a:ea typeface="+mn-ea"/>
                              <a:cs typeface="+mn-cs"/>
                            </a:rPr>
                            <m:t>𝑖𝑛𝑡𝑟𝑎</m:t>
                          </m:r>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𝑐𝑜𝑚</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𝑚</m:t>
                          </m:r>
                        </m:e>
                        <m:sub>
                          <m:r>
                            <a:rPr lang="en-US" sz="1100" b="0" i="1" baseline="0">
                              <a:solidFill>
                                <a:schemeClr val="tx1"/>
                              </a:solidFill>
                              <a:effectLst/>
                              <a:latin typeface="Cambria Math" panose="02040503050406030204" pitchFamily="18" charset="0"/>
                              <a:ea typeface="+mn-ea"/>
                              <a:cs typeface="+mn-cs"/>
                            </a:rPr>
                            <m:t>𝑡𝑦𝑝𝑒</m:t>
                          </m:r>
                        </m:sub>
                      </m:sSub>
                    </m:e>
                  </m:d>
                  <m:r>
                    <a:rPr lang="en-US" sz="1100" b="0" i="1" baseline="0">
                      <a:solidFill>
                        <a:schemeClr val="tx1"/>
                      </a:solidFill>
                      <a:effectLst/>
                      <a:latin typeface="Cambria Math" panose="02040503050406030204" pitchFamily="18" charset="0"/>
                      <a:ea typeface="+mn-ea"/>
                      <a:cs typeface="+mn-cs"/>
                    </a:rPr>
                    <m:t>=</m:t>
                  </m:r>
                  <m:r>
                    <m:rPr>
                      <m:nor/>
                    </m:rPr>
                    <a:rPr lang="en-US" sz="1100" b="0" i="1" baseline="0">
                      <a:solidFill>
                        <a:schemeClr val="tx1"/>
                      </a:solidFill>
                      <a:effectLst/>
                      <a:latin typeface="Cambria Math" panose="02040503050406030204" pitchFamily="18" charset="0"/>
                      <a:ea typeface="+mn-ea"/>
                      <a:cs typeface="+mn-cs"/>
                    </a:rPr>
                    <m:t>0</m:t>
                  </m:r>
                  <m:r>
                    <m:rPr>
                      <m:nor/>
                    </m:rPr>
                    <a:rPr lang="en-US" sz="1100" b="0" i="1" baseline="0">
                      <a:solidFill>
                        <a:srgbClr val="FF0000"/>
                      </a:solidFill>
                      <a:effectLst/>
                      <a:latin typeface="+mn-lt"/>
                      <a:ea typeface="+mn-ea"/>
                      <a:cs typeface="+mn-cs"/>
                    </a:rPr>
                    <m:t>   </m:t>
                  </m:r>
                </m:oMath>
              </a14:m>
              <a:r>
                <a:rPr lang="en-US" sz="1100" b="0" i="1" baseline="0">
                  <a:solidFill>
                    <a:schemeClr val="tx1"/>
                  </a:solidFill>
                  <a:effectLst/>
                  <a:latin typeface="+mn-lt"/>
                  <a:ea typeface="+mn-ea"/>
                  <a:cs typeface="+mn-cs"/>
                </a:rPr>
                <a:t>if N_TP_inter != 1</a:t>
              </a:r>
              <a:endParaRPr lang="nl-BE" sz="1400">
                <a:effectLst/>
              </a:endParaRPr>
            </a:p>
            <a:p>
              <a14:m>
                <m:oMath xmlns:m="http://schemas.openxmlformats.org/officeDocument/2006/math">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𝑒𝑟𝑟</m:t>
                          </m:r>
                        </m:e>
                        <m:sub>
                          <m:r>
                            <a:rPr lang="en-US" sz="1100" b="0" i="1" baseline="0">
                              <a:solidFill>
                                <a:schemeClr val="tx1"/>
                              </a:solidFill>
                              <a:effectLst/>
                              <a:latin typeface="Cambria Math" panose="02040503050406030204" pitchFamily="18" charset="0"/>
                              <a:ea typeface="+mn-ea"/>
                              <a:cs typeface="+mn-cs"/>
                            </a:rPr>
                            <m:t>𝑖𝑛𝑡𝑟𝑎</m:t>
                          </m:r>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𝑐𝑜𝑚</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𝑚</m:t>
                          </m:r>
                        </m:e>
                        <m:sub>
                          <m:r>
                            <a:rPr lang="en-US" sz="1100" b="0" i="1" baseline="0">
                              <a:solidFill>
                                <a:schemeClr val="tx1"/>
                              </a:solidFill>
                              <a:effectLst/>
                              <a:latin typeface="Cambria Math" panose="02040503050406030204" pitchFamily="18" charset="0"/>
                              <a:ea typeface="+mn-ea"/>
                              <a:cs typeface="+mn-cs"/>
                            </a:rPr>
                            <m:t>𝑡𝑦𝑝𝑒</m:t>
                          </m:r>
                        </m:sub>
                      </m:sSub>
                    </m:e>
                  </m:d>
                  <m:r>
                    <a:rPr lang="en-US" sz="1100" b="0" i="1" baseline="0">
                      <a:solidFill>
                        <a:schemeClr val="tx1"/>
                      </a:solidFill>
                      <a:effectLst/>
                      <a:latin typeface="Cambria Math" panose="02040503050406030204" pitchFamily="18" charset="0"/>
                      <a:ea typeface="+mn-ea"/>
                      <a:cs typeface="+mn-cs"/>
                    </a:rPr>
                    <m:t>= </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𝑒𝑟𝑟</m:t>
                      </m:r>
                    </m:sub>
                  </m:sSub>
                  <m:r>
                    <m:rPr>
                      <m:nor/>
                    </m:rPr>
                    <a:rPr lang="en-US" sz="1100" b="0" i="1" baseline="0">
                      <a:solidFill>
                        <a:schemeClr val="tx1"/>
                      </a:solidFill>
                      <a:effectLst/>
                      <a:latin typeface="+mn-lt"/>
                      <a:ea typeface="+mn-ea"/>
                      <a:cs typeface="+mn-cs"/>
                    </a:rPr>
                    <m:t>   </m:t>
                  </m:r>
                </m:oMath>
              </a14:m>
              <a:r>
                <a:rPr lang="en-US" sz="1100" b="0" i="1" baseline="0">
                  <a:solidFill>
                    <a:schemeClr val="tx1"/>
                  </a:solidFill>
                  <a:effectLst/>
                  <a:latin typeface="+mn-lt"/>
                  <a:ea typeface="+mn-ea"/>
                  <a:cs typeface="+mn-cs"/>
                </a:rPr>
                <a:t>if N_TP_inter =1</a:t>
              </a:r>
              <a:endParaRPr lang="en-GB" sz="1400" baseline="0">
                <a:solidFill>
                  <a:schemeClr val="tx1"/>
                </a:solidFill>
              </a:endParaRPr>
            </a:p>
            <a:p>
              <a:endParaRPr lang="en-GB" sz="1400" baseline="0">
                <a:solidFill>
                  <a:schemeClr val="tx1"/>
                </a:solidFill>
              </a:endParaRPr>
            </a:p>
          </xdr:txBody>
        </xdr:sp>
      </mc:Choice>
      <mc:Fallback xmlns="">
        <xdr:sp macro="" textlink="">
          <xdr:nvSpPr>
            <xdr:cNvPr id="42" name="TextBox 90">
              <a:extLst>
                <a:ext uri="{FF2B5EF4-FFF2-40B4-BE49-F238E27FC236}">
                  <a16:creationId xmlns:a16="http://schemas.microsoft.com/office/drawing/2014/main" id="{8BBCD33B-1FD1-4168-A5EC-E9D2A07D9C8A}"/>
                </a:ext>
              </a:extLst>
            </xdr:cNvPr>
            <xdr:cNvSpPr txBox="1"/>
          </xdr:nvSpPr>
          <xdr:spPr>
            <a:xfrm>
              <a:off x="3425976" y="61617980"/>
              <a:ext cx="17848035" cy="12491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𝑏_𝑇𝑃_𝑖𝑛𝑡𝑟𝑎</a:t>
              </a:r>
              <a:r>
                <a:rPr lang="en-US" sz="1400" b="0" i="0" baseline="0">
                  <a:solidFill>
                    <a:schemeClr val="tx1"/>
                  </a:solidFill>
                  <a:latin typeface="Cambria Math" panose="02040503050406030204" pitchFamily="18" charset="0"/>
                </a:rPr>
                <a:t>(𝑙)= </a:t>
              </a:r>
              <a:r>
                <a:rPr lang="en-GB" sz="1400" i="0">
                  <a:solidFill>
                    <a:schemeClr val="tx1"/>
                  </a:solidFill>
                  <a:latin typeface="Cambria Math" panose="02040503050406030204" pitchFamily="18" charset="0"/>
                </a:rPr>
                <a:t> </a:t>
              </a:r>
              <a:r>
                <a:rPr lang="en-US" sz="1100" b="0" i="0">
                  <a:solidFill>
                    <a:schemeClr val="tx1"/>
                  </a:solidFill>
                  <a:effectLst/>
                  <a:latin typeface="+mn-lt"/>
                  <a:ea typeface="+mn-ea"/>
                  <a:cs typeface="+mn-cs"/>
                </a:rPr>
                <a:t>𝐶_𝑖𝑛𝑡𝑟𝑎∗𝑁_(𝑡𝑜𝑝𝑜_𝑖𝑛𝑡𝑟𝑎 )∗𝑁_(𝑇𝑃_𝑖𝑛𝑡𝑟𝑎 )</a:t>
              </a:r>
              <a:r>
                <a:rPr lang="en-GB" sz="1100" b="0" i="0" baseline="0">
                  <a:solidFill>
                    <a:schemeClr val="tx1"/>
                  </a:solidFill>
                  <a:effectLst/>
                  <a:latin typeface="+mn-lt"/>
                  <a:ea typeface="+mn-ea"/>
                  <a:cs typeface="+mn-cs"/>
                </a:rPr>
                <a:t> </a:t>
              </a:r>
              <a:r>
                <a:rPr lang="en-GB" sz="1100" i="0" baseline="0">
                  <a:solidFill>
                    <a:schemeClr val="tx1"/>
                  </a:solidFill>
                  <a:effectLst/>
                  <a:latin typeface="+mn-lt"/>
                  <a:ea typeface="+mn-ea"/>
                  <a:cs typeface="+mn-cs"/>
                </a:rPr>
                <a:t> + 𝑁_(</a:t>
              </a:r>
              <a:r>
                <a:rPr lang="en-US" sz="1100" b="0" i="0" baseline="0">
                  <a:solidFill>
                    <a:schemeClr val="tx1"/>
                  </a:solidFill>
                  <a:effectLst/>
                  <a:latin typeface="+mn-lt"/>
                  <a:ea typeface="+mn-ea"/>
                  <a:cs typeface="+mn-cs"/>
                </a:rPr>
                <a:t>〖𝑒𝑟𝑟〗_𝑖𝑛𝑡𝑟𝑎 </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 (𝑙)∗  𝑆_𝑒𝑟𝑟</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𝐵𝑊_𝑖𝑛𝑡𝑟𝑎 </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∗𝑁_(𝑡𝑜𝑝𝑜_𝑖𝑛𝑡𝑟𝑎 )</a:t>
              </a:r>
              <a:endParaRPr lang="en-GB" sz="1400" baseline="0">
                <a:solidFill>
                  <a:schemeClr val="tx1"/>
                </a:solidFill>
              </a:endParaRPr>
            </a:p>
            <a:p>
              <a:r>
                <a:rPr lang="en-GB" sz="1400" baseline="0">
                  <a:solidFill>
                    <a:schemeClr val="tx1"/>
                  </a:solidFill>
                </a:rPr>
                <a:t>Tensor model parallelism </a:t>
              </a:r>
            </a:p>
            <a:p>
              <a:r>
                <a:rPr lang="en-US" sz="1100" b="0" i="0" baseline="0">
                  <a:solidFill>
                    <a:schemeClr val="tx1"/>
                  </a:solidFill>
                  <a:effectLst/>
                  <a:latin typeface="Cambria Math" panose="02040503050406030204" pitchFamily="18" charset="0"/>
                  <a:ea typeface="+mn-ea"/>
                  <a:cs typeface="+mn-cs"/>
                </a:rPr>
                <a:t>𝑁_(〖𝑒𝑟𝑟〗_𝑖𝑛𝑡𝑟𝑎 ) (𝑙,𝑐𝑜𝑚𝑚_𝑡𝑦𝑝𝑒 )="0</a:t>
              </a:r>
              <a:r>
                <a:rPr lang="en-US" sz="1100" b="0" i="0" baseline="0">
                  <a:solidFill>
                    <a:srgbClr val="FF0000"/>
                  </a:solidFill>
                  <a:effectLst/>
                  <a:latin typeface="Cambria Math" panose="02040503050406030204" pitchFamily="18" charset="0"/>
                  <a:ea typeface="+mn-ea"/>
                  <a:cs typeface="+mn-cs"/>
                </a:rPr>
                <a:t>   </a:t>
              </a:r>
              <a:r>
                <a:rPr lang="nl-BE" sz="1100" b="0" i="0" baseline="0">
                  <a:solidFill>
                    <a:srgbClr val="FF0000"/>
                  </a:solidFill>
                  <a:effectLst/>
                  <a:latin typeface="+mn-lt"/>
                  <a:ea typeface="+mn-ea"/>
                  <a:cs typeface="+mn-cs"/>
                </a:rPr>
                <a:t>"</a:t>
              </a:r>
              <a:r>
                <a:rPr lang="en-US" sz="1100" b="0" i="1" baseline="0">
                  <a:solidFill>
                    <a:schemeClr val="tx1"/>
                  </a:solidFill>
                  <a:effectLst/>
                  <a:latin typeface="+mn-lt"/>
                  <a:ea typeface="+mn-ea"/>
                  <a:cs typeface="+mn-cs"/>
                </a:rPr>
                <a:t>if N_TP_inter != 1</a:t>
              </a:r>
              <a:endParaRPr lang="nl-BE" sz="1400">
                <a:effectLst/>
              </a:endParaRPr>
            </a:p>
            <a:p>
              <a:r>
                <a:rPr lang="en-US" sz="1100" b="0" i="0" baseline="0">
                  <a:solidFill>
                    <a:schemeClr val="tx1"/>
                  </a:solidFill>
                  <a:effectLst/>
                  <a:latin typeface="Cambria Math" panose="02040503050406030204" pitchFamily="18" charset="0"/>
                  <a:ea typeface="+mn-ea"/>
                  <a:cs typeface="+mn-cs"/>
                </a:rPr>
                <a:t>𝑁_(〖𝑒𝑟𝑟〗_𝑖𝑛𝑡𝑟𝑎 ) (𝑙,𝑐𝑜𝑚𝑚_𝑡𝑦𝑝𝑒 )= 𝑁_𝑒𝑟𝑟</a:t>
              </a:r>
              <a:r>
                <a:rPr lang="en-US" sz="1100" b="0" i="0" baseline="0">
                  <a:solidFill>
                    <a:schemeClr val="tx1"/>
                  </a:solidFill>
                  <a:effectLst/>
                  <a:latin typeface="+mn-lt"/>
                  <a:ea typeface="+mn-ea"/>
                  <a:cs typeface="+mn-cs"/>
                </a:rPr>
                <a:t> </a:t>
              </a:r>
              <a:r>
                <a:rPr lang="en-US" sz="1100" b="0" i="0" baseline="0">
                  <a:solidFill>
                    <a:schemeClr val="tx1"/>
                  </a:solidFill>
                  <a:effectLst/>
                  <a:latin typeface="Cambria Math" panose="02040503050406030204" pitchFamily="18" charset="0"/>
                  <a:ea typeface="+mn-ea"/>
                  <a:cs typeface="+mn-cs"/>
                </a:rPr>
                <a:t>"   </a:t>
              </a:r>
              <a:r>
                <a:rPr lang="nl-BE" sz="1100" b="0" i="0" baseline="0">
                  <a:solidFill>
                    <a:schemeClr val="tx1"/>
                  </a:solidFill>
                  <a:effectLst/>
                  <a:latin typeface="+mn-lt"/>
                  <a:ea typeface="+mn-ea"/>
                  <a:cs typeface="+mn-cs"/>
                </a:rPr>
                <a:t>"</a:t>
              </a:r>
              <a:r>
                <a:rPr lang="en-US" sz="1100" b="0" i="1" baseline="0">
                  <a:solidFill>
                    <a:schemeClr val="tx1"/>
                  </a:solidFill>
                  <a:effectLst/>
                  <a:latin typeface="+mn-lt"/>
                  <a:ea typeface="+mn-ea"/>
                  <a:cs typeface="+mn-cs"/>
                </a:rPr>
                <a:t>if N_TP_inter =1</a:t>
              </a:r>
              <a:endParaRPr lang="en-GB" sz="1400" baseline="0">
                <a:solidFill>
                  <a:schemeClr val="tx1"/>
                </a:solidFill>
              </a:endParaRPr>
            </a:p>
            <a:p>
              <a:endParaRPr lang="en-GB" sz="1400" baseline="0">
                <a:solidFill>
                  <a:schemeClr val="tx1"/>
                </a:solidFill>
              </a:endParaRPr>
            </a:p>
          </xdr:txBody>
        </xdr:sp>
      </mc:Fallback>
    </mc:AlternateContent>
    <xdr:clientData/>
  </xdr:oneCellAnchor>
  <xdr:oneCellAnchor>
    <xdr:from>
      <xdr:col>1</xdr:col>
      <xdr:colOff>18143</xdr:colOff>
      <xdr:row>169</xdr:row>
      <xdr:rowOff>33562</xdr:rowOff>
    </xdr:from>
    <xdr:ext cx="17848035" cy="929521"/>
    <mc:AlternateContent xmlns:mc="http://schemas.openxmlformats.org/markup-compatibility/2006" xmlns:a14="http://schemas.microsoft.com/office/drawing/2010/main">
      <mc:Choice Requires="a14">
        <xdr:sp macro="" textlink="">
          <xdr:nvSpPr>
            <xdr:cNvPr id="56" name="TextBox 90">
              <a:extLst>
                <a:ext uri="{FF2B5EF4-FFF2-40B4-BE49-F238E27FC236}">
                  <a16:creationId xmlns:a16="http://schemas.microsoft.com/office/drawing/2014/main" id="{372216F7-9054-47E7-BBA1-4E6723190E50}"/>
                </a:ext>
              </a:extLst>
            </xdr:cNvPr>
            <xdr:cNvSpPr txBox="1"/>
          </xdr:nvSpPr>
          <xdr:spPr>
            <a:xfrm>
              <a:off x="3273208" y="69789692"/>
              <a:ext cx="17848035" cy="92952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r>
                    <a:rPr lang="en-US" sz="1400" b="0" i="1">
                      <a:solidFill>
                        <a:schemeClr val="tx1"/>
                      </a:solidFill>
                      <a:latin typeface="Cambria Math" panose="02040503050406030204" pitchFamily="18" charset="0"/>
                    </a:rPr>
                    <m:t>𝑀</m:t>
                  </m:r>
                  <m:r>
                    <a:rPr lang="en-US" sz="1400" b="0" i="1" baseline="-25000">
                      <a:solidFill>
                        <a:schemeClr val="tx1"/>
                      </a:solidFill>
                      <a:latin typeface="Cambria Math" panose="02040503050406030204" pitchFamily="18" charset="0"/>
                    </a:rPr>
                    <m:t>𝑏</m:t>
                  </m:r>
                  <m:r>
                    <a:rPr lang="en-US" sz="1400" b="0" i="1" baseline="-25000">
                      <a:solidFill>
                        <a:schemeClr val="tx1"/>
                      </a:solidFill>
                      <a:latin typeface="Cambria Math" panose="02040503050406030204" pitchFamily="18" charset="0"/>
                    </a:rPr>
                    <m:t>_</m:t>
                  </m:r>
                  <m:r>
                    <a:rPr lang="en-US" sz="1400" b="0" i="1" baseline="-25000">
                      <a:solidFill>
                        <a:schemeClr val="tx1"/>
                      </a:solidFill>
                      <a:latin typeface="Cambria Math" panose="02040503050406030204" pitchFamily="18" charset="0"/>
                    </a:rPr>
                    <m:t>𝑇𝑃</m:t>
                  </m:r>
                  <m:r>
                    <a:rPr lang="en-US" sz="1400" b="0" i="1" baseline="-25000">
                      <a:solidFill>
                        <a:schemeClr val="tx1"/>
                      </a:solidFill>
                      <a:latin typeface="Cambria Math" panose="02040503050406030204" pitchFamily="18" charset="0"/>
                    </a:rPr>
                    <m:t>_</m:t>
                  </m:r>
                  <m:r>
                    <a:rPr lang="en-US" sz="1400" b="0" i="1" baseline="-25000">
                      <a:solidFill>
                        <a:schemeClr val="tx1"/>
                      </a:solidFill>
                      <a:latin typeface="Cambria Math" panose="02040503050406030204" pitchFamily="18" charset="0"/>
                    </a:rPr>
                    <m:t>𝑖𝑛𝑡𝑒𝑟</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e>
                  </m:d>
                  <m:r>
                    <a:rPr lang="en-US" sz="1400" b="0" i="1" baseline="0">
                      <a:solidFill>
                        <a:schemeClr val="tx1"/>
                      </a:solidFill>
                      <a:latin typeface="Cambria Math" panose="02040503050406030204" pitchFamily="18" charset="0"/>
                    </a:rPr>
                    <m:t>= </m:t>
                  </m:r>
                  <m:r>
                    <a:rPr lang="en-GB" sz="1400" i="1">
                      <a:solidFill>
                        <a:schemeClr val="tx1"/>
                      </a:solidFill>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𝑖𝑛𝑡𝑒𝑟</m:t>
                      </m:r>
                    </m:sub>
                  </m:sSub>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𝑡𝑜𝑝</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𝑜</m:t>
                          </m:r>
                        </m:e>
                        <m:sub>
                          <m:r>
                            <a:rPr lang="en-US" sz="1100" b="0" i="1" baseline="0">
                              <a:solidFill>
                                <a:schemeClr val="tx1"/>
                              </a:solidFill>
                              <a:effectLst/>
                              <a:latin typeface="Cambria Math" panose="02040503050406030204" pitchFamily="18" charset="0"/>
                              <a:ea typeface="+mn-ea"/>
                              <a:cs typeface="+mn-cs"/>
                            </a:rPr>
                            <m:t>𝑖𝑛𝑡𝑒𝑟</m:t>
                          </m:r>
                        </m:sub>
                      </m:sSub>
                      <m:r>
                        <a:rPr lang="en-US" sz="1100" b="0" i="1" baseline="0">
                          <a:solidFill>
                            <a:schemeClr val="tx1"/>
                          </a:solidFill>
                          <a:effectLst/>
                          <a:latin typeface="Cambria Math" panose="02040503050406030204" pitchFamily="18" charset="0"/>
                          <a:ea typeface="+mn-ea"/>
                          <a:cs typeface="+mn-cs"/>
                        </a:rPr>
                        <m:t> </m:t>
                      </m:r>
                    </m:sub>
                  </m:sSub>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𝑇</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𝑃</m:t>
                          </m:r>
                        </m:e>
                        <m:sub>
                          <m:r>
                            <a:rPr lang="en-US" sz="1100" b="0" i="1" baseline="0">
                              <a:solidFill>
                                <a:schemeClr val="tx1"/>
                              </a:solidFill>
                              <a:effectLst/>
                              <a:latin typeface="Cambria Math" panose="02040503050406030204" pitchFamily="18" charset="0"/>
                              <a:ea typeface="+mn-ea"/>
                              <a:cs typeface="+mn-cs"/>
                            </a:rPr>
                            <m:t>𝑖𝑛𝑡𝑒𝑟</m:t>
                          </m:r>
                        </m:sub>
                      </m:sSub>
                    </m:sub>
                  </m:sSub>
                  <m:r>
                    <a:rPr lang="en-GB" sz="1100" i="1" baseline="0">
                      <a:solidFill>
                        <a:schemeClr val="tx1"/>
                      </a:solidFill>
                      <a:effectLst/>
                      <a:latin typeface="Cambria Math" panose="02040503050406030204" pitchFamily="18" charset="0"/>
                      <a:ea typeface="+mn-ea"/>
                      <a:cs typeface="+mn-cs"/>
                    </a:rPr>
                    <m:t>   + </m:t>
                  </m:r>
                  <m:sSub>
                    <m:sSubPr>
                      <m:ctrlPr>
                        <a:rPr lang="en-GB" sz="1100" i="1" baseline="0">
                          <a:solidFill>
                            <a:schemeClr val="tx1"/>
                          </a:solidFill>
                          <a:effectLst/>
                          <a:latin typeface="Cambria Math" panose="02040503050406030204" pitchFamily="18" charset="0"/>
                          <a:ea typeface="+mn-ea"/>
                          <a:cs typeface="+mn-cs"/>
                        </a:rPr>
                      </m:ctrlPr>
                    </m:sSubPr>
                    <m:e>
                      <m:r>
                        <a:rPr lang="en-GB" sz="1100" i="1" baseline="0">
                          <a:solidFill>
                            <a:schemeClr val="tx1"/>
                          </a:solidFill>
                          <a:effectLst/>
                          <a:latin typeface="Cambria Math" panose="02040503050406030204" pitchFamily="18" charset="0"/>
                          <a:ea typeface="+mn-ea"/>
                          <a:cs typeface="+mn-cs"/>
                        </a:rPr>
                        <m:t>𝑁</m:t>
                      </m:r>
                    </m:e>
                    <m:sub>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𝑒𝑟𝑟</m:t>
                          </m:r>
                        </m:e>
                        <m:sub>
                          <m:r>
                            <a:rPr lang="en-US" sz="1100" b="0" i="1" baseline="0">
                              <a:solidFill>
                                <a:schemeClr val="tx1"/>
                              </a:solidFill>
                              <a:effectLst/>
                              <a:latin typeface="Cambria Math" panose="02040503050406030204" pitchFamily="18" charset="0"/>
                              <a:ea typeface="+mn-ea"/>
                              <a:cs typeface="+mn-cs"/>
                            </a:rPr>
                            <m:t>𝑖𝑛𝑡𝑒𝑟</m:t>
                          </m:r>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e>
                  </m:d>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𝑒𝑟𝑟</m:t>
                          </m:r>
                        </m:sub>
                      </m:sSub>
                    </m:num>
                    <m:den>
                      <m:r>
                        <a:rPr lang="en-US" sz="1100" b="0" i="1" baseline="0">
                          <a:solidFill>
                            <a:schemeClr val="tx1"/>
                          </a:solidFill>
                          <a:effectLst/>
                          <a:latin typeface="Cambria Math" panose="02040503050406030204" pitchFamily="18" charset="0"/>
                          <a:ea typeface="+mn-ea"/>
                          <a:cs typeface="+mn-cs"/>
                        </a:rPr>
                        <m:t> </m:t>
                      </m:r>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𝑖𝑛𝑡𝑒𝑟</m:t>
                          </m:r>
                        </m:sub>
                      </m:sSub>
                    </m:den>
                  </m:f>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𝑡𝑜𝑝</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𝑜</m:t>
                          </m:r>
                        </m:e>
                        <m:sub>
                          <m:r>
                            <a:rPr lang="en-US" sz="1100" b="0" i="1" baseline="0">
                              <a:solidFill>
                                <a:schemeClr val="tx1"/>
                              </a:solidFill>
                              <a:effectLst/>
                              <a:latin typeface="Cambria Math" panose="02040503050406030204" pitchFamily="18" charset="0"/>
                              <a:ea typeface="+mn-ea"/>
                              <a:cs typeface="+mn-cs"/>
                            </a:rPr>
                            <m:t>𝑖𝑛𝑡𝑒𝑟</m:t>
                          </m:r>
                        </m:sub>
                      </m:sSub>
                    </m:sub>
                  </m:sSub>
                </m:oMath>
              </a14:m>
              <a:r>
                <a:rPr lang="en-GB" sz="1400" baseline="0">
                  <a:solidFill>
                    <a:schemeClr val="tx1"/>
                  </a:solidFill>
                </a:rPr>
                <a:t> ,</a:t>
              </a:r>
            </a:p>
            <a:p>
              <a:pPr eaLnBrk="1" fontAlgn="auto" latinLnBrk="0" hangingPunct="1"/>
              <a14:m>
                <m:oMath xmlns:m="http://schemas.openxmlformats.org/officeDocument/2006/math">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𝑒𝑟𝑟</m:t>
                          </m:r>
                        </m:e>
                        <m:sub>
                          <m:r>
                            <a:rPr lang="en-US" sz="1100" b="0" i="1" baseline="0">
                              <a:solidFill>
                                <a:schemeClr val="tx1"/>
                              </a:solidFill>
                              <a:effectLst/>
                              <a:latin typeface="Cambria Math" panose="02040503050406030204" pitchFamily="18" charset="0"/>
                              <a:ea typeface="+mn-ea"/>
                              <a:cs typeface="+mn-cs"/>
                            </a:rPr>
                            <m:t>𝑖𝑛𝑡𝑒𝑟</m:t>
                          </m:r>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𝑐𝑜𝑚</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𝑚</m:t>
                          </m:r>
                        </m:e>
                        <m:sub>
                          <m:r>
                            <a:rPr lang="en-US" sz="1100" b="0" i="1" baseline="0">
                              <a:solidFill>
                                <a:schemeClr val="tx1"/>
                              </a:solidFill>
                              <a:effectLst/>
                              <a:latin typeface="Cambria Math" panose="02040503050406030204" pitchFamily="18" charset="0"/>
                              <a:ea typeface="+mn-ea"/>
                              <a:cs typeface="+mn-cs"/>
                            </a:rPr>
                            <m:t>𝑡𝑦𝑝𝑒</m:t>
                          </m:r>
                        </m:sub>
                      </m:sSub>
                    </m:e>
                  </m:d>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𝑒𝑟𝑟</m:t>
                      </m:r>
                    </m:sub>
                  </m:sSub>
                  <m:r>
                    <m:rPr>
                      <m:nor/>
                    </m:rPr>
                    <a:rPr lang="en-US" sz="1100" b="0" i="1" baseline="0">
                      <a:solidFill>
                        <a:schemeClr val="tx1"/>
                      </a:solidFill>
                      <a:effectLst/>
                      <a:latin typeface="+mn-lt"/>
                      <a:ea typeface="+mn-ea"/>
                      <a:cs typeface="+mn-cs"/>
                    </a:rPr>
                    <m:t>   </m:t>
                  </m:r>
                </m:oMath>
              </a14:m>
              <a:r>
                <a:rPr lang="en-GB" sz="1100" baseline="0">
                  <a:solidFill>
                    <a:schemeClr val="tx1"/>
                  </a:solidFill>
                  <a:effectLst/>
                  <a:latin typeface="+mn-lt"/>
                  <a:ea typeface="+mn-ea"/>
                  <a:cs typeface="+mn-cs"/>
                </a:rPr>
                <a:t> </a:t>
              </a:r>
              <a:r>
                <a:rPr lang="en-US" sz="1100" b="0" i="1" baseline="0">
                  <a:solidFill>
                    <a:schemeClr val="tx1"/>
                  </a:solidFill>
                  <a:effectLst/>
                  <a:latin typeface="+mn-lt"/>
                  <a:ea typeface="+mn-ea"/>
                  <a:cs typeface="+mn-cs"/>
                </a:rPr>
                <a:t>if N_TP_inter != 1</a:t>
              </a:r>
              <a:endParaRPr lang="nl-BE" sz="1400">
                <a:effectLst/>
              </a:endParaRPr>
            </a:p>
            <a:p>
              <a:pPr eaLnBrk="1" fontAlgn="auto" latinLnBrk="0" hangingPunct="1"/>
              <a14:m>
                <m:oMath xmlns:m="http://schemas.openxmlformats.org/officeDocument/2006/math">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𝑒𝑟𝑟</m:t>
                          </m:r>
                        </m:e>
                        <m:sub>
                          <m:r>
                            <a:rPr lang="en-US" sz="1100" b="0" i="1" baseline="0">
                              <a:solidFill>
                                <a:schemeClr val="tx1"/>
                              </a:solidFill>
                              <a:effectLst/>
                              <a:latin typeface="Cambria Math" panose="02040503050406030204" pitchFamily="18" charset="0"/>
                              <a:ea typeface="+mn-ea"/>
                              <a:cs typeface="+mn-cs"/>
                            </a:rPr>
                            <m:t>𝑖𝑛𝑡𝑒𝑟</m:t>
                          </m:r>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𝑐𝑜𝑚</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𝑚</m:t>
                          </m:r>
                        </m:e>
                        <m:sub>
                          <m:r>
                            <a:rPr lang="en-US" sz="1100" b="0" i="1" baseline="0">
                              <a:solidFill>
                                <a:schemeClr val="tx1"/>
                              </a:solidFill>
                              <a:effectLst/>
                              <a:latin typeface="Cambria Math" panose="02040503050406030204" pitchFamily="18" charset="0"/>
                              <a:ea typeface="+mn-ea"/>
                              <a:cs typeface="+mn-cs"/>
                            </a:rPr>
                            <m:t>𝑡𝑦𝑝𝑒</m:t>
                          </m:r>
                        </m:sub>
                      </m:sSub>
                    </m:e>
                  </m:d>
                  <m:r>
                    <a:rPr lang="en-US" sz="1100" b="0" i="1" baseline="0">
                      <a:solidFill>
                        <a:schemeClr val="tx1"/>
                      </a:solidFill>
                      <a:effectLst/>
                      <a:latin typeface="Cambria Math" panose="02040503050406030204" pitchFamily="18" charset="0"/>
                      <a:ea typeface="+mn-ea"/>
                      <a:cs typeface="+mn-cs"/>
                    </a:rPr>
                    <m:t>=0 </m:t>
                  </m:r>
                </m:oMath>
              </a14:m>
              <a:r>
                <a:rPr lang="en-US" sz="1100" b="0" i="1" baseline="0">
                  <a:solidFill>
                    <a:schemeClr val="tx1"/>
                  </a:solidFill>
                  <a:effectLst/>
                  <a:latin typeface="+mn-lt"/>
                  <a:ea typeface="+mn-ea"/>
                  <a:cs typeface="+mn-cs"/>
                </a:rPr>
                <a:t>if N_TP_inter = 1gra</a:t>
              </a:r>
              <a:endParaRPr lang="nl-BE" sz="1400">
                <a:effectLst/>
              </a:endParaRPr>
            </a:p>
            <a:p>
              <a:endParaRPr lang="en-GB" sz="1400" baseline="0">
                <a:solidFill>
                  <a:schemeClr val="tx1"/>
                </a:solidFill>
              </a:endParaRPr>
            </a:p>
          </xdr:txBody>
        </xdr:sp>
      </mc:Choice>
      <mc:Fallback xmlns="">
        <xdr:sp macro="" textlink="">
          <xdr:nvSpPr>
            <xdr:cNvPr id="56" name="TextBox 90">
              <a:extLst>
                <a:ext uri="{FF2B5EF4-FFF2-40B4-BE49-F238E27FC236}">
                  <a16:creationId xmlns:a16="http://schemas.microsoft.com/office/drawing/2014/main" id="{372216F7-9054-47E7-BBA1-4E6723190E50}"/>
                </a:ext>
              </a:extLst>
            </xdr:cNvPr>
            <xdr:cNvSpPr txBox="1"/>
          </xdr:nvSpPr>
          <xdr:spPr>
            <a:xfrm>
              <a:off x="3273208" y="69789692"/>
              <a:ext cx="17848035" cy="92952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𝑏_𝑇𝑃_𝑖𝑛𝑡𝑒𝑟</a:t>
              </a:r>
              <a:r>
                <a:rPr lang="en-US" sz="1400" b="0" i="0" baseline="0">
                  <a:solidFill>
                    <a:schemeClr val="tx1"/>
                  </a:solidFill>
                  <a:latin typeface="Cambria Math" panose="02040503050406030204" pitchFamily="18" charset="0"/>
                </a:rPr>
                <a:t>(𝑙)= </a:t>
              </a:r>
              <a:r>
                <a:rPr lang="en-GB" sz="1400" i="0">
                  <a:solidFill>
                    <a:schemeClr val="tx1"/>
                  </a:solidFill>
                  <a:latin typeface="Cambria Math" panose="02040503050406030204" pitchFamily="18" charset="0"/>
                </a:rPr>
                <a:t> </a:t>
              </a:r>
              <a:r>
                <a:rPr lang="en-US" sz="1100" b="0" i="0">
                  <a:solidFill>
                    <a:schemeClr val="tx1"/>
                  </a:solidFill>
                  <a:effectLst/>
                  <a:latin typeface="Cambria Math" panose="02040503050406030204" pitchFamily="18" charset="0"/>
                  <a:ea typeface="+mn-ea"/>
                  <a:cs typeface="+mn-cs"/>
                </a:rPr>
                <a:t>𝐶_𝑖𝑛𝑡𝑒𝑟</a:t>
              </a:r>
              <a:r>
                <a:rPr lang="en-US" sz="1100" b="0" i="0" baseline="0">
                  <a:solidFill>
                    <a:schemeClr val="tx1"/>
                  </a:solidFill>
                  <a:effectLst/>
                  <a:latin typeface="Cambria Math" panose="02040503050406030204" pitchFamily="18" charset="0"/>
                  <a:ea typeface="+mn-ea"/>
                  <a:cs typeface="+mn-cs"/>
                </a:rPr>
                <a:t>∗𝑁_(𝑡𝑜𝑝𝑜_𝑖𝑛𝑡𝑒𝑟  )∗𝑁_(𝑇𝑃_𝑖𝑛𝑡𝑒𝑟 )</a:t>
              </a:r>
              <a:r>
                <a:rPr lang="en-GB" sz="1100" b="0" i="0" baseline="0">
                  <a:solidFill>
                    <a:schemeClr val="tx1"/>
                  </a:solidFill>
                  <a:effectLst/>
                  <a:latin typeface="Cambria Math" panose="02040503050406030204" pitchFamily="18" charset="0"/>
                  <a:ea typeface="+mn-ea"/>
                  <a:cs typeface="+mn-cs"/>
                </a:rPr>
                <a:t> </a:t>
              </a:r>
              <a:r>
                <a:rPr lang="en-GB" sz="1100" i="0" baseline="0">
                  <a:solidFill>
                    <a:schemeClr val="tx1"/>
                  </a:solidFill>
                  <a:effectLst/>
                  <a:latin typeface="Cambria Math" panose="02040503050406030204" pitchFamily="18" charset="0"/>
                  <a:ea typeface="+mn-ea"/>
                  <a:cs typeface="+mn-cs"/>
                </a:rPr>
                <a:t>   + 𝑁_(</a:t>
              </a:r>
              <a:r>
                <a:rPr lang="en-US" sz="1100" b="0" i="0" baseline="0">
                  <a:solidFill>
                    <a:schemeClr val="tx1"/>
                  </a:solidFill>
                  <a:effectLst/>
                  <a:latin typeface="Cambria Math" panose="02040503050406030204" pitchFamily="18" charset="0"/>
                  <a:ea typeface="+mn-ea"/>
                  <a:cs typeface="+mn-cs"/>
                </a:rPr>
                <a:t>〖𝑒𝑟𝑟〗_𝑖𝑛𝑡𝑒𝑟 </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 (𝑙)∗  𝑆_𝑒𝑟𝑟</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 𝐵𝑊_𝑖𝑛𝑡𝑒𝑟 </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∗𝑁_(𝑡𝑜𝑝𝑜_𝑖𝑛𝑡𝑒𝑟 )</a:t>
              </a:r>
              <a:r>
                <a:rPr lang="en-GB" sz="1400" baseline="0">
                  <a:solidFill>
                    <a:schemeClr val="tx1"/>
                  </a:solidFill>
                </a:rPr>
                <a:t> ,</a:t>
              </a:r>
            </a:p>
            <a:p>
              <a:pPr eaLnBrk="1" fontAlgn="auto" latinLnBrk="0" hangingPunct="1"/>
              <a:r>
                <a:rPr lang="en-US" sz="1100" b="0" i="0" baseline="0">
                  <a:solidFill>
                    <a:schemeClr val="tx1"/>
                  </a:solidFill>
                  <a:effectLst/>
                  <a:latin typeface="Cambria Math" panose="02040503050406030204" pitchFamily="18" charset="0"/>
                  <a:ea typeface="+mn-ea"/>
                  <a:cs typeface="+mn-cs"/>
                </a:rPr>
                <a:t>𝑁_(〖𝑒𝑟𝑟〗_𝑖𝑛𝑡𝑒𝑟 ) (𝑙,𝑐𝑜𝑚𝑚_𝑡𝑦𝑝𝑒 )=𝑁_𝑒𝑟𝑟</a:t>
              </a:r>
              <a:r>
                <a:rPr lang="en-US" sz="1100" b="0" i="0" baseline="0">
                  <a:solidFill>
                    <a:schemeClr val="tx1"/>
                  </a:solidFill>
                  <a:effectLst/>
                  <a:latin typeface="+mn-lt"/>
                  <a:ea typeface="+mn-ea"/>
                  <a:cs typeface="+mn-cs"/>
                </a:rPr>
                <a:t> </a:t>
              </a:r>
              <a:r>
                <a:rPr lang="en-US" sz="1100" b="0" i="0" baseline="0">
                  <a:solidFill>
                    <a:schemeClr val="tx1"/>
                  </a:solidFill>
                  <a:effectLst/>
                  <a:latin typeface="Cambria Math" panose="02040503050406030204" pitchFamily="18" charset="0"/>
                  <a:ea typeface="+mn-ea"/>
                  <a:cs typeface="+mn-cs"/>
                </a:rPr>
                <a:t>"   </a:t>
              </a:r>
              <a:r>
                <a:rPr lang="en-GB" sz="1100" b="0" i="0" baseline="0">
                  <a:solidFill>
                    <a:schemeClr val="tx1"/>
                  </a:solidFill>
                  <a:effectLst/>
                  <a:latin typeface="+mn-lt"/>
                  <a:ea typeface="+mn-ea"/>
                  <a:cs typeface="+mn-cs"/>
                </a:rPr>
                <a:t>"</a:t>
              </a:r>
              <a:r>
                <a:rPr lang="en-GB" sz="1100" baseline="0">
                  <a:solidFill>
                    <a:schemeClr val="tx1"/>
                  </a:solidFill>
                  <a:effectLst/>
                  <a:latin typeface="+mn-lt"/>
                  <a:ea typeface="+mn-ea"/>
                  <a:cs typeface="+mn-cs"/>
                </a:rPr>
                <a:t> </a:t>
              </a:r>
              <a:r>
                <a:rPr lang="en-US" sz="1100" b="0" i="1" baseline="0">
                  <a:solidFill>
                    <a:schemeClr val="tx1"/>
                  </a:solidFill>
                  <a:effectLst/>
                  <a:latin typeface="+mn-lt"/>
                  <a:ea typeface="+mn-ea"/>
                  <a:cs typeface="+mn-cs"/>
                </a:rPr>
                <a:t>if N_TP_inter != 1</a:t>
              </a:r>
              <a:endParaRPr lang="nl-BE" sz="1400">
                <a:effectLst/>
              </a:endParaRPr>
            </a:p>
            <a:p>
              <a:pPr eaLnBrk="1" fontAlgn="auto" latinLnBrk="0" hangingPunct="1"/>
              <a:r>
                <a:rPr lang="en-US" sz="1100" b="0" i="0" baseline="0">
                  <a:solidFill>
                    <a:schemeClr val="tx1"/>
                  </a:solidFill>
                  <a:effectLst/>
                  <a:latin typeface="Cambria Math" panose="02040503050406030204" pitchFamily="18" charset="0"/>
                  <a:ea typeface="+mn-ea"/>
                  <a:cs typeface="+mn-cs"/>
                </a:rPr>
                <a:t>𝑁_(〖𝑒𝑟𝑟〗_𝑖𝑛𝑡𝑒𝑟 ) (𝑙,𝑐𝑜𝑚𝑚_𝑡𝑦𝑝𝑒 )=0 </a:t>
              </a:r>
              <a:r>
                <a:rPr lang="en-US" sz="1100" b="0" i="1" baseline="0">
                  <a:solidFill>
                    <a:schemeClr val="tx1"/>
                  </a:solidFill>
                  <a:effectLst/>
                  <a:latin typeface="+mn-lt"/>
                  <a:ea typeface="+mn-ea"/>
                  <a:cs typeface="+mn-cs"/>
                </a:rPr>
                <a:t>if N_TP_inter = 1gra</a:t>
              </a:r>
              <a:endParaRPr lang="nl-BE" sz="1400">
                <a:effectLst/>
              </a:endParaRPr>
            </a:p>
            <a:p>
              <a:endParaRPr lang="en-GB" sz="1400" baseline="0">
                <a:solidFill>
                  <a:schemeClr val="tx1"/>
                </a:solidFill>
              </a:endParaRPr>
            </a:p>
          </xdr:txBody>
        </xdr:sp>
      </mc:Fallback>
    </mc:AlternateContent>
    <xdr:clientData/>
  </xdr:oneCellAnchor>
  <xdr:oneCellAnchor>
    <xdr:from>
      <xdr:col>1</xdr:col>
      <xdr:colOff>18143</xdr:colOff>
      <xdr:row>179</xdr:row>
      <xdr:rowOff>33563</xdr:rowOff>
    </xdr:from>
    <xdr:ext cx="17848035" cy="1063946"/>
    <mc:AlternateContent xmlns:mc="http://schemas.openxmlformats.org/markup-compatibility/2006" xmlns:a14="http://schemas.microsoft.com/office/drawing/2010/main">
      <mc:Choice Requires="a14">
        <xdr:sp macro="" textlink="">
          <xdr:nvSpPr>
            <xdr:cNvPr id="89" name="TextBox 90">
              <a:extLst>
                <a:ext uri="{FF2B5EF4-FFF2-40B4-BE49-F238E27FC236}">
                  <a16:creationId xmlns:a16="http://schemas.microsoft.com/office/drawing/2014/main" id="{CDBD317B-3741-44A0-9D9C-53327EB15B50}"/>
                </a:ext>
              </a:extLst>
            </xdr:cNvPr>
            <xdr:cNvSpPr txBox="1"/>
          </xdr:nvSpPr>
          <xdr:spPr>
            <a:xfrm>
              <a:off x="3273208" y="73699085"/>
              <a:ext cx="17848035" cy="106394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US" sz="1400" b="0" i="1">
                      <a:solidFill>
                        <a:schemeClr val="tx1"/>
                      </a:solidFill>
                      <a:latin typeface="Cambria Math" panose="02040503050406030204" pitchFamily="18" charset="0"/>
                    </a:rPr>
                    <m:t>𝑀</m:t>
                  </m:r>
                  <m:sSub>
                    <m:sSubPr>
                      <m:ctrlPr>
                        <a:rPr lang="en-US" sz="1400" b="0" i="1" baseline="-25000">
                          <a:solidFill>
                            <a:schemeClr val="tx1"/>
                          </a:solidFill>
                          <a:latin typeface="Cambria Math" panose="02040503050406030204" pitchFamily="18" charset="0"/>
                        </a:rPr>
                      </m:ctrlPr>
                    </m:sSubPr>
                    <m:e>
                      <m:r>
                        <a:rPr lang="en-US" sz="1400" b="0" i="1" baseline="-25000">
                          <a:solidFill>
                            <a:schemeClr val="tx1"/>
                          </a:solidFill>
                          <a:latin typeface="Cambria Math" panose="02040503050406030204" pitchFamily="18" charset="0"/>
                        </a:rPr>
                        <m:t>𝑏</m:t>
                      </m:r>
                    </m:e>
                    <m:sub>
                      <m:r>
                        <a:rPr lang="en-US" sz="1400" b="0" i="1" baseline="-25000">
                          <a:solidFill>
                            <a:schemeClr val="tx1"/>
                          </a:solidFill>
                          <a:latin typeface="Cambria Math" panose="02040503050406030204" pitchFamily="18" charset="0"/>
                        </a:rPr>
                        <m:t>𝑃</m:t>
                      </m:r>
                      <m:sSub>
                        <m:sSubPr>
                          <m:ctrlPr>
                            <a:rPr lang="en-US" sz="1400" b="0" i="1" baseline="-25000">
                              <a:solidFill>
                                <a:schemeClr val="tx1"/>
                              </a:solidFill>
                              <a:latin typeface="Cambria Math" panose="02040503050406030204" pitchFamily="18" charset="0"/>
                            </a:rPr>
                          </m:ctrlPr>
                        </m:sSubPr>
                        <m:e>
                          <m:r>
                            <a:rPr lang="en-US" sz="1400" b="0" i="1" baseline="-25000">
                              <a:solidFill>
                                <a:schemeClr val="tx1"/>
                              </a:solidFill>
                              <a:latin typeface="Cambria Math" panose="02040503050406030204" pitchFamily="18" charset="0"/>
                            </a:rPr>
                            <m:t>𝑃</m:t>
                          </m:r>
                        </m:e>
                        <m:sub>
                          <m:r>
                            <a:rPr lang="en-US" sz="1400" b="0" i="1" baseline="-25000">
                              <a:solidFill>
                                <a:schemeClr val="tx1"/>
                              </a:solidFill>
                              <a:latin typeface="Cambria Math" panose="02040503050406030204" pitchFamily="18" charset="0"/>
                            </a:rPr>
                            <m:t>𝑖𝑛𝑡𝑟𝑎</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e>
                          </m:d>
                        </m:sub>
                      </m:sSub>
                    </m:sub>
                  </m:sSub>
                  <m:r>
                    <a:rPr lang="en-US" sz="1400" b="0" i="1" baseline="0">
                      <a:solidFill>
                        <a:schemeClr val="tx1"/>
                      </a:solidFill>
                      <a:latin typeface="Cambria Math" panose="02040503050406030204" pitchFamily="18" charset="0"/>
                    </a:rPr>
                    <m:t>= </m:t>
                  </m:r>
                  <m:f>
                    <m:fPr>
                      <m:ctrlPr>
                        <a:rPr lang="en-US" sz="1400" b="0" i="1">
                          <a:solidFill>
                            <a:schemeClr val="tx1"/>
                          </a:solidFill>
                          <a:latin typeface="Cambria Math" panose="02040503050406030204" pitchFamily="18" charset="0"/>
                        </a:rPr>
                      </m:ctrlPr>
                    </m:fPr>
                    <m:num>
                      <m:r>
                        <a:rPr lang="en-US" sz="1400" b="0" i="1">
                          <a:solidFill>
                            <a:schemeClr val="tx1"/>
                          </a:solidFill>
                          <a:latin typeface="Cambria Math" panose="02040503050406030204" pitchFamily="18" charset="0"/>
                        </a:rPr>
                        <m:t>1</m:t>
                      </m:r>
                    </m:num>
                    <m:den>
                      <m:r>
                        <a:rPr lang="en-US" sz="1400" b="0" i="1">
                          <a:solidFill>
                            <a:schemeClr val="tx1"/>
                          </a:solidFill>
                          <a:latin typeface="Cambria Math" panose="02040503050406030204" pitchFamily="18" charset="0"/>
                        </a:rPr>
                        <m:t>𝐿</m:t>
                      </m:r>
                    </m:den>
                  </m:f>
                  <m:d>
                    <m:dPr>
                      <m:begChr m:val="["/>
                      <m:endChr m:val="]"/>
                      <m:ctrlPr>
                        <a:rPr lang="en-US" sz="1100" b="0" i="1">
                          <a:solidFill>
                            <a:schemeClr val="tx1"/>
                          </a:solidFill>
                          <a:effectLst/>
                          <a:latin typeface="Cambria Math" panose="02040503050406030204" pitchFamily="18" charset="0"/>
                          <a:ea typeface="+mn-ea"/>
                          <a:cs typeface="+mn-cs"/>
                        </a:rPr>
                      </m:ctrlPr>
                    </m:d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𝑖𝑛𝑡𝑟𝑎</m:t>
                          </m:r>
                        </m:sub>
                      </m:sSub>
                      <m:r>
                        <a:rPr lang="en-GB" sz="1100" i="1" baseline="0">
                          <a:solidFill>
                            <a:schemeClr val="tx1"/>
                          </a:solidFill>
                          <a:effectLst/>
                          <a:latin typeface="Cambria Math" panose="02040503050406030204" pitchFamily="18" charset="0"/>
                          <a:ea typeface="+mn-ea"/>
                          <a:cs typeface="+mn-cs"/>
                        </a:rPr>
                        <m:t> + </m:t>
                      </m:r>
                      <m:sSub>
                        <m:sSubPr>
                          <m:ctrlPr>
                            <a:rPr lang="en-GB" sz="1100" i="1" baseline="0">
                              <a:solidFill>
                                <a:schemeClr val="tx1"/>
                              </a:solidFill>
                              <a:effectLst/>
                              <a:latin typeface="Cambria Math" panose="02040503050406030204" pitchFamily="18" charset="0"/>
                              <a:ea typeface="+mn-ea"/>
                              <a:cs typeface="+mn-cs"/>
                            </a:rPr>
                          </m:ctrlPr>
                        </m:sSubPr>
                        <m:e>
                          <m:r>
                            <a:rPr lang="en-GB" sz="110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𝑒𝑟𝑟</m:t>
                          </m:r>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e>
                      </m:d>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𝑒𝑟𝑟</m:t>
                              </m:r>
                            </m:sub>
                          </m:sSub>
                        </m:num>
                        <m:den>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𝑖𝑛𝑡𝑟𝑎</m:t>
                              </m:r>
                            </m:sub>
                          </m:sSub>
                        </m:den>
                      </m:f>
                      <m:r>
                        <a:rPr lang="en-GB" sz="1100" i="1" baseline="0">
                          <a:solidFill>
                            <a:schemeClr val="tx1"/>
                          </a:solidFill>
                          <a:effectLst/>
                          <a:latin typeface="Cambria Math" panose="02040503050406030204" pitchFamily="18" charset="0"/>
                          <a:ea typeface="+mn-ea"/>
                          <a:cs typeface="+mn-cs"/>
                        </a:rPr>
                        <m:t> </m:t>
                      </m:r>
                    </m:e>
                  </m:d>
                </m:oMath>
              </a14:m>
              <a:r>
                <a:rPr lang="en-GB" sz="1400" baseline="0">
                  <a:solidFill>
                    <a:schemeClr val="tx1"/>
                  </a:solidFill>
                </a:rPr>
                <a:t>,</a:t>
              </a:r>
            </a:p>
            <a:p>
              <a:r>
                <a:rPr lang="en-GB" sz="1400" baseline="0">
                  <a:solidFill>
                    <a:schemeClr val="tx1"/>
                  </a:solidFill>
                </a:rPr>
                <a:t>Pipeline model parallelism (layer-to-layer)</a:t>
              </a:r>
            </a:p>
            <a:p>
              <a:endParaRPr lang="en-GB" sz="1400" baseline="0">
                <a:solidFill>
                  <a:schemeClr val="tx1"/>
                </a:solidFill>
              </a:endParaRPr>
            </a:p>
            <a:p>
              <a14:m>
                <m:oMath xmlns:m="http://schemas.openxmlformats.org/officeDocument/2006/math">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𝑒𝑟𝑟</m:t>
                          </m:r>
                        </m:e>
                        <m:sub>
                          <m:r>
                            <a:rPr lang="en-US" sz="1100" b="0" i="1" baseline="0">
                              <a:solidFill>
                                <a:srgbClr val="FF0000"/>
                              </a:solidFill>
                              <a:effectLst/>
                              <a:latin typeface="Cambria Math" panose="02040503050406030204" pitchFamily="18" charset="0"/>
                              <a:ea typeface="+mn-ea"/>
                              <a:cs typeface="+mn-cs"/>
                            </a:rPr>
                            <m:t>𝑖𝑛𝑡𝑟𝑎</m:t>
                          </m:r>
                        </m:sub>
                      </m:sSub>
                    </m:sub>
                  </m:sSub>
                  <m:d>
                    <m:dPr>
                      <m:ctrlPr>
                        <a:rPr lang="en-US" sz="1100" b="0" i="1" baseline="0">
                          <a:solidFill>
                            <a:srgbClr val="FF0000"/>
                          </a:solidFill>
                          <a:effectLst/>
                          <a:latin typeface="Cambria Math" panose="02040503050406030204" pitchFamily="18" charset="0"/>
                          <a:ea typeface="+mn-ea"/>
                          <a:cs typeface="+mn-cs"/>
                        </a:rPr>
                      </m:ctrlPr>
                    </m:dPr>
                    <m:e>
                      <m:r>
                        <a:rPr lang="en-US" sz="1100" b="0" i="1" baseline="0">
                          <a:solidFill>
                            <a:srgbClr val="FF0000"/>
                          </a:solidFill>
                          <a:effectLst/>
                          <a:latin typeface="Cambria Math" panose="02040503050406030204" pitchFamily="18" charset="0"/>
                          <a:ea typeface="+mn-ea"/>
                          <a:cs typeface="+mn-cs"/>
                        </a:rPr>
                        <m:t>𝑙</m:t>
                      </m:r>
                      <m:r>
                        <a:rPr lang="en-US" sz="1100" b="0" i="1" baseline="0">
                          <a:solidFill>
                            <a:srgbClr val="FF0000"/>
                          </a:solidFill>
                          <a:effectLst/>
                          <a:latin typeface="Cambria Math" panose="02040503050406030204" pitchFamily="18" charset="0"/>
                          <a:ea typeface="+mn-ea"/>
                          <a:cs typeface="+mn-cs"/>
                        </a:rPr>
                        <m:t>,</m:t>
                      </m:r>
                      <m:r>
                        <a:rPr lang="en-US" sz="1100" b="0" i="1" baseline="0">
                          <a:solidFill>
                            <a:srgbClr val="FF0000"/>
                          </a:solidFill>
                          <a:effectLst/>
                          <a:latin typeface="Cambria Math" panose="02040503050406030204" pitchFamily="18" charset="0"/>
                          <a:ea typeface="+mn-ea"/>
                          <a:cs typeface="+mn-cs"/>
                        </a:rPr>
                        <m:t>𝑐𝑜𝑚</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𝑚</m:t>
                          </m:r>
                        </m:e>
                        <m:sub>
                          <m:r>
                            <a:rPr lang="en-US" sz="1100" b="0" i="1" baseline="0">
                              <a:solidFill>
                                <a:srgbClr val="FF0000"/>
                              </a:solidFill>
                              <a:effectLst/>
                              <a:latin typeface="Cambria Math" panose="02040503050406030204" pitchFamily="18" charset="0"/>
                              <a:ea typeface="+mn-ea"/>
                              <a:cs typeface="+mn-cs"/>
                            </a:rPr>
                            <m:t>𝑡𝑦𝑝𝑒</m:t>
                          </m:r>
                        </m:sub>
                      </m:sSub>
                    </m:e>
                  </m:d>
                  <m:r>
                    <a:rPr lang="en-US" sz="1100" b="0" i="1" baseline="0">
                      <a:solidFill>
                        <a:srgbClr val="FF0000"/>
                      </a:solidFill>
                      <a:effectLst/>
                      <a:latin typeface="Cambria Math" panose="02040503050406030204" pitchFamily="18" charset="0"/>
                      <a:ea typeface="+mn-ea"/>
                      <a:cs typeface="+mn-cs"/>
                    </a:rPr>
                    <m:t>=</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𝑒𝑟𝑟</m:t>
                      </m:r>
                    </m:sub>
                  </m:sSub>
                  <m:r>
                    <a:rPr lang="en-US" sz="1100" b="0" i="1" baseline="0">
                      <a:solidFill>
                        <a:srgbClr val="FF0000"/>
                      </a:solidFill>
                      <a:effectLst/>
                      <a:latin typeface="Cambria Math" panose="02040503050406030204" pitchFamily="18" charset="0"/>
                      <a:ea typeface="+mn-ea"/>
                      <a:cs typeface="+mn-cs"/>
                    </a:rPr>
                    <m:t>∗[</m:t>
                  </m:r>
                  <m:f>
                    <m:fPr>
                      <m:ctrlPr>
                        <a:rPr lang="en-US" sz="1100" b="0" i="1" baseline="0">
                          <a:solidFill>
                            <a:srgbClr val="FF0000"/>
                          </a:solidFill>
                          <a:effectLst/>
                          <a:latin typeface="Cambria Math" panose="02040503050406030204" pitchFamily="18" charset="0"/>
                          <a:ea typeface="+mn-ea"/>
                          <a:cs typeface="+mn-cs"/>
                        </a:rPr>
                      </m:ctrlPr>
                    </m:fPr>
                    <m:num>
                      <m:sSub>
                        <m:sSubPr>
                          <m:ctrlPr>
                            <a:rPr lang="en-US" sz="1100" b="0" i="1" baseline="0">
                              <a:solidFill>
                                <a:srgbClr val="FF0000"/>
                              </a:solidFill>
                              <a:effectLst/>
                              <a:latin typeface="Cambria Math" panose="02040503050406030204" pitchFamily="18" charset="0"/>
                              <a:ea typeface="+mn-ea"/>
                              <a:cs typeface="+mn-cs"/>
                            </a:rPr>
                          </m:ctrlPr>
                        </m:sSubPr>
                        <m:e>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m:t>
                              </m:r>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𝑃</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𝑃</m:t>
                                  </m:r>
                                </m:e>
                                <m:sub>
                                  <m:r>
                                    <a:rPr lang="en-US" sz="1100" b="0" i="1" baseline="0">
                                      <a:solidFill>
                                        <a:srgbClr val="FF0000"/>
                                      </a:solidFill>
                                      <a:effectLst/>
                                      <a:latin typeface="Cambria Math" panose="02040503050406030204" pitchFamily="18" charset="0"/>
                                      <a:ea typeface="+mn-ea"/>
                                      <a:cs typeface="+mn-cs"/>
                                    </a:rPr>
                                    <m:t>𝑖𝑛𝑡𝑟𝑎</m:t>
                                  </m:r>
                                </m:sub>
                              </m:sSub>
                            </m:sub>
                          </m:sSub>
                          <m:r>
                            <a:rPr lang="en-US" sz="1100" b="0" i="1" baseline="0">
                              <a:solidFill>
                                <a:srgbClr val="FF0000"/>
                              </a:solidFill>
                              <a:effectLst/>
                              <a:latin typeface="Cambria Math" panose="02040503050406030204" pitchFamily="18" charset="0"/>
                              <a:ea typeface="+mn-ea"/>
                              <a:cs typeface="+mn-cs"/>
                            </a:rPr>
                            <m:t>−1)∗</m:t>
                          </m:r>
                          <m:r>
                            <a:rPr lang="en-US" sz="1100" b="0" i="1" baseline="0">
                              <a:solidFill>
                                <a:srgbClr val="FF0000"/>
                              </a:solidFill>
                              <a:effectLst/>
                              <a:latin typeface="Cambria Math" panose="02040503050406030204" pitchFamily="18" charset="0"/>
                              <a:ea typeface="+mn-ea"/>
                              <a:cs typeface="+mn-cs"/>
                            </a:rPr>
                            <m:t>𝑁</m:t>
                          </m:r>
                          <m:r>
                            <a:rPr lang="en-US" sz="1100" b="0" i="1" baseline="0">
                              <a:solidFill>
                                <a:srgbClr val="FF0000"/>
                              </a:solidFill>
                              <a:effectLst/>
                              <a:latin typeface="Cambria Math" panose="02040503050406030204" pitchFamily="18" charset="0"/>
                              <a:ea typeface="+mn-ea"/>
                              <a:cs typeface="+mn-cs"/>
                            </a:rPr>
                            <m:t>_</m:t>
                          </m:r>
                          <m:r>
                            <a:rPr lang="en-US" sz="1100" b="0" i="1" baseline="0">
                              <a:solidFill>
                                <a:srgbClr val="FF0000"/>
                              </a:solidFill>
                              <a:effectLst/>
                              <a:latin typeface="Cambria Math" panose="02040503050406030204" pitchFamily="18" charset="0"/>
                              <a:ea typeface="+mn-ea"/>
                              <a:cs typeface="+mn-cs"/>
                            </a:rPr>
                            <m:t>𝑃𝑃</m:t>
                          </m:r>
                          <m:r>
                            <a:rPr lang="en-US" sz="1100" b="0" i="1" baseline="0">
                              <a:solidFill>
                                <a:srgbClr val="FF0000"/>
                              </a:solidFill>
                              <a:effectLst/>
                              <a:latin typeface="Cambria Math" panose="02040503050406030204" pitchFamily="18" charset="0"/>
                              <a:ea typeface="+mn-ea"/>
                              <a:cs typeface="+mn-cs"/>
                            </a:rPr>
                            <m:t>_</m:t>
                          </m:r>
                          <m:r>
                            <a:rPr lang="en-US" sz="1100" b="0" i="1" baseline="0">
                              <a:solidFill>
                                <a:srgbClr val="FF0000"/>
                              </a:solidFill>
                              <a:effectLst/>
                              <a:latin typeface="Cambria Math" panose="02040503050406030204" pitchFamily="18" charset="0"/>
                              <a:ea typeface="+mn-ea"/>
                              <a:cs typeface="+mn-cs"/>
                            </a:rPr>
                            <m:t>𝑖𝑛𝑡𝑒𝑟</m:t>
                          </m:r>
                          <m:r>
                            <a:rPr lang="en-US" sz="1100" b="0" i="1" baseline="0">
                              <a:solidFill>
                                <a:srgbClr val="FF0000"/>
                              </a:solidFill>
                              <a:effectLst/>
                              <a:latin typeface="Cambria Math" panose="02040503050406030204" pitchFamily="18" charset="0"/>
                              <a:ea typeface="+mn-ea"/>
                              <a:cs typeface="+mn-cs"/>
                            </a:rPr>
                            <m:t>  </m:t>
                          </m:r>
                        </m:e>
                        <m:sub/>
                      </m:sSub>
                    </m:num>
                    <m:den>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𝑃𝑃</m:t>
                          </m:r>
                        </m:sub>
                      </m:sSub>
                      <m:r>
                        <a:rPr lang="en-US" sz="1100" b="0" i="1" baseline="0">
                          <a:solidFill>
                            <a:srgbClr val="FF0000"/>
                          </a:solidFill>
                          <a:effectLst/>
                          <a:latin typeface="Cambria Math" panose="02040503050406030204" pitchFamily="18" charset="0"/>
                          <a:ea typeface="+mn-ea"/>
                          <a:cs typeface="+mn-cs"/>
                        </a:rPr>
                        <m:t>−1</m:t>
                      </m:r>
                    </m:den>
                  </m:f>
                  <m:r>
                    <a:rPr lang="en-US" sz="1100" b="0" i="1" baseline="0">
                      <a:solidFill>
                        <a:srgbClr val="FF0000"/>
                      </a:solidFill>
                      <a:effectLst/>
                      <a:latin typeface="Cambria Math" panose="02040503050406030204" pitchFamily="18" charset="0"/>
                      <a:ea typeface="+mn-ea"/>
                      <a:cs typeface="+mn-cs"/>
                    </a:rPr>
                    <m:t>]</m:t>
                  </m:r>
                </m:oMath>
              </a14:m>
              <a:r>
                <a:rPr lang="en-US" sz="1100" b="0" i="1" baseline="0">
                  <a:solidFill>
                    <a:srgbClr val="FF0000"/>
                  </a:solidFill>
                  <a:effectLst/>
                  <a:latin typeface="+mn-lt"/>
                  <a:ea typeface="+mn-ea"/>
                  <a:cs typeface="+mn-cs"/>
                </a:rPr>
                <a:t>   </a:t>
              </a:r>
              <a:endParaRPr lang="en-GB" sz="1400" baseline="0">
                <a:solidFill>
                  <a:schemeClr val="tx1"/>
                </a:solidFill>
              </a:endParaRPr>
            </a:p>
          </xdr:txBody>
        </xdr:sp>
      </mc:Choice>
      <mc:Fallback xmlns="">
        <xdr:sp macro="" textlink="">
          <xdr:nvSpPr>
            <xdr:cNvPr id="89" name="TextBox 90">
              <a:extLst>
                <a:ext uri="{FF2B5EF4-FFF2-40B4-BE49-F238E27FC236}">
                  <a16:creationId xmlns:a16="http://schemas.microsoft.com/office/drawing/2014/main" id="{CDBD317B-3741-44A0-9D9C-53327EB15B50}"/>
                </a:ext>
              </a:extLst>
            </xdr:cNvPr>
            <xdr:cNvSpPr txBox="1"/>
          </xdr:nvSpPr>
          <xdr:spPr>
            <a:xfrm>
              <a:off x="3425976" y="68772313"/>
              <a:ext cx="17848035" cy="106394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𝑏_(𝑃𝑃_𝑖𝑛𝑡𝑟𝑎</a:t>
              </a:r>
              <a:r>
                <a:rPr lang="en-US" sz="1400" b="0" i="0" baseline="0">
                  <a:solidFill>
                    <a:schemeClr val="tx1"/>
                  </a:solidFill>
                  <a:latin typeface="Cambria Math" panose="02040503050406030204" pitchFamily="18" charset="0"/>
                </a:rPr>
                <a:t>(𝑙)  </a:t>
              </a:r>
              <a:r>
                <a:rPr lang="en-US" sz="1400" b="0" i="0" baseline="-25000">
                  <a:solidFill>
                    <a:schemeClr val="tx1"/>
                  </a:solidFill>
                  <a:latin typeface="Cambria Math" panose="02040503050406030204" pitchFamily="18" charset="0"/>
                </a:rPr>
                <a:t>)</a:t>
              </a:r>
              <a:r>
                <a:rPr lang="en-US" sz="1400" b="0" i="0" baseline="0">
                  <a:solidFill>
                    <a:schemeClr val="tx1"/>
                  </a:solidFill>
                  <a:latin typeface="Cambria Math" panose="02040503050406030204" pitchFamily="18" charset="0"/>
                </a:rPr>
                <a:t>= </a:t>
              </a:r>
              <a:r>
                <a:rPr lang="en-US" sz="1400" b="0" i="0">
                  <a:solidFill>
                    <a:schemeClr val="tx1"/>
                  </a:solidFill>
                  <a:latin typeface="Cambria Math" panose="02040503050406030204" pitchFamily="18" charset="0"/>
                </a:rPr>
                <a:t> 1/𝐿</a:t>
              </a:r>
              <a:r>
                <a:rPr lang="en-US" sz="1100" b="0" i="0">
                  <a:solidFill>
                    <a:schemeClr val="tx1"/>
                  </a:solidFill>
                  <a:effectLst/>
                  <a:latin typeface="Cambria Math" panose="02040503050406030204" pitchFamily="18" charset="0"/>
                  <a:ea typeface="+mn-ea"/>
                  <a:cs typeface="+mn-cs"/>
                </a:rPr>
                <a:t> [𝐶_𝑖𝑛𝑡𝑟𝑎</a:t>
              </a:r>
              <a:r>
                <a:rPr lang="en-GB" sz="1100" b="0" i="0" baseline="0">
                  <a:solidFill>
                    <a:schemeClr val="tx1"/>
                  </a:solidFill>
                  <a:effectLst/>
                  <a:latin typeface="Cambria Math" panose="02040503050406030204" pitchFamily="18" charset="0"/>
                  <a:ea typeface="+mn-ea"/>
                  <a:cs typeface="+mn-cs"/>
                </a:rPr>
                <a:t> </a:t>
              </a:r>
              <a:r>
                <a:rPr lang="en-GB" sz="1100" i="0" baseline="0">
                  <a:solidFill>
                    <a:schemeClr val="tx1"/>
                  </a:solidFill>
                  <a:effectLst/>
                  <a:latin typeface="Cambria Math" panose="02040503050406030204" pitchFamily="18" charset="0"/>
                  <a:ea typeface="+mn-ea"/>
                  <a:cs typeface="+mn-cs"/>
                </a:rPr>
                <a:t> + 𝑁_</a:t>
              </a:r>
              <a:r>
                <a:rPr lang="en-US" sz="1100" b="0" i="0" baseline="0">
                  <a:solidFill>
                    <a:schemeClr val="tx1"/>
                  </a:solidFill>
                  <a:effectLst/>
                  <a:latin typeface="Cambria Math" panose="02040503050406030204" pitchFamily="18" charset="0"/>
                  <a:ea typeface="+mn-ea"/>
                  <a:cs typeface="+mn-cs"/>
                </a:rPr>
                <a:t>𝑒𝑟𝑟 (𝑙)∗ 𝑆_𝑒𝑟𝑟</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𝐵𝑊_𝑖𝑛𝑡𝑟𝑎 </a:t>
              </a:r>
              <a:r>
                <a:rPr lang="en-GB" sz="1100" b="0" i="0" baseline="0">
                  <a:solidFill>
                    <a:schemeClr val="tx1"/>
                  </a:solidFill>
                  <a:effectLst/>
                  <a:latin typeface="Cambria Math" panose="02040503050406030204" pitchFamily="18" charset="0"/>
                  <a:ea typeface="+mn-ea"/>
                  <a:cs typeface="+mn-cs"/>
                </a:rPr>
                <a:t>) </a:t>
              </a:r>
              <a:r>
                <a:rPr lang="en-GB" sz="1100" i="0" baseline="0">
                  <a:solidFill>
                    <a:schemeClr val="tx1"/>
                  </a:solidFill>
                  <a:effectLst/>
                  <a:latin typeface="Cambria Math" panose="02040503050406030204" pitchFamily="18" charset="0"/>
                  <a:ea typeface="+mn-ea"/>
                  <a:cs typeface="+mn-cs"/>
                </a:rPr>
                <a:t> ]</a:t>
              </a:r>
              <a:r>
                <a:rPr lang="en-GB" sz="1400" baseline="0">
                  <a:solidFill>
                    <a:schemeClr val="tx1"/>
                  </a:solidFill>
                </a:rPr>
                <a:t>,</a:t>
              </a:r>
            </a:p>
            <a:p>
              <a:r>
                <a:rPr lang="en-GB" sz="1400" baseline="0">
                  <a:solidFill>
                    <a:schemeClr val="tx1"/>
                  </a:solidFill>
                </a:rPr>
                <a:t>Pipeline model parallelism (layer-to-layer)</a:t>
              </a:r>
            </a:p>
            <a:p>
              <a:endParaRPr lang="en-GB" sz="1400" baseline="0">
                <a:solidFill>
                  <a:schemeClr val="tx1"/>
                </a:solidFill>
              </a:endParaRPr>
            </a:p>
            <a:p>
              <a:r>
                <a:rPr lang="en-US" sz="1100" b="0" i="0" baseline="0">
                  <a:solidFill>
                    <a:srgbClr val="FF0000"/>
                  </a:solidFill>
                  <a:effectLst/>
                  <a:latin typeface="Cambria Math" panose="02040503050406030204" pitchFamily="18" charset="0"/>
                  <a:ea typeface="+mn-ea"/>
                  <a:cs typeface="+mn-cs"/>
                </a:rPr>
                <a:t>𝑁_(〖𝑒𝑟𝑟〗_𝑖𝑛𝑡𝑟𝑎 ) (𝑙,𝑐𝑜𝑚𝑚_𝑡𝑦𝑝𝑒 )=𝑁_𝑒𝑟𝑟∗[〖〖(𝑁〗_(𝑃𝑃_𝑖𝑛𝑡𝑟𝑎 )−1)∗𝑁_𝑃𝑃_𝑖𝑛𝑡𝑒𝑟  〗_ /(𝑁_𝑃𝑃−1)]</a:t>
              </a:r>
              <a:r>
                <a:rPr lang="en-US" sz="1100" b="0" i="1" baseline="0">
                  <a:solidFill>
                    <a:srgbClr val="FF0000"/>
                  </a:solidFill>
                  <a:effectLst/>
                  <a:latin typeface="+mn-lt"/>
                  <a:ea typeface="+mn-ea"/>
                  <a:cs typeface="+mn-cs"/>
                </a:rPr>
                <a:t>   </a:t>
              </a:r>
              <a:endParaRPr lang="en-GB" sz="1400" baseline="0">
                <a:solidFill>
                  <a:schemeClr val="tx1"/>
                </a:solidFill>
              </a:endParaRPr>
            </a:p>
          </xdr:txBody>
        </xdr:sp>
      </mc:Fallback>
    </mc:AlternateContent>
    <xdr:clientData/>
  </xdr:oneCellAnchor>
  <xdr:oneCellAnchor>
    <xdr:from>
      <xdr:col>1</xdr:col>
      <xdr:colOff>18143</xdr:colOff>
      <xdr:row>189</xdr:row>
      <xdr:rowOff>33563</xdr:rowOff>
    </xdr:from>
    <xdr:ext cx="17848035" cy="1056508"/>
    <mc:AlternateContent xmlns:mc="http://schemas.openxmlformats.org/markup-compatibility/2006" xmlns:a14="http://schemas.microsoft.com/office/drawing/2010/main">
      <mc:Choice Requires="a14">
        <xdr:sp macro="" textlink="">
          <xdr:nvSpPr>
            <xdr:cNvPr id="91" name="TextBox 90">
              <a:extLst>
                <a:ext uri="{FF2B5EF4-FFF2-40B4-BE49-F238E27FC236}">
                  <a16:creationId xmlns:a16="http://schemas.microsoft.com/office/drawing/2014/main" id="{50453730-CE93-40EA-8AAD-0E9CE5C12B74}"/>
                </a:ext>
              </a:extLst>
            </xdr:cNvPr>
            <xdr:cNvSpPr txBox="1"/>
          </xdr:nvSpPr>
          <xdr:spPr>
            <a:xfrm>
              <a:off x="3273208" y="77600193"/>
              <a:ext cx="17848035" cy="105650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US" sz="1400" b="0" i="1">
                      <a:solidFill>
                        <a:schemeClr val="tx1"/>
                      </a:solidFill>
                      <a:latin typeface="Cambria Math" panose="02040503050406030204" pitchFamily="18" charset="0"/>
                    </a:rPr>
                    <m:t>𝑀</m:t>
                  </m:r>
                  <m:r>
                    <a:rPr lang="en-US" sz="1400" b="0" i="1" baseline="-25000">
                      <a:solidFill>
                        <a:schemeClr val="tx1"/>
                      </a:solidFill>
                      <a:latin typeface="Cambria Math" panose="02040503050406030204" pitchFamily="18" charset="0"/>
                    </a:rPr>
                    <m:t>𝑏</m:t>
                  </m:r>
                  <m:r>
                    <a:rPr lang="en-US" sz="1400" b="0" i="1" baseline="-25000">
                      <a:solidFill>
                        <a:schemeClr val="tx1"/>
                      </a:solidFill>
                      <a:latin typeface="Cambria Math" panose="02040503050406030204" pitchFamily="18" charset="0"/>
                    </a:rPr>
                    <m:t>_</m:t>
                  </m:r>
                  <m:r>
                    <a:rPr lang="en-US" sz="1400" b="0" i="1" baseline="-25000">
                      <a:solidFill>
                        <a:schemeClr val="tx1"/>
                      </a:solidFill>
                      <a:latin typeface="Cambria Math" panose="02040503050406030204" pitchFamily="18" charset="0"/>
                    </a:rPr>
                    <m:t>𝑃𝑃</m:t>
                  </m:r>
                  <m:r>
                    <a:rPr lang="en-US" sz="1400" b="0" i="1" baseline="-25000">
                      <a:solidFill>
                        <a:schemeClr val="tx1"/>
                      </a:solidFill>
                      <a:latin typeface="Cambria Math" panose="02040503050406030204" pitchFamily="18" charset="0"/>
                    </a:rPr>
                    <m:t>_</m:t>
                  </m:r>
                  <m:r>
                    <a:rPr lang="en-US" sz="1400" b="0" i="1" baseline="-25000">
                      <a:solidFill>
                        <a:schemeClr val="tx1"/>
                      </a:solidFill>
                      <a:latin typeface="Cambria Math" panose="02040503050406030204" pitchFamily="18" charset="0"/>
                    </a:rPr>
                    <m:t>𝑖𝑛𝑡𝑒𝑟</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e>
                  </m:d>
                  <m:r>
                    <a:rPr lang="en-US" sz="1400" b="0" i="1" baseline="0">
                      <a:solidFill>
                        <a:schemeClr val="tx1"/>
                      </a:solidFill>
                      <a:latin typeface="Cambria Math" panose="02040503050406030204" pitchFamily="18" charset="0"/>
                    </a:rPr>
                    <m:t>= </m:t>
                  </m:r>
                  <m:f>
                    <m:fPr>
                      <m:ctrlPr>
                        <a:rPr lang="en-US" sz="1400" b="0" i="1" baseline="0">
                          <a:solidFill>
                            <a:schemeClr val="tx1"/>
                          </a:solidFill>
                          <a:latin typeface="Cambria Math" panose="02040503050406030204" pitchFamily="18" charset="0"/>
                        </a:rPr>
                      </m:ctrlPr>
                    </m:fPr>
                    <m:num>
                      <m:r>
                        <a:rPr lang="en-US" sz="1400" b="0" i="1">
                          <a:solidFill>
                            <a:schemeClr val="tx1"/>
                          </a:solidFill>
                          <a:latin typeface="Cambria Math" panose="02040503050406030204" pitchFamily="18" charset="0"/>
                        </a:rPr>
                        <m:t>1</m:t>
                      </m:r>
                    </m:num>
                    <m:den>
                      <m:r>
                        <a:rPr lang="en-US" sz="1400" b="0" i="1">
                          <a:solidFill>
                            <a:schemeClr val="tx1"/>
                          </a:solidFill>
                          <a:latin typeface="Cambria Math" panose="02040503050406030204" pitchFamily="18" charset="0"/>
                        </a:rPr>
                        <m:t>𝐿</m:t>
                      </m:r>
                    </m:den>
                  </m:f>
                  <m:d>
                    <m:dPr>
                      <m:begChr m:val="["/>
                      <m:endChr m:val="]"/>
                      <m:ctrlPr>
                        <a:rPr lang="en-US" sz="1100" b="0" i="1">
                          <a:solidFill>
                            <a:schemeClr val="tx1"/>
                          </a:solidFill>
                          <a:effectLst/>
                          <a:latin typeface="Cambria Math" panose="02040503050406030204" pitchFamily="18" charset="0"/>
                          <a:ea typeface="+mn-ea"/>
                          <a:cs typeface="+mn-cs"/>
                        </a:rPr>
                      </m:ctrlPr>
                    </m:d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𝑖𝑛𝑡𝑒𝑟</m:t>
                          </m:r>
                        </m:sub>
                      </m:sSub>
                      <m:r>
                        <a:rPr lang="en-GB" sz="1100" i="1" baseline="0">
                          <a:solidFill>
                            <a:schemeClr val="tx1"/>
                          </a:solidFill>
                          <a:effectLst/>
                          <a:latin typeface="Cambria Math" panose="02040503050406030204" pitchFamily="18" charset="0"/>
                          <a:ea typeface="+mn-ea"/>
                          <a:cs typeface="+mn-cs"/>
                        </a:rPr>
                        <m:t> + </m:t>
                      </m:r>
                      <m:sSub>
                        <m:sSubPr>
                          <m:ctrlPr>
                            <a:rPr lang="en-GB" sz="1100" i="1" baseline="0">
                              <a:solidFill>
                                <a:schemeClr val="tx1"/>
                              </a:solidFill>
                              <a:effectLst/>
                              <a:latin typeface="Cambria Math" panose="02040503050406030204" pitchFamily="18" charset="0"/>
                              <a:ea typeface="+mn-ea"/>
                              <a:cs typeface="+mn-cs"/>
                            </a:rPr>
                          </m:ctrlPr>
                        </m:sSubPr>
                        <m:e>
                          <m:r>
                            <a:rPr lang="en-GB" sz="110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𝑒𝑟𝑟</m:t>
                          </m:r>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e>
                      </m:d>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𝑒𝑟𝑟</m:t>
                              </m:r>
                            </m:sub>
                          </m:sSub>
                        </m:num>
                        <m:den>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𝑖𝑛𝑡𝑒𝑟</m:t>
                              </m:r>
                            </m:sub>
                          </m:sSub>
                        </m:den>
                      </m:f>
                      <m:r>
                        <a:rPr lang="en-GB" sz="1100" i="1" baseline="0">
                          <a:solidFill>
                            <a:schemeClr val="tx1"/>
                          </a:solidFill>
                          <a:effectLst/>
                          <a:latin typeface="Cambria Math" panose="02040503050406030204" pitchFamily="18" charset="0"/>
                          <a:ea typeface="+mn-ea"/>
                          <a:cs typeface="+mn-cs"/>
                        </a:rPr>
                        <m:t> </m:t>
                      </m:r>
                    </m:e>
                  </m:d>
                </m:oMath>
              </a14:m>
              <a:r>
                <a:rPr lang="en-GB" sz="1400" baseline="0">
                  <a:solidFill>
                    <a:schemeClr val="tx1"/>
                  </a:solidFill>
                </a:rPr>
                <a:t>,</a:t>
              </a:r>
            </a:p>
            <a:p>
              <a:r>
                <a:rPr lang="en-GB" sz="1400" baseline="0">
                  <a:solidFill>
                    <a:schemeClr val="tx1"/>
                  </a:solidFill>
                </a:rPr>
                <a:t>Pipeline model parallelism (layer-to-layer)</a:t>
              </a:r>
            </a:p>
            <a:p>
              <a:endParaRPr lang="en-GB" sz="1400" baseline="0">
                <a:solidFill>
                  <a:schemeClr val="tx1"/>
                </a:solidFill>
              </a:endParaRPr>
            </a:p>
            <a:p>
              <a14:m>
                <m:oMath xmlns:m="http://schemas.openxmlformats.org/officeDocument/2006/math">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𝑒𝑟𝑟</m:t>
                          </m:r>
                        </m:e>
                        <m:sub>
                          <m:r>
                            <a:rPr lang="en-US" sz="1100" b="0" i="1" baseline="0">
                              <a:solidFill>
                                <a:srgbClr val="FF0000"/>
                              </a:solidFill>
                              <a:effectLst/>
                              <a:latin typeface="Cambria Math" panose="02040503050406030204" pitchFamily="18" charset="0"/>
                              <a:ea typeface="+mn-ea"/>
                              <a:cs typeface="+mn-cs"/>
                            </a:rPr>
                            <m:t>𝑖𝑛𝑡𝑒𝑟</m:t>
                          </m:r>
                        </m:sub>
                      </m:sSub>
                    </m:sub>
                  </m:sSub>
                  <m:d>
                    <m:dPr>
                      <m:ctrlPr>
                        <a:rPr lang="en-US" sz="1100" b="0" i="1" baseline="0">
                          <a:solidFill>
                            <a:srgbClr val="FF0000"/>
                          </a:solidFill>
                          <a:effectLst/>
                          <a:latin typeface="Cambria Math" panose="02040503050406030204" pitchFamily="18" charset="0"/>
                          <a:ea typeface="+mn-ea"/>
                          <a:cs typeface="+mn-cs"/>
                        </a:rPr>
                      </m:ctrlPr>
                    </m:dPr>
                    <m:e>
                      <m:r>
                        <a:rPr lang="en-US" sz="1100" b="0" i="1" baseline="0">
                          <a:solidFill>
                            <a:srgbClr val="FF0000"/>
                          </a:solidFill>
                          <a:effectLst/>
                          <a:latin typeface="Cambria Math" panose="02040503050406030204" pitchFamily="18" charset="0"/>
                          <a:ea typeface="+mn-ea"/>
                          <a:cs typeface="+mn-cs"/>
                        </a:rPr>
                        <m:t>𝑙</m:t>
                      </m:r>
                      <m:r>
                        <a:rPr lang="en-US" sz="1100" b="0" i="1" baseline="0">
                          <a:solidFill>
                            <a:srgbClr val="FF0000"/>
                          </a:solidFill>
                          <a:effectLst/>
                          <a:latin typeface="Cambria Math" panose="02040503050406030204" pitchFamily="18" charset="0"/>
                          <a:ea typeface="+mn-ea"/>
                          <a:cs typeface="+mn-cs"/>
                        </a:rPr>
                        <m:t>,</m:t>
                      </m:r>
                      <m:r>
                        <a:rPr lang="en-US" sz="1100" b="0" i="1" baseline="0">
                          <a:solidFill>
                            <a:srgbClr val="FF0000"/>
                          </a:solidFill>
                          <a:effectLst/>
                          <a:latin typeface="Cambria Math" panose="02040503050406030204" pitchFamily="18" charset="0"/>
                          <a:ea typeface="+mn-ea"/>
                          <a:cs typeface="+mn-cs"/>
                        </a:rPr>
                        <m:t>𝑐𝑜𝑚</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𝑚</m:t>
                          </m:r>
                        </m:e>
                        <m:sub>
                          <m:r>
                            <a:rPr lang="en-US" sz="1100" b="0" i="1" baseline="0">
                              <a:solidFill>
                                <a:srgbClr val="FF0000"/>
                              </a:solidFill>
                              <a:effectLst/>
                              <a:latin typeface="Cambria Math" panose="02040503050406030204" pitchFamily="18" charset="0"/>
                              <a:ea typeface="+mn-ea"/>
                              <a:cs typeface="+mn-cs"/>
                            </a:rPr>
                            <m:t>𝑡𝑦𝑝𝑒</m:t>
                          </m:r>
                        </m:sub>
                      </m:sSub>
                    </m:e>
                  </m:d>
                  <m:r>
                    <a:rPr lang="en-US" sz="1100" b="0" i="1" baseline="0">
                      <a:solidFill>
                        <a:srgbClr val="FF0000"/>
                      </a:solidFill>
                      <a:effectLst/>
                      <a:latin typeface="Cambria Math" panose="02040503050406030204" pitchFamily="18" charset="0"/>
                      <a:ea typeface="+mn-ea"/>
                      <a:cs typeface="+mn-cs"/>
                    </a:rPr>
                    <m:t>=</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𝑒𝑟𝑟</m:t>
                      </m:r>
                    </m:sub>
                  </m:sSub>
                  <m:r>
                    <a:rPr lang="en-US" sz="1100" b="0" i="1" baseline="0">
                      <a:solidFill>
                        <a:srgbClr val="FF0000"/>
                      </a:solidFill>
                      <a:effectLst/>
                      <a:latin typeface="Cambria Math" panose="02040503050406030204" pitchFamily="18" charset="0"/>
                      <a:ea typeface="+mn-ea"/>
                      <a:cs typeface="+mn-cs"/>
                    </a:rPr>
                    <m:t>∗[</m:t>
                  </m:r>
                  <m:f>
                    <m:fPr>
                      <m:ctrlPr>
                        <a:rPr lang="en-US" sz="1100" b="0" i="1" baseline="0">
                          <a:solidFill>
                            <a:srgbClr val="FF0000"/>
                          </a:solidFill>
                          <a:effectLst/>
                          <a:latin typeface="Cambria Math" panose="02040503050406030204" pitchFamily="18" charset="0"/>
                          <a:ea typeface="+mn-ea"/>
                          <a:cs typeface="+mn-cs"/>
                        </a:rPr>
                      </m:ctrlPr>
                    </m:fPr>
                    <m:num>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𝑃</m:t>
                          </m:r>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𝑃</m:t>
                              </m:r>
                            </m:e>
                            <m:sub>
                              <m:r>
                                <a:rPr lang="en-US" sz="1100" b="0" i="1" baseline="0">
                                  <a:solidFill>
                                    <a:srgbClr val="FF0000"/>
                                  </a:solidFill>
                                  <a:effectLst/>
                                  <a:latin typeface="Cambria Math" panose="02040503050406030204" pitchFamily="18" charset="0"/>
                                  <a:ea typeface="+mn-ea"/>
                                  <a:cs typeface="+mn-cs"/>
                                </a:rPr>
                                <m:t>𝑖𝑛𝑡𝑒𝑟</m:t>
                              </m:r>
                            </m:sub>
                          </m:sSub>
                          <m:r>
                            <a:rPr lang="en-US" sz="1100" b="0" i="1" baseline="0">
                              <a:solidFill>
                                <a:srgbClr val="FF0000"/>
                              </a:solidFill>
                              <a:effectLst/>
                              <a:latin typeface="Cambria Math" panose="02040503050406030204" pitchFamily="18" charset="0"/>
                              <a:ea typeface="+mn-ea"/>
                              <a:cs typeface="+mn-cs"/>
                            </a:rPr>
                            <m:t>−1</m:t>
                          </m:r>
                        </m:sub>
                      </m:sSub>
                    </m:num>
                    <m:den>
                      <m:sSub>
                        <m:sSubPr>
                          <m:ctrlPr>
                            <a:rPr lang="en-US" sz="1100" b="0" i="1" baseline="0">
                              <a:solidFill>
                                <a:srgbClr val="FF0000"/>
                              </a:solidFill>
                              <a:effectLst/>
                              <a:latin typeface="Cambria Math" panose="02040503050406030204" pitchFamily="18" charset="0"/>
                              <a:ea typeface="+mn-ea"/>
                              <a:cs typeface="+mn-cs"/>
                            </a:rPr>
                          </m:ctrlPr>
                        </m:sSubPr>
                        <m:e>
                          <m:r>
                            <a:rPr lang="en-US" sz="1100" b="0" i="1" baseline="0">
                              <a:solidFill>
                                <a:srgbClr val="FF0000"/>
                              </a:solidFill>
                              <a:effectLst/>
                              <a:latin typeface="Cambria Math" panose="02040503050406030204" pitchFamily="18" charset="0"/>
                              <a:ea typeface="+mn-ea"/>
                              <a:cs typeface="+mn-cs"/>
                            </a:rPr>
                            <m:t>𝑁</m:t>
                          </m:r>
                        </m:e>
                        <m:sub>
                          <m:r>
                            <a:rPr lang="en-US" sz="1100" b="0" i="1" baseline="0">
                              <a:solidFill>
                                <a:srgbClr val="FF0000"/>
                              </a:solidFill>
                              <a:effectLst/>
                              <a:latin typeface="Cambria Math" panose="02040503050406030204" pitchFamily="18" charset="0"/>
                              <a:ea typeface="+mn-ea"/>
                              <a:cs typeface="+mn-cs"/>
                            </a:rPr>
                            <m:t>𝑃𝑃</m:t>
                          </m:r>
                        </m:sub>
                      </m:sSub>
                      <m:r>
                        <a:rPr lang="en-US" sz="1100" b="0" i="1" baseline="0">
                          <a:solidFill>
                            <a:srgbClr val="FF0000"/>
                          </a:solidFill>
                          <a:effectLst/>
                          <a:latin typeface="Cambria Math" panose="02040503050406030204" pitchFamily="18" charset="0"/>
                          <a:ea typeface="+mn-ea"/>
                          <a:cs typeface="+mn-cs"/>
                        </a:rPr>
                        <m:t>−1</m:t>
                      </m:r>
                    </m:den>
                  </m:f>
                  <m:r>
                    <a:rPr lang="en-US" sz="1100" b="0" i="1" baseline="0">
                      <a:solidFill>
                        <a:srgbClr val="FF0000"/>
                      </a:solidFill>
                      <a:effectLst/>
                      <a:latin typeface="Cambria Math" panose="02040503050406030204" pitchFamily="18" charset="0"/>
                      <a:ea typeface="+mn-ea"/>
                      <a:cs typeface="+mn-cs"/>
                    </a:rPr>
                    <m:t>]</m:t>
                  </m:r>
                </m:oMath>
              </a14:m>
              <a:r>
                <a:rPr lang="en-US" sz="1100" b="0" i="1" baseline="0">
                  <a:solidFill>
                    <a:srgbClr val="FF0000"/>
                  </a:solidFill>
                  <a:effectLst/>
                  <a:latin typeface="+mn-lt"/>
                  <a:ea typeface="+mn-ea"/>
                  <a:cs typeface="+mn-cs"/>
                </a:rPr>
                <a:t>   </a:t>
              </a:r>
            </a:p>
          </xdr:txBody>
        </xdr:sp>
      </mc:Choice>
      <mc:Fallback xmlns="">
        <xdr:sp macro="" textlink="">
          <xdr:nvSpPr>
            <xdr:cNvPr id="91" name="TextBox 90">
              <a:extLst>
                <a:ext uri="{FF2B5EF4-FFF2-40B4-BE49-F238E27FC236}">
                  <a16:creationId xmlns:a16="http://schemas.microsoft.com/office/drawing/2014/main" id="{50453730-CE93-40EA-8AAD-0E9CE5C12B74}"/>
                </a:ext>
              </a:extLst>
            </xdr:cNvPr>
            <xdr:cNvSpPr txBox="1"/>
          </xdr:nvSpPr>
          <xdr:spPr>
            <a:xfrm>
              <a:off x="3425976" y="71661563"/>
              <a:ext cx="17848035" cy="105650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𝑏_𝑃𝑃_𝑖𝑛𝑡𝑒𝑟</a:t>
              </a:r>
              <a:r>
                <a:rPr lang="en-US" sz="1400" b="0" i="0" baseline="0">
                  <a:solidFill>
                    <a:schemeClr val="tx1"/>
                  </a:solidFill>
                  <a:latin typeface="Cambria Math" panose="02040503050406030204" pitchFamily="18" charset="0"/>
                </a:rPr>
                <a:t>(𝑙)= </a:t>
              </a:r>
              <a:r>
                <a:rPr lang="en-US" sz="1400" b="0" i="0">
                  <a:solidFill>
                    <a:schemeClr val="tx1"/>
                  </a:solidFill>
                  <a:latin typeface="Cambria Math" panose="02040503050406030204" pitchFamily="18" charset="0"/>
                </a:rPr>
                <a:t> 1</a:t>
              </a:r>
              <a:r>
                <a:rPr lang="en-US" sz="1400" b="0" i="0" baseline="0">
                  <a:solidFill>
                    <a:schemeClr val="tx1"/>
                  </a:solidFill>
                  <a:latin typeface="Cambria Math" panose="02040503050406030204" pitchFamily="18" charset="0"/>
                </a:rPr>
                <a:t>/</a:t>
              </a:r>
              <a:r>
                <a:rPr lang="en-US" sz="1400" b="0" i="0">
                  <a:solidFill>
                    <a:schemeClr val="tx1"/>
                  </a:solidFill>
                  <a:latin typeface="Cambria Math" panose="02040503050406030204" pitchFamily="18" charset="0"/>
                </a:rPr>
                <a:t>𝐿</a:t>
              </a:r>
              <a:r>
                <a:rPr lang="en-US" sz="1100" b="0" i="0">
                  <a:solidFill>
                    <a:schemeClr val="tx1"/>
                  </a:solidFill>
                  <a:effectLst/>
                  <a:latin typeface="Cambria Math" panose="02040503050406030204" pitchFamily="18" charset="0"/>
                  <a:ea typeface="+mn-ea"/>
                  <a:cs typeface="+mn-cs"/>
                </a:rPr>
                <a:t> [𝐶_𝑖𝑛𝑡𝑒𝑟</a:t>
              </a:r>
              <a:r>
                <a:rPr lang="en-GB" sz="1100" b="0" i="0" baseline="0">
                  <a:solidFill>
                    <a:schemeClr val="tx1"/>
                  </a:solidFill>
                  <a:effectLst/>
                  <a:latin typeface="Cambria Math" panose="02040503050406030204" pitchFamily="18" charset="0"/>
                  <a:ea typeface="+mn-ea"/>
                  <a:cs typeface="+mn-cs"/>
                </a:rPr>
                <a:t> </a:t>
              </a:r>
              <a:r>
                <a:rPr lang="en-GB" sz="1100" i="0" baseline="0">
                  <a:solidFill>
                    <a:schemeClr val="tx1"/>
                  </a:solidFill>
                  <a:effectLst/>
                  <a:latin typeface="Cambria Math" panose="02040503050406030204" pitchFamily="18" charset="0"/>
                  <a:ea typeface="+mn-ea"/>
                  <a:cs typeface="+mn-cs"/>
                </a:rPr>
                <a:t> + 𝑁_</a:t>
              </a:r>
              <a:r>
                <a:rPr lang="en-US" sz="1100" b="0" i="0" baseline="0">
                  <a:solidFill>
                    <a:schemeClr val="tx1"/>
                  </a:solidFill>
                  <a:effectLst/>
                  <a:latin typeface="Cambria Math" panose="02040503050406030204" pitchFamily="18" charset="0"/>
                  <a:ea typeface="+mn-ea"/>
                  <a:cs typeface="+mn-cs"/>
                </a:rPr>
                <a:t>𝑒𝑟𝑟 (𝑙)∗ 𝑆_𝑒𝑟𝑟</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𝐵𝑊_𝑖𝑛𝑡𝑒𝑟 </a:t>
              </a:r>
              <a:r>
                <a:rPr lang="en-GB" sz="1100" b="0" i="0" baseline="0">
                  <a:solidFill>
                    <a:schemeClr val="tx1"/>
                  </a:solidFill>
                  <a:effectLst/>
                  <a:latin typeface="Cambria Math" panose="02040503050406030204" pitchFamily="18" charset="0"/>
                  <a:ea typeface="+mn-ea"/>
                  <a:cs typeface="+mn-cs"/>
                </a:rPr>
                <a:t>) </a:t>
              </a:r>
              <a:r>
                <a:rPr lang="en-GB" sz="1100" i="0" baseline="0">
                  <a:solidFill>
                    <a:schemeClr val="tx1"/>
                  </a:solidFill>
                  <a:effectLst/>
                  <a:latin typeface="Cambria Math" panose="02040503050406030204" pitchFamily="18" charset="0"/>
                  <a:ea typeface="+mn-ea"/>
                  <a:cs typeface="+mn-cs"/>
                </a:rPr>
                <a:t> ]</a:t>
              </a:r>
              <a:r>
                <a:rPr lang="en-GB" sz="1400" baseline="0">
                  <a:solidFill>
                    <a:schemeClr val="tx1"/>
                  </a:solidFill>
                </a:rPr>
                <a:t>,</a:t>
              </a:r>
            </a:p>
            <a:p>
              <a:r>
                <a:rPr lang="en-GB" sz="1400" baseline="0">
                  <a:solidFill>
                    <a:schemeClr val="tx1"/>
                  </a:solidFill>
                </a:rPr>
                <a:t>Pipeline model parallelism (layer-to-layer)</a:t>
              </a:r>
            </a:p>
            <a:p>
              <a:endParaRPr lang="en-GB" sz="1400" baseline="0">
                <a:solidFill>
                  <a:schemeClr val="tx1"/>
                </a:solidFill>
              </a:endParaRPr>
            </a:p>
            <a:p>
              <a:r>
                <a:rPr lang="en-US" sz="1100" b="0" i="0" baseline="0">
                  <a:solidFill>
                    <a:srgbClr val="FF0000"/>
                  </a:solidFill>
                  <a:effectLst/>
                  <a:latin typeface="Cambria Math" panose="02040503050406030204" pitchFamily="18" charset="0"/>
                  <a:ea typeface="+mn-ea"/>
                  <a:cs typeface="+mn-cs"/>
                </a:rPr>
                <a:t>𝑁_(〖𝑒𝑟𝑟〗_𝑖𝑛𝑡𝑒𝑟 ) (𝑙,𝑐𝑜𝑚𝑚_𝑡𝑦𝑝𝑒 )=𝑁_𝑒𝑟𝑟∗[𝑁_(𝑃𝑃_𝑖𝑛𝑡𝑒𝑟−1)/(𝑁_𝑃𝑃−1)]</a:t>
              </a:r>
              <a:r>
                <a:rPr lang="en-US" sz="1100" b="0" i="1" baseline="0">
                  <a:solidFill>
                    <a:srgbClr val="FF0000"/>
                  </a:solidFill>
                  <a:effectLst/>
                  <a:latin typeface="+mn-lt"/>
                  <a:ea typeface="+mn-ea"/>
                  <a:cs typeface="+mn-cs"/>
                </a:rPr>
                <a:t>   </a:t>
              </a:r>
            </a:p>
          </xdr:txBody>
        </xdr:sp>
      </mc:Fallback>
    </mc:AlternateContent>
    <xdr:clientData/>
  </xdr:oneCellAnchor>
  <xdr:oneCellAnchor>
    <xdr:from>
      <xdr:col>1</xdr:col>
      <xdr:colOff>0</xdr:colOff>
      <xdr:row>67</xdr:row>
      <xdr:rowOff>0</xdr:rowOff>
    </xdr:from>
    <xdr:ext cx="4018643" cy="489857"/>
    <mc:AlternateContent xmlns:mc="http://schemas.openxmlformats.org/markup-compatibility/2006" xmlns:a14="http://schemas.microsoft.com/office/drawing/2010/main">
      <mc:Choice Requires="a14">
        <xdr:sp macro="" textlink="">
          <xdr:nvSpPr>
            <xdr:cNvPr id="473" name="TextBox 76">
              <a:extLst>
                <a:ext uri="{FF2B5EF4-FFF2-40B4-BE49-F238E27FC236}">
                  <a16:creationId xmlns:a16="http://schemas.microsoft.com/office/drawing/2014/main" id="{0B692A42-8EF5-4964-9BBA-D2A005C31958}"/>
                </a:ext>
              </a:extLst>
            </xdr:cNvPr>
            <xdr:cNvSpPr txBox="1"/>
          </xdr:nvSpPr>
          <xdr:spPr>
            <a:xfrm>
              <a:off x="3255065" y="31689261"/>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𝐶</m:t>
                      </m:r>
                    </m:e>
                    <m:sub>
                      <m:r>
                        <a:rPr lang="en-US" sz="1400" b="0" i="1">
                          <a:solidFill>
                            <a:sysClr val="windowText" lastClr="000000"/>
                          </a:solidFill>
                          <a:latin typeface="Cambria Math" panose="02040503050406030204" pitchFamily="18" charset="0"/>
                        </a:rPr>
                        <m:t>𝑛𝑜𝑛𝑙𝑖𝑛</m:t>
                      </m:r>
                    </m:sub>
                  </m:sSub>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1</m:t>
                      </m:r>
                    </m:num>
                    <m:den>
                      <m:r>
                        <a:rPr lang="en-US" sz="1400" b="0" i="1">
                          <a:solidFill>
                            <a:sysClr val="windowText" lastClr="000000"/>
                          </a:solidFill>
                          <a:latin typeface="Cambria Math" panose="02040503050406030204" pitchFamily="18" charset="0"/>
                        </a:rPr>
                        <m:t>𝑓</m:t>
                      </m:r>
                      <m:r>
                        <a:rPr lang="en-US" sz="1400" b="0" i="1">
                          <a:solidFill>
                            <a:sysClr val="windowText" lastClr="000000"/>
                          </a:solidFill>
                          <a:latin typeface="Cambria Math" panose="02040503050406030204" pitchFamily="18" charset="0"/>
                        </a:rPr>
                        <m:t> ∗ </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𝑁</m:t>
                          </m:r>
                        </m:e>
                        <m:sub>
                          <m:r>
                            <a:rPr lang="en-US" sz="1400" b="0" i="1">
                              <a:solidFill>
                                <a:sysClr val="windowText" lastClr="000000"/>
                              </a:solidFill>
                              <a:latin typeface="Cambria Math" panose="02040503050406030204" pitchFamily="18" charset="0"/>
                            </a:rPr>
                            <m:t>𝐹𝑈</m:t>
                          </m:r>
                          <m:r>
                            <a:rPr lang="en-US" sz="1400" b="0" i="1">
                              <a:solidFill>
                                <a:sysClr val="windowText" lastClr="000000"/>
                              </a:solidFill>
                              <a:latin typeface="Cambria Math" panose="02040503050406030204" pitchFamily="18" charset="0"/>
                            </a:rPr>
                            <m:t>_</m:t>
                          </m:r>
                          <m:r>
                            <a:rPr lang="en-US" sz="1400" b="0" i="1">
                              <a:solidFill>
                                <a:sysClr val="windowText" lastClr="000000"/>
                              </a:solidFill>
                              <a:latin typeface="Cambria Math" panose="02040503050406030204" pitchFamily="18" charset="0"/>
                            </a:rPr>
                            <m:t>𝑛𝑜𝑛𝑙𝑖𝑛</m:t>
                          </m:r>
                        </m:sub>
                      </m:sSub>
                      <m:r>
                        <a:rPr lang="en-US" sz="1400" b="0" i="1">
                          <a:solidFill>
                            <a:sysClr val="windowText" lastClr="000000"/>
                          </a:solidFill>
                          <a:latin typeface="Cambria Math" panose="02040503050406030204" pitchFamily="18" charset="0"/>
                        </a:rPr>
                        <m:t> </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𝑊</m:t>
                          </m:r>
                        </m:e>
                        <m:sub>
                          <m:r>
                            <a:rPr lang="en-US" sz="1400" b="0" i="1">
                              <a:solidFill>
                                <a:sysClr val="windowText" lastClr="000000"/>
                              </a:solidFill>
                              <a:latin typeface="Cambria Math" panose="02040503050406030204" pitchFamily="18" charset="0"/>
                            </a:rPr>
                            <m:t>𝐹𝑈</m:t>
                          </m:r>
                          <m:r>
                            <a:rPr lang="en-US" sz="1400" b="0" i="1">
                              <a:solidFill>
                                <a:sysClr val="windowText" lastClr="000000"/>
                              </a:solidFill>
                              <a:latin typeface="Cambria Math" panose="02040503050406030204" pitchFamily="18" charset="0"/>
                            </a:rPr>
                            <m:t>_</m:t>
                          </m:r>
                          <m:r>
                            <a:rPr lang="en-US" sz="1400" b="0" i="1">
                              <a:solidFill>
                                <a:sysClr val="windowText" lastClr="000000"/>
                              </a:solidFill>
                              <a:latin typeface="Cambria Math" panose="02040503050406030204" pitchFamily="18" charset="0"/>
                            </a:rPr>
                            <m:t>𝑛𝑜𝑛𝑙𝑖𝑛</m:t>
                          </m:r>
                        </m:sub>
                      </m:sSub>
                    </m:den>
                  </m:f>
                </m:oMath>
              </a14:m>
              <a:r>
                <a:rPr lang="en-GB" sz="1400" i="1"/>
                <a:t>  </a:t>
              </a:r>
            </a:p>
          </xdr:txBody>
        </xdr:sp>
      </mc:Choice>
      <mc:Fallback xmlns="">
        <xdr:sp macro="" textlink="">
          <xdr:nvSpPr>
            <xdr:cNvPr id="473" name="TextBox 76">
              <a:extLst>
                <a:ext uri="{FF2B5EF4-FFF2-40B4-BE49-F238E27FC236}">
                  <a16:creationId xmlns:a16="http://schemas.microsoft.com/office/drawing/2014/main" id="{0B692A42-8EF5-4964-9BBA-D2A005C31958}"/>
                </a:ext>
              </a:extLst>
            </xdr:cNvPr>
            <xdr:cNvSpPr txBox="1"/>
          </xdr:nvSpPr>
          <xdr:spPr>
            <a:xfrm>
              <a:off x="3407833" y="30469417"/>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𝐶_𝑛𝑜𝑛𝑙𝑖𝑛=1/(𝑓 ∗ 𝑁_(𝐹𝑈_𝑛𝑜𝑛𝑙𝑖𝑛)  〖∗𝑊〗_(𝐹𝑈_𝑛𝑜𝑛𝑙𝑖𝑛) )</a:t>
              </a:r>
              <a:r>
                <a:rPr lang="en-GB" sz="1400" i="1"/>
                <a:t>  </a:t>
              </a:r>
            </a:p>
          </xdr:txBody>
        </xdr:sp>
      </mc:Fallback>
    </mc:AlternateContent>
    <xdr:clientData/>
  </xdr:oneCellAnchor>
  <xdr:oneCellAnchor>
    <xdr:from>
      <xdr:col>1</xdr:col>
      <xdr:colOff>35983</xdr:colOff>
      <xdr:row>232</xdr:row>
      <xdr:rowOff>6247</xdr:rowOff>
    </xdr:from>
    <xdr:ext cx="7878837" cy="790223"/>
    <mc:AlternateContent xmlns:mc="http://schemas.openxmlformats.org/markup-compatibility/2006" xmlns:a14="http://schemas.microsoft.com/office/drawing/2010/main">
      <mc:Choice Requires="a14">
        <xdr:sp macro="" textlink="">
          <xdr:nvSpPr>
            <xdr:cNvPr id="16" name="TextBox 90">
              <a:extLst>
                <a:ext uri="{FF2B5EF4-FFF2-40B4-BE49-F238E27FC236}">
                  <a16:creationId xmlns:a16="http://schemas.microsoft.com/office/drawing/2014/main" id="{10FE0F9A-9BA9-41CF-8AAE-78AADBCEE31F}"/>
                </a:ext>
              </a:extLst>
            </xdr:cNvPr>
            <xdr:cNvSpPr txBox="1"/>
          </xdr:nvSpPr>
          <xdr:spPr>
            <a:xfrm>
              <a:off x="3291048" y="92655508"/>
              <a:ext cx="7878837" cy="79022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100" b="0" i="1">
                          <a:solidFill>
                            <a:sysClr val="windowText" lastClr="000000"/>
                          </a:solidFill>
                          <a:latin typeface="Cambria Math" panose="02040503050406030204" pitchFamily="18" charset="0"/>
                        </a:rPr>
                      </m:ctrlPr>
                    </m:sSubPr>
                    <m:e>
                      <m:r>
                        <a:rPr lang="en-US" sz="1100" b="0" i="1">
                          <a:solidFill>
                            <a:sysClr val="windowText" lastClr="000000"/>
                          </a:solidFill>
                          <a:latin typeface="Cambria Math" panose="02040503050406030204" pitchFamily="18" charset="0"/>
                        </a:rPr>
                        <m:t>𝑀</m:t>
                      </m:r>
                    </m:e>
                    <m:sub>
                      <m:sSub>
                        <m:sSubPr>
                          <m:ctrlPr>
                            <a:rPr lang="en-US" sz="1100" b="0" i="1">
                              <a:solidFill>
                                <a:sysClr val="windowText" lastClr="000000"/>
                              </a:solidFill>
                              <a:latin typeface="Cambria Math" panose="02040503050406030204" pitchFamily="18" charset="0"/>
                            </a:rPr>
                          </m:ctrlPr>
                        </m:sSubPr>
                        <m:e>
                          <m:r>
                            <a:rPr lang="en-US" sz="1100" b="0" i="1">
                              <a:solidFill>
                                <a:sysClr val="windowText" lastClr="000000"/>
                              </a:solidFill>
                              <a:latin typeface="Cambria Math" panose="02040503050406030204" pitchFamily="18" charset="0"/>
                            </a:rPr>
                            <m:t>𝑏</m:t>
                          </m:r>
                        </m:e>
                        <m:sub>
                          <m:r>
                            <a:rPr lang="en-US" sz="1100" b="0" i="1">
                              <a:solidFill>
                                <a:sysClr val="windowText" lastClr="000000"/>
                              </a:solidFill>
                              <a:latin typeface="Cambria Math" panose="02040503050406030204" pitchFamily="18" charset="0"/>
                            </a:rPr>
                            <m:t>𝐷</m:t>
                          </m:r>
                          <m:sSub>
                            <m:sSubPr>
                              <m:ctrlPr>
                                <a:rPr lang="en-US" sz="1100" b="0" i="1">
                                  <a:solidFill>
                                    <a:sysClr val="windowText" lastClr="000000"/>
                                  </a:solidFill>
                                  <a:latin typeface="Cambria Math" panose="02040503050406030204" pitchFamily="18" charset="0"/>
                                </a:rPr>
                              </m:ctrlPr>
                            </m:sSubPr>
                            <m:e>
                              <m:r>
                                <a:rPr lang="en-US" sz="1100" b="0" i="1">
                                  <a:solidFill>
                                    <a:sysClr val="windowText" lastClr="000000"/>
                                  </a:solidFill>
                                  <a:latin typeface="Cambria Math" panose="02040503050406030204" pitchFamily="18" charset="0"/>
                                </a:rPr>
                                <m:t>𝑃</m:t>
                              </m:r>
                            </m:e>
                            <m:sub>
                              <m:r>
                                <a:rPr lang="en-US" sz="1100" b="0" i="1">
                                  <a:solidFill>
                                    <a:sysClr val="windowText" lastClr="000000"/>
                                  </a:solidFill>
                                  <a:latin typeface="Cambria Math" panose="02040503050406030204" pitchFamily="18" charset="0"/>
                                </a:rPr>
                                <m:t>𝑖𝑛𝑡𝑟𝑎</m:t>
                              </m:r>
                            </m:sub>
                          </m:sSub>
                        </m:sub>
                      </m:sSub>
                    </m:sub>
                  </m:sSub>
                  <m:d>
                    <m:dPr>
                      <m:ctrlPr>
                        <a:rPr lang="en-US" sz="1100" b="0" i="1">
                          <a:solidFill>
                            <a:sysClr val="windowText" lastClr="000000"/>
                          </a:solidFill>
                          <a:latin typeface="Cambria Math" panose="02040503050406030204" pitchFamily="18" charset="0"/>
                        </a:rPr>
                      </m:ctrlPr>
                    </m:dPr>
                    <m:e>
                      <m:r>
                        <a:rPr lang="en-US" sz="1100" b="0" i="1">
                          <a:solidFill>
                            <a:sysClr val="windowText" lastClr="000000"/>
                          </a:solidFill>
                          <a:latin typeface="Cambria Math" panose="02040503050406030204" pitchFamily="18" charset="0"/>
                        </a:rPr>
                        <m:t>𝑙</m:t>
                      </m:r>
                    </m:e>
                  </m:d>
                </m:oMath>
              </a14:m>
              <a:r>
                <a:rPr lang="en-GB" sz="1100" baseline="0">
                  <a:solidFill>
                    <a:srgbClr val="FF0000"/>
                  </a:solidFill>
                </a:rPr>
                <a:t> </a:t>
              </a:r>
              <a:r>
                <a:rPr lang="en-GB" sz="1100" baseline="0">
                  <a:solidFill>
                    <a:sysClr val="windowText" lastClr="000000"/>
                  </a:solidFill>
                </a:rPr>
                <a:t>= </a:t>
              </a:r>
              <a14:m>
                <m:oMath xmlns:m="http://schemas.openxmlformats.org/officeDocument/2006/math">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𝑖𝑛𝑡𝑟𝑎</m:t>
                      </m:r>
                    </m:sub>
                  </m:sSub>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𝑡𝑜𝑝</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𝑜</m:t>
                          </m:r>
                        </m:e>
                        <m:sub>
                          <m:r>
                            <a:rPr lang="en-US" sz="1100" b="0" i="1" baseline="0">
                              <a:solidFill>
                                <a:schemeClr val="tx1"/>
                              </a:solidFill>
                              <a:effectLst/>
                              <a:latin typeface="Cambria Math" panose="02040503050406030204" pitchFamily="18" charset="0"/>
                              <a:ea typeface="+mn-ea"/>
                              <a:cs typeface="+mn-cs"/>
                            </a:rPr>
                            <m:t>𝑖𝑛𝑡𝑟𝑎</m:t>
                          </m:r>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𝐷</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en-US" sz="1100" b="0" i="1">
                              <a:solidFill>
                                <a:schemeClr val="tx1"/>
                              </a:solidFill>
                              <a:effectLst/>
                              <a:latin typeface="Cambria Math" panose="02040503050406030204" pitchFamily="18" charset="0"/>
                              <a:ea typeface="+mn-ea"/>
                              <a:cs typeface="+mn-cs"/>
                            </a:rPr>
                            <m:t>𝑖𝑛𝑡𝑟𝑎</m:t>
                          </m:r>
                        </m:sub>
                      </m:sSub>
                    </m:sub>
                  </m:sSub>
                  <m:r>
                    <a:rPr lang="en-GB" sz="1100" i="1" baseline="0">
                      <a:solidFill>
                        <a:schemeClr val="tx1"/>
                      </a:solidFill>
                      <a:effectLst/>
                      <a:latin typeface="Cambria Math" panose="02040503050406030204" pitchFamily="18" charset="0"/>
                      <a:ea typeface="+mn-ea"/>
                      <a:cs typeface="+mn-cs"/>
                    </a:rPr>
                    <m:t>   + </m:t>
                  </m:r>
                  <m:sSub>
                    <m:sSubPr>
                      <m:ctrlPr>
                        <a:rPr lang="en-GB" sz="1100" i="1" baseline="0">
                          <a:solidFill>
                            <a:schemeClr val="tx1"/>
                          </a:solidFill>
                          <a:effectLst/>
                          <a:latin typeface="Cambria Math" panose="02040503050406030204" pitchFamily="18" charset="0"/>
                          <a:ea typeface="+mn-ea"/>
                          <a:cs typeface="+mn-cs"/>
                        </a:rPr>
                      </m:ctrlPr>
                    </m:sSubPr>
                    <m:e>
                      <m:r>
                        <a:rPr lang="en-GB" sz="1100" i="1" baseline="0">
                          <a:solidFill>
                            <a:schemeClr val="tx1"/>
                          </a:solidFill>
                          <a:effectLst/>
                          <a:latin typeface="Cambria Math" panose="02040503050406030204" pitchFamily="18" charset="0"/>
                          <a:ea typeface="+mn-ea"/>
                          <a:cs typeface="+mn-cs"/>
                        </a:rPr>
                        <m:t>𝑁</m:t>
                      </m:r>
                    </m:e>
                    <m:sub>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𝑔𝑟𝑎𝑑𝑖𝑒𝑛𝑡𝑠</m:t>
                          </m:r>
                        </m:e>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e>
                  </m:d>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𝑒𝑟𝑟</m:t>
                          </m:r>
                        </m:sub>
                      </m:sSub>
                    </m:num>
                    <m:den>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𝑖𝑛𝑡𝑟𝑎</m:t>
                          </m:r>
                        </m:sub>
                      </m:sSub>
                    </m:den>
                  </m:f>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𝑡𝑜𝑝</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𝑜</m:t>
                          </m:r>
                        </m:e>
                        <m:sub>
                          <m:r>
                            <a:rPr lang="en-US" sz="1100" b="0" i="1" baseline="0">
                              <a:solidFill>
                                <a:schemeClr val="tx1"/>
                              </a:solidFill>
                              <a:effectLst/>
                              <a:latin typeface="Cambria Math" panose="02040503050406030204" pitchFamily="18" charset="0"/>
                              <a:ea typeface="+mn-ea"/>
                              <a:cs typeface="+mn-cs"/>
                            </a:rPr>
                            <m:t>𝑖𝑛𝑡𝑟𝑎</m:t>
                          </m:r>
                        </m:sub>
                      </m:sSub>
                    </m:sub>
                  </m:sSub>
                </m:oMath>
              </a14:m>
              <a:endParaRPr lang="en-GB" sz="1100" baseline="0">
                <a:solidFill>
                  <a:srgbClr val="FF0000"/>
                </a:solidFill>
              </a:endParaRPr>
            </a:p>
          </xdr:txBody>
        </xdr:sp>
      </mc:Choice>
      <mc:Fallback xmlns="">
        <xdr:sp macro="" textlink="">
          <xdr:nvSpPr>
            <xdr:cNvPr id="16" name="TextBox 90">
              <a:extLst>
                <a:ext uri="{FF2B5EF4-FFF2-40B4-BE49-F238E27FC236}">
                  <a16:creationId xmlns:a16="http://schemas.microsoft.com/office/drawing/2014/main" id="{10FE0F9A-9BA9-41CF-8AAE-78AADBCEE31F}"/>
                </a:ext>
              </a:extLst>
            </xdr:cNvPr>
            <xdr:cNvSpPr txBox="1"/>
          </xdr:nvSpPr>
          <xdr:spPr>
            <a:xfrm>
              <a:off x="3291048" y="92655508"/>
              <a:ext cx="7878837" cy="79022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solidFill>
                    <a:sysClr val="windowText" lastClr="000000"/>
                  </a:solidFill>
                  <a:latin typeface="Cambria Math" panose="02040503050406030204" pitchFamily="18" charset="0"/>
                </a:rPr>
                <a:t>𝑀_(𝑏_(𝐷𝑃_𝑖𝑛𝑡𝑟𝑎 ) ) (𝑙)</a:t>
              </a:r>
              <a:r>
                <a:rPr lang="en-GB" sz="1100" baseline="0">
                  <a:solidFill>
                    <a:srgbClr val="FF0000"/>
                  </a:solidFill>
                </a:rPr>
                <a:t> </a:t>
              </a:r>
              <a:r>
                <a:rPr lang="en-GB" sz="1100" baseline="0">
                  <a:solidFill>
                    <a:sysClr val="windowText" lastClr="000000"/>
                  </a:solidFill>
                </a:rPr>
                <a:t>= </a:t>
              </a:r>
              <a:r>
                <a:rPr lang="en-US" sz="1100" b="0" i="0">
                  <a:solidFill>
                    <a:schemeClr val="tx1"/>
                  </a:solidFill>
                  <a:effectLst/>
                  <a:latin typeface="+mn-lt"/>
                  <a:ea typeface="+mn-ea"/>
                  <a:cs typeface="+mn-cs"/>
                </a:rPr>
                <a:t>𝐶_𝑖𝑛𝑡𝑟𝑎</a:t>
              </a:r>
              <a:r>
                <a:rPr lang="en-US" sz="1100" b="0" i="0" baseline="0">
                  <a:solidFill>
                    <a:schemeClr val="tx1"/>
                  </a:solidFill>
                  <a:effectLst/>
                  <a:latin typeface="+mn-lt"/>
                  <a:ea typeface="+mn-ea"/>
                  <a:cs typeface="+mn-cs"/>
                </a:rPr>
                <a:t>∗𝑁_(𝑡𝑜𝑝𝑜_𝑖𝑛𝑡𝑟𝑎 )</a:t>
              </a:r>
              <a:r>
                <a:rPr lang="en-US" sz="1100" b="0" i="0">
                  <a:solidFill>
                    <a:schemeClr val="tx1"/>
                  </a:solidFill>
                  <a:effectLst/>
                  <a:latin typeface="+mn-lt"/>
                  <a:ea typeface="+mn-ea"/>
                  <a:cs typeface="+mn-cs"/>
                </a:rPr>
                <a:t>∗𝑁_(𝐷𝑃_𝑖𝑛𝑡𝑟𝑎 )</a:t>
              </a:r>
              <a:r>
                <a:rPr lang="en-GB" sz="1100" b="0" i="0" baseline="0">
                  <a:solidFill>
                    <a:schemeClr val="tx1"/>
                  </a:solidFill>
                  <a:effectLst/>
                  <a:latin typeface="+mn-lt"/>
                  <a:ea typeface="+mn-ea"/>
                  <a:cs typeface="+mn-cs"/>
                </a:rPr>
                <a:t> </a:t>
              </a:r>
              <a:r>
                <a:rPr lang="en-GB" sz="1100" i="0" baseline="0">
                  <a:solidFill>
                    <a:schemeClr val="tx1"/>
                  </a:solidFill>
                  <a:effectLst/>
                  <a:latin typeface="+mn-lt"/>
                  <a:ea typeface="+mn-ea"/>
                  <a:cs typeface="+mn-cs"/>
                </a:rPr>
                <a:t>   + 𝑁_(</a:t>
              </a:r>
              <a:r>
                <a:rPr lang="en-US" sz="1100" b="0" i="0" baseline="0">
                  <a:solidFill>
                    <a:schemeClr val="tx1"/>
                  </a:solidFill>
                  <a:effectLst/>
                  <a:latin typeface="+mn-lt"/>
                  <a:ea typeface="+mn-ea"/>
                  <a:cs typeface="+mn-cs"/>
                </a:rPr>
                <a:t>〖𝑔𝑟𝑎𝑑𝑖𝑒𝑛𝑡𝑠〗_ </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 (𝑙)∗  𝑆_𝑒𝑟𝑟</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𝐵𝑊_𝑖𝑛𝑡𝑟𝑎 </a:t>
              </a:r>
              <a:r>
                <a:rPr lang="en-GB" sz="1100" b="0" i="0" baseline="0">
                  <a:solidFill>
                    <a:schemeClr val="tx1"/>
                  </a:solidFill>
                  <a:effectLst/>
                  <a:latin typeface="+mn-lt"/>
                  <a:ea typeface="+mn-ea"/>
                  <a:cs typeface="+mn-cs"/>
                </a:rPr>
                <a:t>)</a:t>
              </a:r>
              <a:r>
                <a:rPr lang="en-US" sz="1100" b="0" i="0" baseline="0">
                  <a:solidFill>
                    <a:schemeClr val="tx1"/>
                  </a:solidFill>
                  <a:effectLst/>
                  <a:latin typeface="+mn-lt"/>
                  <a:ea typeface="+mn-ea"/>
                  <a:cs typeface="+mn-cs"/>
                </a:rPr>
                <a:t>∗𝑁_(𝑡𝑜𝑝𝑜_𝑖𝑛𝑡𝑟𝑎 )</a:t>
              </a:r>
              <a:endParaRPr lang="en-GB" sz="1100" baseline="0">
                <a:solidFill>
                  <a:srgbClr val="FF0000"/>
                </a:solidFill>
              </a:endParaRPr>
            </a:p>
          </xdr:txBody>
        </xdr:sp>
      </mc:Fallback>
    </mc:AlternateContent>
    <xdr:clientData/>
  </xdr:oneCellAnchor>
  <xdr:oneCellAnchor>
    <xdr:from>
      <xdr:col>1</xdr:col>
      <xdr:colOff>35984</xdr:colOff>
      <xdr:row>242</xdr:row>
      <xdr:rowOff>6247</xdr:rowOff>
    </xdr:from>
    <xdr:ext cx="6464829" cy="790223"/>
    <mc:AlternateContent xmlns:mc="http://schemas.openxmlformats.org/markup-compatibility/2006" xmlns:a14="http://schemas.microsoft.com/office/drawing/2010/main">
      <mc:Choice Requires="a14">
        <xdr:sp macro="" textlink="">
          <xdr:nvSpPr>
            <xdr:cNvPr id="6" name="TextBox 90">
              <a:extLst>
                <a:ext uri="{FF2B5EF4-FFF2-40B4-BE49-F238E27FC236}">
                  <a16:creationId xmlns:a16="http://schemas.microsoft.com/office/drawing/2014/main" id="{7B1F6297-7C33-4E7B-AFFF-3FBDB95C7510}"/>
                </a:ext>
              </a:extLst>
            </xdr:cNvPr>
            <xdr:cNvSpPr txBox="1"/>
          </xdr:nvSpPr>
          <xdr:spPr>
            <a:xfrm>
              <a:off x="3449109" y="82548310"/>
              <a:ext cx="6464829" cy="79022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left"/>
                  </m:oMathParaPr>
                  <m:oMath xmlns:m="http://schemas.openxmlformats.org/officeDocument/2006/math">
                    <m:sSub>
                      <m:sSubPr>
                        <m:ctrlPr>
                          <a:rPr lang="en-US" sz="1100" b="0" i="1">
                            <a:solidFill>
                              <a:sysClr val="windowText" lastClr="000000"/>
                            </a:solidFill>
                            <a:latin typeface="Cambria Math" panose="02040503050406030204" pitchFamily="18" charset="0"/>
                          </a:rPr>
                        </m:ctrlPr>
                      </m:sSubPr>
                      <m:e>
                        <m:r>
                          <a:rPr lang="en-US" sz="1100" b="0" i="1">
                            <a:solidFill>
                              <a:sysClr val="windowText" lastClr="000000"/>
                            </a:solidFill>
                            <a:latin typeface="Cambria Math" panose="02040503050406030204" pitchFamily="18" charset="0"/>
                          </a:rPr>
                          <m:t>𝑀</m:t>
                        </m:r>
                      </m:e>
                      <m:sub>
                        <m:r>
                          <a:rPr lang="en-US" sz="1100" b="0" i="1">
                            <a:solidFill>
                              <a:sysClr val="windowText" lastClr="000000"/>
                            </a:solidFill>
                            <a:latin typeface="Cambria Math" panose="02040503050406030204" pitchFamily="18" charset="0"/>
                          </a:rPr>
                          <m:t>𝑏</m:t>
                        </m:r>
                        <m:r>
                          <a:rPr lang="en-US" sz="1100" b="0" i="1">
                            <a:solidFill>
                              <a:sysClr val="windowText" lastClr="000000"/>
                            </a:solidFill>
                            <a:latin typeface="Cambria Math" panose="02040503050406030204" pitchFamily="18" charset="0"/>
                          </a:rPr>
                          <m:t>_</m:t>
                        </m:r>
                        <m:r>
                          <a:rPr lang="en-US" sz="1100" b="0" i="1">
                            <a:solidFill>
                              <a:sysClr val="windowText" lastClr="000000"/>
                            </a:solidFill>
                            <a:latin typeface="Cambria Math" panose="02040503050406030204" pitchFamily="18" charset="0"/>
                          </a:rPr>
                          <m:t>𝐷𝑃</m:t>
                        </m:r>
                        <m:r>
                          <a:rPr lang="en-US" sz="1100" b="0" i="1">
                            <a:solidFill>
                              <a:sysClr val="windowText" lastClr="000000"/>
                            </a:solidFill>
                            <a:latin typeface="Cambria Math" panose="02040503050406030204" pitchFamily="18" charset="0"/>
                          </a:rPr>
                          <m:t>_</m:t>
                        </m:r>
                        <m:r>
                          <a:rPr lang="en-US" sz="1100" b="0" i="1">
                            <a:solidFill>
                              <a:sysClr val="windowText" lastClr="000000"/>
                            </a:solidFill>
                            <a:latin typeface="Cambria Math" panose="02040503050406030204" pitchFamily="18" charset="0"/>
                          </a:rPr>
                          <m:t>𝑖𝑛𝑡𝑒𝑟</m:t>
                        </m:r>
                      </m:sub>
                    </m:sSub>
                    <m:r>
                      <a:rPr lang="en-US" sz="1100" b="0" i="1" baseline="0">
                        <a:solidFill>
                          <a:sysClr val="windowText" lastClr="000000"/>
                        </a:solidFill>
                        <a:latin typeface="Cambria Math" panose="02040503050406030204" pitchFamily="18" charset="0"/>
                      </a:rPr>
                      <m:t>= </m:t>
                    </m:r>
                    <m:r>
                      <a:rPr lang="en-GB" sz="1100" i="1">
                        <a:solidFill>
                          <a:sysClr val="windowText" lastClr="000000"/>
                        </a:solidFill>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𝑖𝑛𝑡𝑒𝑟</m:t>
                        </m:r>
                      </m:sub>
                    </m:sSub>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𝑡𝑜𝑝</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𝑜</m:t>
                            </m:r>
                          </m:e>
                          <m:sub>
                            <m:r>
                              <a:rPr lang="en-US" sz="1100" b="0" i="1" baseline="0">
                                <a:solidFill>
                                  <a:schemeClr val="tx1"/>
                                </a:solidFill>
                                <a:effectLst/>
                                <a:latin typeface="Cambria Math" panose="02040503050406030204" pitchFamily="18" charset="0"/>
                                <a:ea typeface="+mn-ea"/>
                                <a:cs typeface="+mn-cs"/>
                              </a:rPr>
                              <m:t>𝑖𝑛𝑡𝑒𝑟</m:t>
                            </m:r>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𝐷</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en-US" sz="1100" b="0" i="1">
                                <a:solidFill>
                                  <a:schemeClr val="tx1"/>
                                </a:solidFill>
                                <a:effectLst/>
                                <a:latin typeface="Cambria Math" panose="02040503050406030204" pitchFamily="18" charset="0"/>
                                <a:ea typeface="+mn-ea"/>
                                <a:cs typeface="+mn-cs"/>
                              </a:rPr>
                              <m:t>𝑖𝑛𝑡𝑒𝑟</m:t>
                            </m:r>
                          </m:sub>
                        </m:sSub>
                      </m:sub>
                    </m:sSub>
                    <m:r>
                      <a:rPr lang="en-GB" sz="1100" i="1" baseline="0">
                        <a:solidFill>
                          <a:schemeClr val="tx1"/>
                        </a:solidFill>
                        <a:effectLst/>
                        <a:latin typeface="Cambria Math" panose="02040503050406030204" pitchFamily="18" charset="0"/>
                        <a:ea typeface="+mn-ea"/>
                        <a:cs typeface="+mn-cs"/>
                      </a:rPr>
                      <m:t>   + </m:t>
                    </m:r>
                    <m:sSub>
                      <m:sSubPr>
                        <m:ctrlPr>
                          <a:rPr lang="en-GB" sz="1100" i="1" baseline="0">
                            <a:solidFill>
                              <a:schemeClr val="tx1"/>
                            </a:solidFill>
                            <a:effectLst/>
                            <a:latin typeface="Cambria Math" panose="02040503050406030204" pitchFamily="18" charset="0"/>
                            <a:ea typeface="+mn-ea"/>
                            <a:cs typeface="+mn-cs"/>
                          </a:rPr>
                        </m:ctrlPr>
                      </m:sSubPr>
                      <m:e>
                        <m:r>
                          <a:rPr lang="en-GB" sz="1100" i="1" baseline="0">
                            <a:solidFill>
                              <a:schemeClr val="tx1"/>
                            </a:solidFill>
                            <a:effectLst/>
                            <a:latin typeface="Cambria Math" panose="02040503050406030204" pitchFamily="18" charset="0"/>
                            <a:ea typeface="+mn-ea"/>
                            <a:cs typeface="+mn-cs"/>
                          </a:rPr>
                          <m:t>𝑁</m:t>
                        </m:r>
                      </m:e>
                      <m:sub>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𝑔𝑟𝑎𝑑𝑖𝑒𝑛𝑡𝑠</m:t>
                            </m:r>
                          </m:e>
                          <m:sub/>
                        </m:sSub>
                      </m:sub>
                    </m:sSub>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𝑙</m:t>
                        </m:r>
                      </m:e>
                    </m:d>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𝑒𝑟𝑟</m:t>
                            </m:r>
                          </m:sub>
                        </m:sSub>
                      </m:num>
                      <m:den>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𝑖𝑛𝑡𝑒𝑟</m:t>
                            </m:r>
                          </m:sub>
                        </m:sSub>
                      </m:den>
                    </m:f>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𝑡𝑜𝑝</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𝑜</m:t>
                            </m:r>
                          </m:e>
                          <m:sub>
                            <m:r>
                              <a:rPr lang="en-US" sz="1100" b="0" i="1" baseline="0">
                                <a:solidFill>
                                  <a:schemeClr val="tx1"/>
                                </a:solidFill>
                                <a:effectLst/>
                                <a:latin typeface="Cambria Math" panose="02040503050406030204" pitchFamily="18" charset="0"/>
                                <a:ea typeface="+mn-ea"/>
                                <a:cs typeface="+mn-cs"/>
                              </a:rPr>
                              <m:t>𝑖𝑛𝑡𝑒𝑟</m:t>
                            </m:r>
                          </m:sub>
                        </m:sSub>
                      </m:sub>
                    </m:sSub>
                  </m:oMath>
                </m:oMathPara>
              </a14:m>
              <a:endParaRPr lang="en-GB" sz="1100" baseline="0">
                <a:solidFill>
                  <a:sysClr val="windowText" lastClr="000000"/>
                </a:solidFill>
              </a:endParaRPr>
            </a:p>
          </xdr:txBody>
        </xdr:sp>
      </mc:Choice>
      <mc:Fallback xmlns="">
        <xdr:sp macro="" textlink="">
          <xdr:nvSpPr>
            <xdr:cNvPr id="6" name="TextBox 90">
              <a:extLst>
                <a:ext uri="{FF2B5EF4-FFF2-40B4-BE49-F238E27FC236}">
                  <a16:creationId xmlns:a16="http://schemas.microsoft.com/office/drawing/2014/main" id="{7B1F6297-7C33-4E7B-AFFF-3FBDB95C7510}"/>
                </a:ext>
              </a:extLst>
            </xdr:cNvPr>
            <xdr:cNvSpPr txBox="1"/>
          </xdr:nvSpPr>
          <xdr:spPr>
            <a:xfrm>
              <a:off x="3449109" y="82548310"/>
              <a:ext cx="6464829" cy="79022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solidFill>
                    <a:sysClr val="windowText" lastClr="000000"/>
                  </a:solidFill>
                  <a:latin typeface="Cambria Math" panose="02040503050406030204" pitchFamily="18" charset="0"/>
                </a:rPr>
                <a:t>𝑀_(𝑏_𝐷𝑃_𝑖𝑛𝑡𝑒𝑟)</a:t>
              </a:r>
              <a:r>
                <a:rPr lang="en-US" sz="1100" b="0" i="0" baseline="0">
                  <a:solidFill>
                    <a:sysClr val="windowText" lastClr="000000"/>
                  </a:solidFill>
                  <a:latin typeface="Cambria Math" panose="02040503050406030204" pitchFamily="18" charset="0"/>
                </a:rPr>
                <a:t>= </a:t>
              </a:r>
              <a:r>
                <a:rPr lang="en-GB" sz="1100" i="0">
                  <a:solidFill>
                    <a:sysClr val="windowText" lastClr="000000"/>
                  </a:solidFill>
                  <a:latin typeface="Cambria Math" panose="02040503050406030204" pitchFamily="18" charset="0"/>
                </a:rPr>
                <a:t> </a:t>
              </a:r>
              <a:r>
                <a:rPr lang="en-US" sz="1100" b="0" i="0">
                  <a:solidFill>
                    <a:schemeClr val="tx1"/>
                  </a:solidFill>
                  <a:effectLst/>
                  <a:latin typeface="Cambria Math" panose="02040503050406030204" pitchFamily="18" charset="0"/>
                  <a:ea typeface="+mn-ea"/>
                  <a:cs typeface="+mn-cs"/>
                </a:rPr>
                <a:t>𝐶_𝑖𝑛𝑡𝑒𝑟</a:t>
              </a:r>
              <a:r>
                <a:rPr lang="en-US" sz="1100" b="0" i="0" baseline="0">
                  <a:solidFill>
                    <a:schemeClr val="tx1"/>
                  </a:solidFill>
                  <a:effectLst/>
                  <a:latin typeface="Cambria Math" panose="02040503050406030204" pitchFamily="18" charset="0"/>
                  <a:ea typeface="+mn-ea"/>
                  <a:cs typeface="+mn-cs"/>
                </a:rPr>
                <a:t>∗𝑁_(𝑡𝑜𝑝𝑜_𝑖𝑛𝑡𝑒𝑟 )</a:t>
              </a:r>
              <a:r>
                <a:rPr lang="en-US" sz="1100" b="0" i="0">
                  <a:solidFill>
                    <a:schemeClr val="tx1"/>
                  </a:solidFill>
                  <a:effectLst/>
                  <a:latin typeface="Cambria Math" panose="02040503050406030204" pitchFamily="18" charset="0"/>
                  <a:ea typeface="+mn-ea"/>
                  <a:cs typeface="+mn-cs"/>
                </a:rPr>
                <a:t>∗𝑁_(𝐷𝑃_𝑖𝑛𝑡𝑒𝑟 )</a:t>
              </a:r>
              <a:r>
                <a:rPr lang="en-GB" sz="1100" b="0" i="0" baseline="0">
                  <a:solidFill>
                    <a:schemeClr val="tx1"/>
                  </a:solidFill>
                  <a:effectLst/>
                  <a:latin typeface="Cambria Math" panose="02040503050406030204" pitchFamily="18" charset="0"/>
                  <a:ea typeface="+mn-ea"/>
                  <a:cs typeface="+mn-cs"/>
                </a:rPr>
                <a:t> </a:t>
              </a:r>
              <a:r>
                <a:rPr lang="en-GB" sz="1100" i="0" baseline="0">
                  <a:solidFill>
                    <a:schemeClr val="tx1"/>
                  </a:solidFill>
                  <a:effectLst/>
                  <a:latin typeface="Cambria Math" panose="02040503050406030204" pitchFamily="18" charset="0"/>
                  <a:ea typeface="+mn-ea"/>
                  <a:cs typeface="+mn-cs"/>
                </a:rPr>
                <a:t>   + 𝑁_(</a:t>
              </a:r>
              <a:r>
                <a:rPr lang="en-US" sz="1100" b="0" i="0" baseline="0">
                  <a:solidFill>
                    <a:schemeClr val="tx1"/>
                  </a:solidFill>
                  <a:effectLst/>
                  <a:latin typeface="Cambria Math" panose="02040503050406030204" pitchFamily="18" charset="0"/>
                  <a:ea typeface="+mn-ea"/>
                  <a:cs typeface="+mn-cs"/>
                </a:rPr>
                <a:t>〖𝑔𝑟𝑎𝑑𝑖𝑒𝑛𝑡𝑠〗_ </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 (𝑙)∗  𝑆_𝑒𝑟𝑟</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𝐵𝑊_𝑖𝑛𝑡𝑒𝑟 </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∗𝑁_(𝑡𝑜𝑝𝑜_𝑖𝑛𝑡𝑒𝑟 )</a:t>
              </a:r>
              <a:endParaRPr lang="en-GB" sz="1100" baseline="0">
                <a:solidFill>
                  <a:sysClr val="windowText" lastClr="000000"/>
                </a:solidFill>
              </a:endParaRPr>
            </a:p>
          </xdr:txBody>
        </xdr:sp>
      </mc:Fallback>
    </mc:AlternateContent>
    <xdr:clientData/>
  </xdr:oneCellAnchor>
  <xdr:oneCellAnchor>
    <xdr:from>
      <xdr:col>1</xdr:col>
      <xdr:colOff>35984</xdr:colOff>
      <xdr:row>224</xdr:row>
      <xdr:rowOff>6247</xdr:rowOff>
    </xdr:from>
    <xdr:ext cx="6610350" cy="790223"/>
    <mc:AlternateContent xmlns:mc="http://schemas.openxmlformats.org/markup-compatibility/2006" xmlns:a14="http://schemas.microsoft.com/office/drawing/2010/main">
      <mc:Choice Requires="a14">
        <xdr:sp macro="" textlink="">
          <xdr:nvSpPr>
            <xdr:cNvPr id="35" name="TextBox 90">
              <a:extLst>
                <a:ext uri="{FF2B5EF4-FFF2-40B4-BE49-F238E27FC236}">
                  <a16:creationId xmlns:a16="http://schemas.microsoft.com/office/drawing/2014/main" id="{FF0FAF70-32FD-4C8A-A836-7A6EAACA3902}"/>
                </a:ext>
              </a:extLst>
            </xdr:cNvPr>
            <xdr:cNvSpPr txBox="1"/>
          </xdr:nvSpPr>
          <xdr:spPr>
            <a:xfrm>
              <a:off x="3291049" y="89491551"/>
              <a:ext cx="6610350" cy="79022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0" i="1">
                            <a:solidFill>
                              <a:sysClr val="windowText" lastClr="000000"/>
                            </a:solidFill>
                            <a:latin typeface="Cambria Math" panose="02040503050406030204" pitchFamily="18" charset="0"/>
                          </a:rPr>
                        </m:ctrlPr>
                      </m:sSubPr>
                      <m:e>
                        <m:r>
                          <a:rPr lang="en-US" sz="1100" b="0" i="1">
                            <a:solidFill>
                              <a:sysClr val="windowText" lastClr="000000"/>
                            </a:solidFill>
                            <a:latin typeface="Cambria Math" panose="02040503050406030204" pitchFamily="18" charset="0"/>
                          </a:rPr>
                          <m:t>𝑀</m:t>
                        </m:r>
                      </m:e>
                      <m:sub>
                        <m:r>
                          <a:rPr lang="en-US" sz="1100" b="0" i="1">
                            <a:solidFill>
                              <a:sysClr val="windowText" lastClr="000000"/>
                            </a:solidFill>
                            <a:latin typeface="Cambria Math" panose="02040503050406030204" pitchFamily="18" charset="0"/>
                          </a:rPr>
                          <m:t>𝑏</m:t>
                        </m:r>
                        <m:r>
                          <a:rPr lang="en-US" sz="1100" b="0" i="1">
                            <a:solidFill>
                              <a:sysClr val="windowText" lastClr="000000"/>
                            </a:solidFill>
                            <a:latin typeface="Cambria Math" panose="02040503050406030204" pitchFamily="18" charset="0"/>
                          </a:rPr>
                          <m:t>_</m:t>
                        </m:r>
                        <m:r>
                          <a:rPr lang="en-US" sz="1100" b="0" i="1">
                            <a:solidFill>
                              <a:sysClr val="windowText" lastClr="000000"/>
                            </a:solidFill>
                            <a:latin typeface="Cambria Math" panose="02040503050406030204" pitchFamily="18" charset="0"/>
                          </a:rPr>
                          <m:t>𝐷𝑃</m:t>
                        </m:r>
                      </m:sub>
                    </m:sSub>
                    <m:r>
                      <a:rPr lang="en-US" sz="1100" b="0" i="1" baseline="0">
                        <a:solidFill>
                          <a:sysClr val="windowText" lastClr="000000"/>
                        </a:solidFill>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𝑅</m:t>
                        </m:r>
                      </m:e>
                      <m:sub>
                        <m:r>
                          <a:rPr lang="en-US" sz="1100" b="0" i="1">
                            <a:solidFill>
                              <a:schemeClr val="tx1"/>
                            </a:solidFill>
                            <a:effectLst/>
                            <a:latin typeface="Cambria Math" panose="02040503050406030204" pitchFamily="18" charset="0"/>
                            <a:ea typeface="+mn-ea"/>
                            <a:cs typeface="+mn-cs"/>
                          </a:rPr>
                          <m:t>𝑛𝑜𝑛𝑜𝑣𝑒𝑟𝑙𝑎𝑝𝑝𝑖𝑛𝑔</m:t>
                        </m:r>
                      </m:sub>
                    </m:sSub>
                    <m:r>
                      <a:rPr lang="en-US" sz="1100" b="0" i="1">
                        <a:solidFill>
                          <a:schemeClr val="tx1"/>
                        </a:solidFill>
                        <a:effectLst/>
                        <a:latin typeface="Cambria Math" panose="02040503050406030204" pitchFamily="18" charset="0"/>
                        <a:ea typeface="+mn-ea"/>
                        <a:cs typeface="+mn-cs"/>
                      </a:rPr>
                      <m:t>∗</m:t>
                    </m:r>
                    <m:d>
                      <m:dPr>
                        <m:begChr m:val="["/>
                        <m:endChr m:val="]"/>
                        <m:ctrlPr>
                          <a:rPr lang="en-US" sz="1100" b="0" i="1">
                            <a:solidFill>
                              <a:schemeClr val="tx1"/>
                            </a:solidFill>
                            <a:effectLst/>
                            <a:latin typeface="Cambria Math" panose="02040503050406030204" pitchFamily="18" charset="0"/>
                            <a:ea typeface="+mn-ea"/>
                            <a:cs typeface="+mn-cs"/>
                          </a:rPr>
                        </m:ctrlPr>
                      </m:dPr>
                      <m:e>
                        <m:r>
                          <a:rPr lang="en-GB" sz="1100" i="1">
                            <a:solidFill>
                              <a:sysClr val="windowText" lastClr="000000"/>
                            </a:solidFill>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𝑏</m:t>
                                </m:r>
                              </m:e>
                              <m:sub>
                                <m:r>
                                  <a:rPr lang="en-US" sz="1100" b="0" i="1">
                                    <a:solidFill>
                                      <a:schemeClr val="tx1"/>
                                    </a:solidFill>
                                    <a:effectLst/>
                                    <a:latin typeface="Cambria Math" panose="02040503050406030204" pitchFamily="18" charset="0"/>
                                    <a:ea typeface="+mn-ea"/>
                                    <a:cs typeface="+mn-cs"/>
                                  </a:rPr>
                                  <m:t>𝐷</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en-US" sz="1100" b="0" i="1">
                                        <a:solidFill>
                                          <a:schemeClr val="tx1"/>
                                        </a:solidFill>
                                        <a:effectLst/>
                                        <a:latin typeface="Cambria Math" panose="02040503050406030204" pitchFamily="18" charset="0"/>
                                        <a:ea typeface="+mn-ea"/>
                                        <a:cs typeface="+mn-cs"/>
                                      </a:rPr>
                                      <m:t>𝑖𝑛𝑡𝑟𝑎</m:t>
                                    </m:r>
                                  </m:sub>
                                </m:sSub>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𝑏</m:t>
                                </m:r>
                              </m:e>
                              <m:sub>
                                <m:r>
                                  <a:rPr lang="en-US" sz="1100" b="0" i="1">
                                    <a:solidFill>
                                      <a:schemeClr val="tx1"/>
                                    </a:solidFill>
                                    <a:effectLst/>
                                    <a:latin typeface="Cambria Math" panose="02040503050406030204" pitchFamily="18" charset="0"/>
                                    <a:ea typeface="+mn-ea"/>
                                    <a:cs typeface="+mn-cs"/>
                                  </a:rPr>
                                  <m:t>𝐷</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en-US" sz="1100" b="0" i="1">
                                        <a:solidFill>
                                          <a:schemeClr val="tx1"/>
                                        </a:solidFill>
                                        <a:effectLst/>
                                        <a:latin typeface="Cambria Math" panose="02040503050406030204" pitchFamily="18" charset="0"/>
                                        <a:ea typeface="+mn-ea"/>
                                        <a:cs typeface="+mn-cs"/>
                                      </a:rPr>
                                      <m:t>𝑖𝑛𝑡𝑒𝑟</m:t>
                                    </m:r>
                                  </m:sub>
                                </m:sSub>
                              </m:sub>
                            </m:sSub>
                          </m:sub>
                        </m:sSub>
                      </m:e>
                    </m:d>
                  </m:oMath>
                </m:oMathPara>
              </a14:m>
              <a:endParaRPr lang="en-GB" sz="1100" baseline="0">
                <a:solidFill>
                  <a:srgbClr val="FF0000"/>
                </a:solidFill>
              </a:endParaRPr>
            </a:p>
          </xdr:txBody>
        </xdr:sp>
      </mc:Choice>
      <mc:Fallback xmlns="">
        <xdr:sp macro="" textlink="">
          <xdr:nvSpPr>
            <xdr:cNvPr id="35" name="TextBox 90">
              <a:extLst>
                <a:ext uri="{FF2B5EF4-FFF2-40B4-BE49-F238E27FC236}">
                  <a16:creationId xmlns:a16="http://schemas.microsoft.com/office/drawing/2014/main" id="{FF0FAF70-32FD-4C8A-A836-7A6EAACA3902}"/>
                </a:ext>
              </a:extLst>
            </xdr:cNvPr>
            <xdr:cNvSpPr txBox="1"/>
          </xdr:nvSpPr>
          <xdr:spPr>
            <a:xfrm>
              <a:off x="3291049" y="89491551"/>
              <a:ext cx="6610350" cy="79022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solidFill>
                    <a:sysClr val="windowText" lastClr="000000"/>
                  </a:solidFill>
                  <a:latin typeface="Cambria Math" panose="02040503050406030204" pitchFamily="18" charset="0"/>
                </a:rPr>
                <a:t>𝑀_(𝑏_𝐷𝑃)</a:t>
              </a:r>
              <a:r>
                <a:rPr lang="en-US" sz="1100" b="0" i="0" baseline="0">
                  <a:solidFill>
                    <a:sysClr val="windowText" lastClr="000000"/>
                  </a:solidFill>
                  <a:latin typeface="Cambria Math" panose="02040503050406030204" pitchFamily="18" charset="0"/>
                </a:rPr>
                <a:t>= </a:t>
              </a:r>
              <a:r>
                <a:rPr lang="en-US" sz="1100" b="0" i="0">
                  <a:solidFill>
                    <a:schemeClr val="tx1"/>
                  </a:solidFill>
                  <a:effectLst/>
                  <a:latin typeface="+mn-lt"/>
                  <a:ea typeface="+mn-ea"/>
                  <a:cs typeface="+mn-cs"/>
                </a:rPr>
                <a:t>𝑅_𝑛𝑜𝑛𝑜𝑣𝑒𝑟𝑙𝑎𝑝𝑝𝑖𝑛𝑔∗</a:t>
              </a:r>
              <a:r>
                <a:rPr lang="en-US" sz="1100" b="0" i="0">
                  <a:solidFill>
                    <a:schemeClr val="tx1"/>
                  </a:solidFill>
                  <a:effectLst/>
                  <a:latin typeface="Cambria Math" panose="02040503050406030204" pitchFamily="18" charset="0"/>
                  <a:ea typeface="+mn-ea"/>
                  <a:cs typeface="+mn-cs"/>
                </a:rPr>
                <a:t>[</a:t>
              </a:r>
              <a:r>
                <a:rPr lang="en-GB" sz="1100" i="0">
                  <a:solidFill>
                    <a:sysClr val="windowText" lastClr="000000"/>
                  </a:solidFill>
                  <a:latin typeface="Cambria Math" panose="02040503050406030204" pitchFamily="18" charset="0"/>
                </a:rPr>
                <a:t> </a:t>
              </a:r>
              <a:r>
                <a:rPr lang="en-US" sz="1100" b="0" i="0">
                  <a:solidFill>
                    <a:schemeClr val="tx1"/>
                  </a:solidFill>
                  <a:effectLst/>
                  <a:latin typeface="Cambria Math" panose="02040503050406030204" pitchFamily="18" charset="0"/>
                  <a:ea typeface="+mn-ea"/>
                  <a:cs typeface="+mn-cs"/>
                </a:rPr>
                <a:t>𝑀_(𝑏_(𝐷𝑃_𝑖𝑛𝑡𝑟𝑎 ) )+𝑀_(𝑏_(𝐷𝑃_𝑖𝑛𝑡𝑒𝑟 ) ) ]</a:t>
              </a:r>
              <a:endParaRPr lang="en-GB" sz="1100" baseline="0">
                <a:solidFill>
                  <a:srgbClr val="FF0000"/>
                </a:solidFill>
              </a:endParaRPr>
            </a:p>
          </xdr:txBody>
        </xdr:sp>
      </mc:Fallback>
    </mc:AlternateContent>
    <xdr:clientData/>
  </xdr:oneCellAnchor>
  <xdr:oneCellAnchor>
    <xdr:from>
      <xdr:col>1</xdr:col>
      <xdr:colOff>26217</xdr:colOff>
      <xdr:row>26</xdr:row>
      <xdr:rowOff>4233</xdr:rowOff>
    </xdr:from>
    <xdr:ext cx="8430328" cy="774333"/>
    <mc:AlternateContent xmlns:mc="http://schemas.openxmlformats.org/markup-compatibility/2006" xmlns:a14="http://schemas.microsoft.com/office/drawing/2010/main">
      <mc:Choice Requires="a14">
        <xdr:sp macro="" textlink="">
          <xdr:nvSpPr>
            <xdr:cNvPr id="18" name="TextBox 2">
              <a:extLst>
                <a:ext uri="{FF2B5EF4-FFF2-40B4-BE49-F238E27FC236}">
                  <a16:creationId xmlns:a16="http://schemas.microsoft.com/office/drawing/2014/main" id="{4A1D8E3E-27C2-4002-828E-285865827A71}"/>
                </a:ext>
              </a:extLst>
            </xdr:cNvPr>
            <xdr:cNvSpPr txBox="1"/>
          </xdr:nvSpPr>
          <xdr:spPr>
            <a:xfrm>
              <a:off x="3281282" y="19957037"/>
              <a:ext cx="8430328" cy="774333"/>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GB" sz="1100"/>
            </a:p>
            <a:p>
              <a14:m>
                <m:oMath xmlns:m="http://schemas.openxmlformats.org/officeDocument/2006/math">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𝑇</m:t>
                      </m:r>
                    </m:e>
                    <m:sub>
                      <m:r>
                        <a:rPr lang="en-US" sz="1100" b="0" i="1">
                          <a:solidFill>
                            <a:schemeClr val="tx1"/>
                          </a:solidFill>
                          <a:effectLst/>
                          <a:latin typeface="Cambria Math" panose="02040503050406030204" pitchFamily="18" charset="0"/>
                          <a:ea typeface="+mn-ea"/>
                          <a:cs typeface="+mn-cs"/>
                        </a:rPr>
                        <m:t>𝑤𝑎𝑖𝑡</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𝑅</m:t>
                          </m:r>
                        </m:e>
                        <m:sub>
                          <m:r>
                            <a:rPr lang="en-US" sz="1100" b="0" i="1">
                              <a:solidFill>
                                <a:schemeClr val="tx1"/>
                              </a:solidFill>
                              <a:effectLst/>
                              <a:latin typeface="Cambria Math" panose="02040503050406030204" pitchFamily="18" charset="0"/>
                              <a:ea typeface="+mn-ea"/>
                              <a:cs typeface="+mn-cs"/>
                            </a:rPr>
                            <m:t>𝑛𝑜𝑛𝑜𝑣𝑒𝑟𝑙𝑎𝑝𝑝𝑖𝑛𝑔</m:t>
                          </m:r>
                        </m:sub>
                      </m:sSub>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𝑃𝑃</m:t>
                      </m:r>
                    </m:sub>
                  </m:sSub>
                  <m:r>
                    <a:rPr lang="en-US" sz="1100" b="0" i="1">
                      <a:solidFill>
                        <a:schemeClr val="tx1"/>
                      </a:solidFill>
                      <a:effectLst/>
                      <a:latin typeface="Cambria Math" panose="02040503050406030204" pitchFamily="18" charset="0"/>
                      <a:ea typeface="+mn-ea"/>
                      <a:cs typeface="+mn-cs"/>
                    </a:rPr>
                    <m:t>−1 )/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𝑢𝑏𝑎𝑡𝑐h</m:t>
                      </m:r>
                    </m:sub>
                  </m:sSub>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𝑓</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𝑏</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1</m:t>
                      </m:r>
                    </m:num>
                    <m:den>
                      <m:r>
                        <a:rPr lang="en-US" sz="1100" b="0" i="1">
                          <a:solidFill>
                            <a:srgbClr val="FF0000"/>
                          </a:solidFill>
                          <a:effectLst/>
                          <a:latin typeface="Cambria Math" panose="02040503050406030204" pitchFamily="18" charset="0"/>
                          <a:ea typeface="+mn-ea"/>
                          <a:cs typeface="+mn-cs"/>
                        </a:rPr>
                        <m:t>𝐿</m:t>
                      </m:r>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𝑇𝑃</m:t>
                          </m:r>
                        </m:sub>
                      </m:sSub>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𝐷𝑃</m:t>
                              </m:r>
                            </m:sub>
                          </m:sSub>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𝑃𝑃</m:t>
                          </m:r>
                          <m:r>
                            <a:rPr lang="en-US" sz="1100" b="0" i="1">
                              <a:solidFill>
                                <a:schemeClr val="tx1"/>
                              </a:solidFill>
                              <a:effectLst/>
                              <a:latin typeface="Cambria Math" panose="02040503050406030204" pitchFamily="18" charset="0"/>
                              <a:ea typeface="+mn-ea"/>
                              <a:cs typeface="+mn-cs"/>
                            </a:rPr>
                            <m:t> </m:t>
                          </m:r>
                        </m:sub>
                      </m:sSub>
                    </m:den>
                  </m:f>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r>
                        <a:rPr lang="en-US" sz="1100" b="0" i="1">
                          <a:solidFill>
                            <a:schemeClr val="tx1"/>
                          </a:solidFill>
                          <a:effectLst/>
                          <a:latin typeface="Cambria Math" panose="02040503050406030204" pitchFamily="18" charset="0"/>
                          <a:ea typeface="+mn-ea"/>
                          <a:cs typeface="+mn-cs"/>
                        </a:rPr>
                        <m:t>𝑏</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r>
                        <a:rPr lang="en-US" sz="1100" b="0" i="1">
                          <a:solidFill>
                            <a:schemeClr val="tx1"/>
                          </a:solidFill>
                          <a:effectLst/>
                          <a:latin typeface="Cambria Math" panose="02040503050406030204" pitchFamily="18" charset="0"/>
                          <a:ea typeface="+mn-ea"/>
                          <a:cs typeface="+mn-cs"/>
                        </a:rPr>
                        <m:t>𝑓</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m:t>
                  </m:r>
                </m:oMath>
              </a14:m>
              <a:r>
                <a:rPr lang="en-US" sz="1100" b="0" i="1">
                  <a:solidFill>
                    <a:schemeClr val="tx1"/>
                  </a:solidFill>
                  <a:effectLst/>
                  <a:latin typeface="+mn-lt"/>
                  <a:ea typeface="+mn-ea"/>
                  <a:cs typeface="+mn-cs"/>
                </a:rPr>
                <a:t>  </a:t>
              </a:r>
              <a:endParaRPr lang="en-US" sz="1100" b="1" i="0">
                <a:solidFill>
                  <a:srgbClr val="00B050"/>
                </a:solidFill>
                <a:effectLst/>
                <a:latin typeface="+mn-lt"/>
                <a:ea typeface="+mn-ea"/>
                <a:cs typeface="+mn-cs"/>
              </a:endParaRPr>
            </a:p>
            <a:p>
              <a:r>
                <a:rPr lang="en-US" sz="1100" b="0" i="1">
                  <a:solidFill>
                    <a:schemeClr val="tx1"/>
                  </a:solidFill>
                  <a:effectLst/>
                  <a:latin typeface="+mn-lt"/>
                  <a:ea typeface="+mn-ea"/>
                  <a:cs typeface="+mn-cs"/>
                </a:rPr>
                <a:t> basically you have N_ubatch useful f+b</a:t>
              </a:r>
              <a:r>
                <a:rPr lang="en-US" sz="1100" b="0" i="1" baseline="0">
                  <a:solidFill>
                    <a:schemeClr val="tx1"/>
                  </a:solidFill>
                  <a:effectLst/>
                  <a:latin typeface="+mn-lt"/>
                  <a:ea typeface="+mn-ea"/>
                  <a:cs typeface="+mn-cs"/>
                </a:rPr>
                <a:t> steps and N_Pp-1 useless steps, each step scaled to a ubatch</a:t>
              </a:r>
              <a:endParaRPr lang="en-GB" sz="1100"/>
            </a:p>
          </xdr:txBody>
        </xdr:sp>
      </mc:Choice>
      <mc:Fallback xmlns="">
        <xdr:sp macro="" textlink="">
          <xdr:nvSpPr>
            <xdr:cNvPr id="32" name="TextBox 2">
              <a:extLst>
                <a:ext uri="{FF2B5EF4-FFF2-40B4-BE49-F238E27FC236}">
                  <a16:creationId xmlns:a16="http://schemas.microsoft.com/office/drawing/2014/main" id="{4A1D8E3E-27C2-4002-828E-285865827A71}"/>
                </a:ext>
              </a:extLst>
            </xdr:cNvPr>
            <xdr:cNvSpPr txBox="1"/>
          </xdr:nvSpPr>
          <xdr:spPr>
            <a:xfrm>
              <a:off x="3281282" y="19957037"/>
              <a:ext cx="8430328" cy="774333"/>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endParaRPr lang="en-GB" sz="1100"/>
            </a:p>
            <a:p>
              <a:r>
                <a:rPr lang="en-US" sz="1100" b="0" i="0">
                  <a:solidFill>
                    <a:schemeClr val="tx1"/>
                  </a:solidFill>
                  <a:effectLst/>
                  <a:latin typeface="Cambria Math" panose="02040503050406030204" pitchFamily="18" charset="0"/>
                  <a:ea typeface="+mn-ea"/>
                  <a:cs typeface="+mn-cs"/>
                </a:rPr>
                <a:t>𝑇_𝑤𝑎𝑖𝑡 (𝑙)=〖𝑅_𝑛𝑜𝑛𝑜𝑣𝑒𝑟𝑙𝑎𝑝𝑝𝑖𝑛𝑔∗ (𝑁〗_𝑃𝑃−1 )/𝑁_𝑢𝑏𝑎𝑡𝑐ℎ  ∗[〖{𝑈〗_𝑓 (𝑙)+𝑈_𝑏 (𝑙)}1/(</a:t>
              </a:r>
              <a:r>
                <a:rPr lang="en-US" sz="1100" b="0" i="0">
                  <a:solidFill>
                    <a:srgbClr val="FF0000"/>
                  </a:solidFill>
                  <a:effectLst/>
                  <a:latin typeface="Cambria Math" panose="02040503050406030204" pitchFamily="18" charset="0"/>
                  <a:ea typeface="+mn-ea"/>
                  <a:cs typeface="+mn-cs"/>
                </a:rPr>
                <a:t>𝐿</a:t>
              </a:r>
              <a:r>
                <a:rPr lang="en-US" sz="1100" b="0" i="0">
                  <a:solidFill>
                    <a:schemeClr val="tx1"/>
                  </a:solidFill>
                  <a:effectLst/>
                  <a:latin typeface="Cambria Math" panose="02040503050406030204" pitchFamily="18" charset="0"/>
                  <a:ea typeface="+mn-ea"/>
                  <a:cs typeface="+mn-cs"/>
                </a:rPr>
                <a:t>∗ 𝑁_𝑇𝑃  ∗〖𝑁_𝐷𝑃∗ 𝑁〗_(𝑃𝑃 ) )+𝑀_𝑏 (𝑙)+𝑀_𝑓 (𝑙)]</a:t>
              </a:r>
              <a:r>
                <a:rPr lang="en-US" sz="1100" b="0" i="1">
                  <a:solidFill>
                    <a:schemeClr val="tx1"/>
                  </a:solidFill>
                  <a:effectLst/>
                  <a:latin typeface="+mn-lt"/>
                  <a:ea typeface="+mn-ea"/>
                  <a:cs typeface="+mn-cs"/>
                </a:rPr>
                <a:t>  </a:t>
              </a:r>
              <a:endParaRPr lang="en-US" sz="1100" b="1" i="0">
                <a:solidFill>
                  <a:srgbClr val="00B050"/>
                </a:solidFill>
                <a:effectLst/>
                <a:latin typeface="+mn-lt"/>
                <a:ea typeface="+mn-ea"/>
                <a:cs typeface="+mn-cs"/>
              </a:endParaRPr>
            </a:p>
            <a:p>
              <a:r>
                <a:rPr lang="en-US" sz="1100" b="0" i="1">
                  <a:solidFill>
                    <a:schemeClr val="tx1"/>
                  </a:solidFill>
                  <a:effectLst/>
                  <a:latin typeface="+mn-lt"/>
                  <a:ea typeface="+mn-ea"/>
                  <a:cs typeface="+mn-cs"/>
                </a:rPr>
                <a:t> basically you have N_ubatch useful f+b</a:t>
              </a:r>
              <a:r>
                <a:rPr lang="en-US" sz="1100" b="0" i="1" baseline="0">
                  <a:solidFill>
                    <a:schemeClr val="tx1"/>
                  </a:solidFill>
                  <a:effectLst/>
                  <a:latin typeface="+mn-lt"/>
                  <a:ea typeface="+mn-ea"/>
                  <a:cs typeface="+mn-cs"/>
                </a:rPr>
                <a:t> steps and N_Pp-1 useless steps, each step scaled to a ubatch</a:t>
              </a:r>
              <a:endParaRPr lang="en-GB" sz="1100"/>
            </a:p>
          </xdr:txBody>
        </xdr:sp>
      </mc:Fallback>
    </mc:AlternateContent>
    <xdr:clientData/>
  </xdr:oneCellAnchor>
  <xdr:oneCellAnchor>
    <xdr:from>
      <xdr:col>1</xdr:col>
      <xdr:colOff>285749</xdr:colOff>
      <xdr:row>266</xdr:row>
      <xdr:rowOff>66675</xdr:rowOff>
    </xdr:from>
    <xdr:ext cx="6445251" cy="925512"/>
    <mc:AlternateContent xmlns:mc="http://schemas.openxmlformats.org/markup-compatibility/2006" xmlns:a14="http://schemas.microsoft.com/office/drawing/2010/main">
      <mc:Choice Requires="a14">
        <xdr:sp macro="" textlink="">
          <xdr:nvSpPr>
            <xdr:cNvPr id="486" name="TextBox 90">
              <a:extLst>
                <a:ext uri="{FF2B5EF4-FFF2-40B4-BE49-F238E27FC236}">
                  <a16:creationId xmlns:a16="http://schemas.microsoft.com/office/drawing/2014/main" id="{821DCB54-DEEE-4C75-BF86-C9A139209EF0}"/>
                </a:ext>
              </a:extLst>
            </xdr:cNvPr>
            <xdr:cNvSpPr txBox="1"/>
          </xdr:nvSpPr>
          <xdr:spPr>
            <a:xfrm>
              <a:off x="3698874" y="89196863"/>
              <a:ext cx="6445251" cy="92551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r>
                    <a:rPr lang="en-US" sz="1400" b="0" i="1">
                      <a:solidFill>
                        <a:schemeClr val="tx1"/>
                      </a:solidFill>
                      <a:latin typeface="Cambria Math" panose="02040503050406030204" pitchFamily="18" charset="0"/>
                    </a:rPr>
                    <m:t>𝑀</m:t>
                  </m:r>
                  <m:sSub>
                    <m:sSubPr>
                      <m:ctrlPr>
                        <a:rPr lang="en-US" sz="1400" b="0" i="1" baseline="-25000">
                          <a:solidFill>
                            <a:schemeClr val="tx1"/>
                          </a:solidFill>
                          <a:latin typeface="Cambria Math" panose="02040503050406030204" pitchFamily="18" charset="0"/>
                        </a:rPr>
                      </m:ctrlPr>
                    </m:sSubPr>
                    <m:e>
                      <m:r>
                        <a:rPr lang="en-US" sz="1400" b="0" i="1" baseline="-25000">
                          <a:solidFill>
                            <a:schemeClr val="tx1"/>
                          </a:solidFill>
                          <a:latin typeface="Cambria Math" panose="02040503050406030204" pitchFamily="18" charset="0"/>
                        </a:rPr>
                        <m:t>𝑓</m:t>
                      </m:r>
                    </m:e>
                    <m:sub>
                      <m:r>
                        <a:rPr lang="en-US" sz="1400" b="0" i="1" baseline="-25000">
                          <a:solidFill>
                            <a:schemeClr val="tx1"/>
                          </a:solidFill>
                          <a:latin typeface="Cambria Math" panose="02040503050406030204" pitchFamily="18" charset="0"/>
                        </a:rPr>
                        <m:t>𝑀𝑜𝐸</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e>
                      </m:d>
                    </m:sub>
                  </m:sSub>
                  <m:r>
                    <a:rPr lang="en-US" sz="1400" b="0" i="1" baseline="0">
                      <a:solidFill>
                        <a:schemeClr val="tx1"/>
                      </a:solidFill>
                      <a:latin typeface="Cambria Math" panose="02040503050406030204" pitchFamily="18" charset="0"/>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𝑖𝑛𝑡𝑒𝑟</m:t>
                      </m:r>
                    </m:sub>
                  </m:sSub>
                  <m:r>
                    <a:rPr lang="en-US" sz="1100" b="0" i="1">
                      <a:solidFill>
                        <a:schemeClr val="tx1"/>
                      </a:solidFill>
                      <a:effectLst/>
                      <a:latin typeface="Cambria Math" panose="02040503050406030204" pitchFamily="18" charset="0"/>
                      <a:ea typeface="+mn-ea"/>
                      <a:cs typeface="+mn-cs"/>
                    </a:rPr>
                    <m:t> </m:t>
                  </m:r>
                  <m:r>
                    <m:rPr>
                      <m:nor/>
                    </m:rPr>
                    <a:rPr lang="en-US" sz="1100" b="0" i="0" baseline="0">
                      <a:solidFill>
                        <a:schemeClr val="tx1"/>
                      </a:solidFill>
                      <a:effectLst/>
                      <a:latin typeface="+mn-lt"/>
                      <a:ea typeface="+mn-ea"/>
                      <a:cs typeface="+mn-cs"/>
                    </a:rPr>
                    <m:t>∗</m:t>
                  </m:r>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𝑡𝑜𝑝𝑜</m:t>
                      </m:r>
                    </m:sub>
                  </m:sSub>
                  <m:r>
                    <m:rPr>
                      <m:nor/>
                    </m:rPr>
                    <a:rPr lang="en-US" sz="1100" b="0" i="0" baseline="0">
                      <a:solidFill>
                        <a:schemeClr val="tx1"/>
                      </a:solidFill>
                      <a:effectLst/>
                      <a:latin typeface="+mn-lt"/>
                      <a:ea typeface="+mn-ea"/>
                      <a:cs typeface="+mn-cs"/>
                    </a:rPr>
                    <m:t>∗</m:t>
                  </m:r>
                  <m:r>
                    <a:rPr lang="en-US" sz="1100" b="0" i="1" baseline="0">
                      <a:solidFill>
                        <a:schemeClr val="tx1"/>
                      </a:solidFill>
                      <a:effectLst/>
                      <a:latin typeface="Cambria Math" panose="02040503050406030204" pitchFamily="18" charset="0"/>
                      <a:ea typeface="+mn-ea"/>
                      <a:cs typeface="+mn-cs"/>
                    </a:rPr>
                    <m:t>𝐸</m:t>
                  </m:r>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𝑁</m:t>
                  </m:r>
                  <m:r>
                    <a:rPr lang="en-US" sz="1100" b="0" i="1" baseline="0">
                      <a:solidFill>
                        <a:schemeClr val="tx1"/>
                      </a:solidFill>
                      <a:effectLst/>
                      <a:latin typeface="Cambria Math" panose="02040503050406030204" pitchFamily="18" charset="0"/>
                      <a:ea typeface="+mn-ea"/>
                      <a:cs typeface="+mn-cs"/>
                    </a:rPr>
                    <m:t>_</m:t>
                  </m:r>
                  <m:r>
                    <a:rPr lang="en-US" sz="1100" b="0" i="1" baseline="0">
                      <a:solidFill>
                        <a:schemeClr val="tx1"/>
                      </a:solidFill>
                      <a:effectLst/>
                      <a:latin typeface="Cambria Math" panose="02040503050406030204" pitchFamily="18" charset="0"/>
                      <a:ea typeface="+mn-ea"/>
                      <a:cs typeface="+mn-cs"/>
                    </a:rPr>
                    <m:t>𝑎𝑐𝑐</m:t>
                  </m:r>
                  <m:r>
                    <a:rPr lang="en-US" sz="1100" b="0" i="1" baseline="0">
                      <a:solidFill>
                        <a:schemeClr val="tx1"/>
                      </a:solidFill>
                      <a:effectLst/>
                      <a:latin typeface="Cambria Math" panose="02040503050406030204" pitchFamily="18" charset="0"/>
                      <a:ea typeface="+mn-ea"/>
                      <a:cs typeface="+mn-cs"/>
                    </a:rPr>
                    <m:t>_</m:t>
                  </m:r>
                  <m:r>
                    <a:rPr lang="en-US" sz="1100" b="0" i="1" baseline="0">
                      <a:solidFill>
                        <a:schemeClr val="tx1"/>
                      </a:solidFill>
                      <a:effectLst/>
                      <a:latin typeface="Cambria Math" panose="02040503050406030204" pitchFamily="18" charset="0"/>
                      <a:ea typeface="+mn-ea"/>
                      <a:cs typeface="+mn-cs"/>
                    </a:rPr>
                    <m:t>𝑛𝑜𝑑𝑒</m:t>
                  </m:r>
                  <m:r>
                    <a:rPr lang="en-GB" sz="110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𝑁</m:t>
                  </m:r>
                  <m:r>
                    <a:rPr lang="en-US" sz="1100" b="0" i="1" baseline="-25000">
                      <a:solidFill>
                        <a:schemeClr val="tx1"/>
                      </a:solidFill>
                      <a:effectLst/>
                      <a:latin typeface="Cambria Math" panose="02040503050406030204" pitchFamily="18" charset="0"/>
                      <a:ea typeface="+mn-ea"/>
                      <a:cs typeface="+mn-cs"/>
                    </a:rPr>
                    <m:t>𝑎𝑐𝑡</m:t>
                  </m:r>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r>
                        <a:rPr lang="en-US" sz="1100" b="0" i="1" baseline="0">
                          <a:solidFill>
                            <a:schemeClr val="tx1"/>
                          </a:solidFill>
                          <a:effectLst/>
                          <a:latin typeface="Cambria Math" panose="02040503050406030204" pitchFamily="18" charset="0"/>
                          <a:ea typeface="+mn-ea"/>
                          <a:cs typeface="+mn-cs"/>
                        </a:rPr>
                        <m:t>𝑁</m:t>
                      </m:r>
                      <m:r>
                        <a:rPr lang="en-US" sz="1100" b="0" i="1" baseline="0">
                          <a:solidFill>
                            <a:schemeClr val="tx1"/>
                          </a:solidFill>
                          <a:effectLst/>
                          <a:latin typeface="Cambria Math" panose="02040503050406030204" pitchFamily="18" charset="0"/>
                          <a:ea typeface="+mn-ea"/>
                          <a:cs typeface="+mn-cs"/>
                        </a:rPr>
                        <m:t>_</m:t>
                      </m:r>
                      <m:r>
                        <a:rPr lang="en-US" sz="1100" b="0" i="1" baseline="0">
                          <a:solidFill>
                            <a:schemeClr val="tx1"/>
                          </a:solidFill>
                          <a:effectLst/>
                          <a:latin typeface="Cambria Math" panose="02040503050406030204" pitchFamily="18" charset="0"/>
                          <a:ea typeface="+mn-ea"/>
                          <a:cs typeface="+mn-cs"/>
                        </a:rPr>
                        <m:t>𝑎𝑐𝑐</m:t>
                      </m:r>
                      <m:r>
                        <a:rPr lang="en-US" sz="1100" b="0" i="1" baseline="0">
                          <a:solidFill>
                            <a:schemeClr val="tx1"/>
                          </a:solidFill>
                          <a:effectLst/>
                          <a:latin typeface="Cambria Math" panose="02040503050406030204" pitchFamily="18" charset="0"/>
                          <a:ea typeface="+mn-ea"/>
                          <a:cs typeface="+mn-cs"/>
                        </a:rPr>
                        <m:t>_</m:t>
                      </m:r>
                      <m:r>
                        <a:rPr lang="en-US" sz="1100" b="0" i="1" baseline="0">
                          <a:solidFill>
                            <a:schemeClr val="tx1"/>
                          </a:solidFill>
                          <a:effectLst/>
                          <a:latin typeface="Cambria Math" panose="02040503050406030204" pitchFamily="18" charset="0"/>
                          <a:ea typeface="+mn-ea"/>
                          <a:cs typeface="+mn-cs"/>
                        </a:rPr>
                        <m:t>𝑛𝑜𝑑𝑒</m:t>
                      </m:r>
                    </m:num>
                    <m:den>
                      <m:r>
                        <a:rPr lang="en-US" sz="1100" b="0" i="1" baseline="0">
                          <a:solidFill>
                            <a:schemeClr val="tx1"/>
                          </a:solidFill>
                          <a:effectLst/>
                          <a:latin typeface="Cambria Math" panose="02040503050406030204" pitchFamily="18" charset="0"/>
                          <a:ea typeface="+mn-ea"/>
                          <a:cs typeface="+mn-cs"/>
                        </a:rPr>
                        <m:t>𝐸</m:t>
                      </m:r>
                      <m:r>
                        <a:rPr lang="en-US" sz="1100" b="0" i="1" baseline="0">
                          <a:solidFill>
                            <a:schemeClr val="tx1"/>
                          </a:solidFill>
                          <a:effectLst/>
                          <a:latin typeface="Cambria Math" panose="02040503050406030204" pitchFamily="18" charset="0"/>
                          <a:ea typeface="+mn-ea"/>
                          <a:cs typeface="+mn-cs"/>
                        </a:rPr>
                        <m:t>∗ </m:t>
                      </m:r>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𝑖𝑛𝑡𝑟𝑎</m:t>
                          </m:r>
                        </m:sub>
                      </m:sSub>
                    </m:den>
                  </m:f>
                </m:oMath>
              </a14:m>
              <a:r>
                <a:rPr lang="en-GB" sz="1400" baseline="0">
                  <a:solidFill>
                    <a:schemeClr val="tx1"/>
                  </a:solidFill>
                </a:rPr>
                <a:t>  +</a:t>
              </a:r>
              <a14:m>
                <m:oMath xmlns:m="http://schemas.openxmlformats.org/officeDocument/2006/math">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r>
                        <a:rPr lang="en-US" sz="1100" b="0" i="1" baseline="0">
                          <a:solidFill>
                            <a:schemeClr val="tx1"/>
                          </a:solidFill>
                          <a:effectLst/>
                          <a:latin typeface="Cambria Math" panose="02040503050406030204" pitchFamily="18" charset="0"/>
                          <a:ea typeface="+mn-ea"/>
                          <a:cs typeface="+mn-cs"/>
                        </a:rPr>
                        <m:t>𝐸</m:t>
                      </m:r>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𝑁</m:t>
                      </m:r>
                      <m:r>
                        <a:rPr lang="en-US" sz="1100" b="0" i="1" baseline="0">
                          <a:solidFill>
                            <a:schemeClr val="tx1"/>
                          </a:solidFill>
                          <a:effectLst/>
                          <a:latin typeface="Cambria Math" panose="02040503050406030204" pitchFamily="18" charset="0"/>
                          <a:ea typeface="+mn-ea"/>
                          <a:cs typeface="+mn-cs"/>
                        </a:rPr>
                        <m:t>_</m:t>
                      </m:r>
                      <m:r>
                        <a:rPr lang="en-US" sz="1100" b="0" i="1" baseline="0">
                          <a:solidFill>
                            <a:schemeClr val="tx1"/>
                          </a:solidFill>
                          <a:effectLst/>
                          <a:latin typeface="Cambria Math" panose="02040503050406030204" pitchFamily="18" charset="0"/>
                          <a:ea typeface="+mn-ea"/>
                          <a:cs typeface="+mn-cs"/>
                        </a:rPr>
                        <m:t>𝑎𝑐𝑐</m:t>
                      </m:r>
                      <m:r>
                        <a:rPr lang="en-US" sz="1100" b="0" i="1" baseline="0">
                          <a:solidFill>
                            <a:schemeClr val="tx1"/>
                          </a:solidFill>
                          <a:effectLst/>
                          <a:latin typeface="Cambria Math" panose="02040503050406030204" pitchFamily="18" charset="0"/>
                          <a:ea typeface="+mn-ea"/>
                          <a:cs typeface="+mn-cs"/>
                        </a:rPr>
                        <m:t>_</m:t>
                      </m:r>
                      <m:r>
                        <a:rPr lang="en-US" sz="1100" b="0" i="1" baseline="0">
                          <a:solidFill>
                            <a:schemeClr val="tx1"/>
                          </a:solidFill>
                          <a:effectLst/>
                          <a:latin typeface="Cambria Math" panose="02040503050406030204" pitchFamily="18" charset="0"/>
                          <a:ea typeface="+mn-ea"/>
                          <a:cs typeface="+mn-cs"/>
                        </a:rPr>
                        <m:t>𝑛𝑜𝑑𝑒</m:t>
                      </m:r>
                    </m:num>
                    <m:den>
                      <m:r>
                        <m:rPr>
                          <m:sty m:val="p"/>
                        </m:rPr>
                        <a:rPr lang="en-US" sz="1100" b="0" i="0" baseline="0">
                          <a:solidFill>
                            <a:schemeClr val="tx1"/>
                          </a:solidFill>
                          <a:effectLst/>
                          <a:latin typeface="Cambria Math" panose="02040503050406030204" pitchFamily="18" charset="0"/>
                          <a:ea typeface="+mn-ea"/>
                          <a:cs typeface="+mn-cs"/>
                        </a:rPr>
                        <m:t>E</m:t>
                      </m:r>
                      <m:r>
                        <a:rPr lang="en-US" sz="1100" b="0" i="0" baseline="0">
                          <a:solidFill>
                            <a:schemeClr val="tx1"/>
                          </a:solidFill>
                          <a:effectLst/>
                          <a:latin typeface="Cambria Math" panose="02040503050406030204" pitchFamily="18" charset="0"/>
                          <a:ea typeface="+mn-ea"/>
                          <a:cs typeface="+mn-cs"/>
                        </a:rPr>
                        <m:t> </m:t>
                      </m:r>
                      <m:r>
                        <a:rPr lang="en-US" sz="1100" b="0" i="1" baseline="0">
                          <a:solidFill>
                            <a:schemeClr val="tx1"/>
                          </a:solidFill>
                          <a:effectLst/>
                          <a:latin typeface="Cambria Math" panose="02040503050406030204" pitchFamily="18" charset="0"/>
                          <a:ea typeface="+mn-ea"/>
                          <a:cs typeface="+mn-cs"/>
                        </a:rPr>
                        <m:t>∗  </m:t>
                      </m:r>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𝑖𝑛𝑡𝑒𝑟</m:t>
                          </m:r>
                        </m:sub>
                      </m:sSub>
                    </m:den>
                  </m:f>
                </m:oMath>
              </a14:m>
              <a:r>
                <a:rPr lang="en-GB" sz="1400" baseline="0">
                  <a:solidFill>
                    <a:schemeClr val="tx1"/>
                  </a:solidFill>
                </a:rPr>
                <a:t>] * </a:t>
              </a:r>
              <a14:m>
                <m:oMath xmlns:m="http://schemas.openxmlformats.org/officeDocument/2006/math">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𝑎𝑐𝑡𝑖𝑣𝑎𝑡𝑖𝑜𝑛</m:t>
                      </m:r>
                    </m:sub>
                  </m:sSub>
                </m:oMath>
              </a14:m>
              <a:r>
                <a:rPr lang="en-GB" sz="1400" baseline="0">
                  <a:solidFill>
                    <a:schemeClr val="tx1"/>
                  </a:solidFill>
                </a:rPr>
                <a:t> * </a:t>
              </a:r>
              <a14:m>
                <m:oMath xmlns:m="http://schemas.openxmlformats.org/officeDocument/2006/math">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𝑡𝑜𝑝𝑜</m:t>
                      </m:r>
                    </m:sub>
                  </m:sSub>
                </m:oMath>
              </a14:m>
              <a:endParaRPr lang="en-US" sz="1100" b="0" i="1" baseline="0">
                <a:solidFill>
                  <a:schemeClr val="tx1"/>
                </a:solidFill>
                <a:effectLst/>
                <a:latin typeface="+mn-lt"/>
                <a:ea typeface="+mn-ea"/>
                <a:cs typeface="+mn-cs"/>
              </a:endParaRPr>
            </a:p>
            <a:p>
              <a14:m>
                <m:oMath xmlns:m="http://schemas.openxmlformats.org/officeDocument/2006/math">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𝑡𝑜𝑝𝑜</m:t>
                      </m:r>
                    </m:sub>
                  </m:sSub>
                </m:oMath>
              </a14:m>
              <a:r>
                <a:rPr lang="en-US" sz="1100" b="0" i="1" baseline="0">
                  <a:solidFill>
                    <a:schemeClr val="tx1"/>
                  </a:solidFill>
                  <a:effectLst/>
                  <a:latin typeface="+mn-lt"/>
                  <a:ea typeface="+mn-ea"/>
                  <a:cs typeface="+mn-cs"/>
                </a:rPr>
                <a:t>= </a:t>
              </a:r>
              <a14:m>
                <m:oMath xmlns:m="http://schemas.openxmlformats.org/officeDocument/2006/math">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𝐸</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𝑁</m:t>
                  </m:r>
                  <m:r>
                    <a:rPr lang="en-US" sz="1100" b="0" i="1">
                      <a:solidFill>
                        <a:schemeClr val="tx1"/>
                      </a:solidFill>
                      <a:effectLst/>
                      <a:latin typeface="Cambria Math" panose="02040503050406030204" pitchFamily="18" charset="0"/>
                      <a:ea typeface="+mn-ea"/>
                      <a:cs typeface="+mn-cs"/>
                    </a:rPr>
                    <m:t>_</m:t>
                  </m:r>
                  <m:r>
                    <a:rPr lang="en-US" sz="1100" b="0" i="1">
                      <a:solidFill>
                        <a:schemeClr val="tx1"/>
                      </a:solidFill>
                      <a:effectLst/>
                      <a:latin typeface="Cambria Math" panose="02040503050406030204" pitchFamily="18" charset="0"/>
                      <a:ea typeface="+mn-ea"/>
                      <a:cs typeface="+mn-cs"/>
                    </a:rPr>
                    <m:t>𝑎𝑐𝑐</m:t>
                  </m:r>
                  <m:r>
                    <a:rPr lang="en-US" sz="1100" b="0" i="1">
                      <a:solidFill>
                        <a:schemeClr val="tx1"/>
                      </a:solidFill>
                      <a:effectLst/>
                      <a:latin typeface="Cambria Math" panose="02040503050406030204" pitchFamily="18" charset="0"/>
                      <a:ea typeface="+mn-ea"/>
                      <a:cs typeface="+mn-cs"/>
                    </a:rPr>
                    <m:t>_</m:t>
                  </m:r>
                  <m:r>
                    <a:rPr lang="en-US" sz="1100" b="0" i="1">
                      <a:solidFill>
                        <a:schemeClr val="tx1"/>
                      </a:solidFill>
                      <a:effectLst/>
                      <a:latin typeface="Cambria Math" panose="02040503050406030204" pitchFamily="18" charset="0"/>
                      <a:ea typeface="+mn-ea"/>
                      <a:cs typeface="+mn-cs"/>
                    </a:rPr>
                    <m:t>𝑛𝑜𝑑𝑒</m:t>
                  </m:r>
                  <m:r>
                    <a:rPr lang="en-US" sz="1100" b="0" i="1">
                      <a:solidFill>
                        <a:schemeClr val="tx1"/>
                      </a:solidFill>
                      <a:effectLst/>
                      <a:latin typeface="Cambria Math" panose="02040503050406030204" pitchFamily="18" charset="0"/>
                      <a:ea typeface="+mn-ea"/>
                      <a:cs typeface="+mn-cs"/>
                    </a:rPr>
                    <m:t>)</m:t>
                  </m:r>
                </m:oMath>
              </a14:m>
              <a:r>
                <a:rPr lang="en-US" sz="1100" b="0" i="1" baseline="0">
                  <a:solidFill>
                    <a:schemeClr val="tx1"/>
                  </a:solidFill>
                  <a:effectLst/>
                  <a:latin typeface="+mn-lt"/>
                  <a:ea typeface="+mn-ea"/>
                  <a:cs typeface="+mn-cs"/>
                </a:rPr>
                <a:t>/</a:t>
              </a:r>
              <a14:m>
                <m:oMath xmlns:m="http://schemas.openxmlformats.org/officeDocument/2006/math">
                  <m:r>
                    <a:rPr lang="en-US" sz="1100" b="0" i="1">
                      <a:solidFill>
                        <a:schemeClr val="tx1"/>
                      </a:solidFill>
                      <a:effectLst/>
                      <a:latin typeface="Cambria Math" panose="02040503050406030204" pitchFamily="18" charset="0"/>
                      <a:ea typeface="+mn-ea"/>
                      <a:cs typeface="+mn-cs"/>
                    </a:rPr>
                    <m:t>𝐸</m:t>
                  </m:r>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𝑎𝑐</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𝑖𝑛𝑡𝑟𝑎</m:t>
                          </m:r>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𝑎𝑐𝑡</m:t>
                      </m:r>
                    </m:sub>
                  </m:sSub>
                  <m:r>
                    <a:rPr lang="en-US" sz="1100" b="0" i="1">
                      <a:solidFill>
                        <a:schemeClr val="tx1"/>
                      </a:solidFill>
                      <a:effectLst/>
                      <a:latin typeface="Cambria Math" panose="02040503050406030204" pitchFamily="18" charset="0"/>
                      <a:ea typeface="+mn-ea"/>
                      <a:cs typeface="+mn-cs"/>
                    </a:rPr>
                    <m:t>∗</m:t>
                  </m:r>
                  <m:f>
                    <m:fPr>
                      <m:ctrlPr>
                        <a:rPr lang="en-US" sz="1100" b="0" i="1">
                          <a:solidFill>
                            <a:schemeClr val="tx1"/>
                          </a:solidFill>
                          <a:effectLst/>
                          <a:latin typeface="Cambria Math" panose="02040503050406030204" pitchFamily="18" charset="0"/>
                          <a:ea typeface="+mn-ea"/>
                          <a:cs typeface="+mn-cs"/>
                        </a:rPr>
                      </m:ctrlPr>
                    </m:fPr>
                    <m:num>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𝑎𝑐</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𝑐</m:t>
                              </m:r>
                            </m:e>
                            <m:sub>
                              <m:r>
                                <a:rPr lang="en-US" sz="1100" b="0" i="1">
                                  <a:solidFill>
                                    <a:schemeClr val="tx1"/>
                                  </a:solidFill>
                                  <a:effectLst/>
                                  <a:latin typeface="Cambria Math" panose="02040503050406030204" pitchFamily="18" charset="0"/>
                                  <a:ea typeface="+mn-ea"/>
                                  <a:cs typeface="+mn-cs"/>
                                </a:rPr>
                                <m:t>𝑛𝑜𝑑𝑒</m:t>
                              </m:r>
                            </m:sub>
                          </m:sSub>
                        </m:sub>
                      </m:sSub>
                    </m:num>
                    <m:den>
                      <m:r>
                        <a:rPr lang="en-US" sz="1100" b="0" i="1">
                          <a:solidFill>
                            <a:schemeClr val="tx1"/>
                          </a:solidFill>
                          <a:effectLst/>
                          <a:latin typeface="Cambria Math" panose="02040503050406030204" pitchFamily="18" charset="0"/>
                          <a:ea typeface="+mn-ea"/>
                          <a:cs typeface="+mn-cs"/>
                        </a:rPr>
                        <m:t>𝐸</m:t>
                      </m:r>
                    </m:den>
                  </m:f>
                </m:oMath>
              </a14:m>
              <a:r>
                <a:rPr lang="en-US" sz="1100" b="0" i="1" baseline="0">
                  <a:solidFill>
                    <a:schemeClr val="tx1"/>
                  </a:solidFill>
                  <a:effectLst/>
                  <a:latin typeface="+mn-lt"/>
                  <a:ea typeface="+mn-ea"/>
                  <a:cs typeface="+mn-cs"/>
                </a:rPr>
                <a:t>; </a:t>
              </a:r>
              <a14:m>
                <m:oMath xmlns:m="http://schemas.openxmlformats.org/officeDocument/2006/math">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𝑎𝑐</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𝑡</m:t>
                          </m:r>
                        </m:e>
                        <m:sub>
                          <m:r>
                            <a:rPr lang="en-US" sz="1100" b="0" i="1">
                              <a:solidFill>
                                <a:schemeClr val="tx1"/>
                              </a:solidFill>
                              <a:effectLst/>
                              <a:latin typeface="Cambria Math" panose="02040503050406030204" pitchFamily="18" charset="0"/>
                              <a:ea typeface="+mn-ea"/>
                              <a:cs typeface="+mn-cs"/>
                            </a:rPr>
                            <m:t>𝑖𝑛𝑡𝑒𝑟</m:t>
                          </m:r>
                        </m:sub>
                      </m:sSub>
                    </m:sub>
                  </m:sSub>
                  <m:r>
                    <a:rPr lang="en-US" sz="1100" b="0" i="1">
                      <a:solidFill>
                        <a:schemeClr val="tx1"/>
                      </a:solidFill>
                      <a:effectLst/>
                      <a:latin typeface="Cambria Math" panose="02040503050406030204" pitchFamily="18" charset="0"/>
                      <a:ea typeface="+mn-ea"/>
                      <a:cs typeface="+mn-cs"/>
                    </a:rPr>
                    <m:t>=</m:t>
                  </m:r>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𝐸</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𝑎𝑐</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𝑐</m:t>
                              </m:r>
                            </m:e>
                            <m:sub>
                              <m:r>
                                <a:rPr lang="en-US" sz="1100" b="0" i="1">
                                  <a:solidFill>
                                    <a:schemeClr val="tx1"/>
                                  </a:solidFill>
                                  <a:effectLst/>
                                  <a:latin typeface="Cambria Math" panose="02040503050406030204" pitchFamily="18" charset="0"/>
                                  <a:ea typeface="+mn-ea"/>
                                  <a:cs typeface="+mn-cs"/>
                                </a:rPr>
                                <m:t>𝑛𝑜𝑑𝑒</m:t>
                              </m:r>
                            </m:sub>
                          </m:sSub>
                        </m:sub>
                      </m:sSub>
                    </m:num>
                    <m:den>
                      <m:r>
                        <a:rPr lang="en-US" sz="1100" b="0" i="1">
                          <a:solidFill>
                            <a:schemeClr val="tx1"/>
                          </a:solidFill>
                          <a:effectLst/>
                          <a:latin typeface="Cambria Math" panose="02040503050406030204" pitchFamily="18" charset="0"/>
                          <a:ea typeface="+mn-ea"/>
                          <a:cs typeface="+mn-cs"/>
                        </a:rPr>
                        <m:t>𝐸</m:t>
                      </m:r>
                    </m:den>
                  </m:f>
                </m:oMath>
              </a14:m>
              <a:r>
                <a:rPr lang="en-US" sz="1100" b="0" i="1" baseline="0">
                  <a:solidFill>
                    <a:schemeClr val="tx1"/>
                  </a:solidFill>
                  <a:effectLst/>
                  <a:latin typeface="+mn-lt"/>
                  <a:ea typeface="+mn-ea"/>
                  <a:cs typeface="+mn-cs"/>
                </a:rPr>
                <a:t>; ;</a:t>
              </a:r>
            </a:p>
            <a:p>
              <a:r>
                <a:rPr lang="en-US" sz="1100" b="0" i="1" baseline="0">
                  <a:solidFill>
                    <a:schemeClr val="tx1"/>
                  </a:solidFill>
                  <a:effectLst/>
                  <a:latin typeface="+mn-lt"/>
                  <a:ea typeface="+mn-ea"/>
                  <a:cs typeface="+mn-cs"/>
                </a:rPr>
                <a:t>E = min(N_experts, N_acc_total)</a:t>
              </a:r>
            </a:p>
            <a:p>
              <a:pPr/>
              <a14:m>
                <m:oMathPara xmlns:m="http://schemas.openxmlformats.org/officeDocument/2006/math">
                  <m:oMathParaPr>
                    <m:jc m:val="centerGroup"/>
                  </m:oMathParaPr>
                  <m:oMath xmlns:m="http://schemas.openxmlformats.org/officeDocument/2006/math">
                    <m:r>
                      <m:rPr>
                        <m:nor/>
                      </m:rPr>
                      <a:rPr lang="en-US" sz="1100" b="0" i="1" baseline="0">
                        <a:solidFill>
                          <a:schemeClr val="tx1"/>
                        </a:solidFill>
                        <a:effectLst/>
                        <a:latin typeface="+mn-lt"/>
                        <a:ea typeface="+mn-ea"/>
                        <a:cs typeface="+mn-cs"/>
                      </a:rPr>
                      <m:t> </m:t>
                    </m:r>
                  </m:oMath>
                </m:oMathPara>
              </a14:m>
              <a:endParaRPr lang="en-GB" sz="1400" baseline="0">
                <a:solidFill>
                  <a:schemeClr val="tx1"/>
                </a:solidFill>
              </a:endParaRPr>
            </a:p>
          </xdr:txBody>
        </xdr:sp>
      </mc:Choice>
      <mc:Fallback xmlns="">
        <xdr:sp macro="" textlink="">
          <xdr:nvSpPr>
            <xdr:cNvPr id="557" name="TextBox 90">
              <a:extLst>
                <a:ext uri="{FF2B5EF4-FFF2-40B4-BE49-F238E27FC236}">
                  <a16:creationId xmlns:a16="http://schemas.microsoft.com/office/drawing/2014/main" id="{821DCB54-DEEE-4C75-BF86-C9A139209EF0}"/>
                </a:ext>
              </a:extLst>
            </xdr:cNvPr>
            <xdr:cNvSpPr txBox="1"/>
          </xdr:nvSpPr>
          <xdr:spPr>
            <a:xfrm>
              <a:off x="3698874" y="89196863"/>
              <a:ext cx="6445251" cy="92551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𝑓_𝑀𝑜𝐸</a:t>
              </a:r>
              <a:r>
                <a:rPr lang="en-US" sz="1400" b="0" i="0" baseline="0">
                  <a:solidFill>
                    <a:schemeClr val="tx1"/>
                  </a:solidFill>
                  <a:latin typeface="Cambria Math" panose="02040503050406030204" pitchFamily="18" charset="0"/>
                </a:rPr>
                <a:t>(𝑙) =</a:t>
              </a:r>
              <a:r>
                <a:rPr lang="en-US" sz="1100" b="0" i="0">
                  <a:solidFill>
                    <a:schemeClr val="tx1"/>
                  </a:solidFill>
                  <a:effectLst/>
                  <a:latin typeface="Cambria Math" panose="02040503050406030204" pitchFamily="18" charset="0"/>
                  <a:ea typeface="+mn-ea"/>
                  <a:cs typeface="+mn-cs"/>
                </a:rPr>
                <a:t>𝐶_𝑖𝑛𝑡𝑒𝑟  </a:t>
              </a:r>
              <a:r>
                <a:rPr lang="en-US" sz="1100" b="0" i="0" baseline="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 𝑁_𝑡𝑜𝑝𝑜</a:t>
              </a:r>
              <a:r>
                <a:rPr lang="en-US" sz="1100" b="0" i="0" baseline="0">
                  <a:solidFill>
                    <a:schemeClr val="tx1"/>
                  </a:solidFill>
                  <a:effectLst/>
                  <a:latin typeface="+mn-lt"/>
                  <a:ea typeface="+mn-ea"/>
                  <a:cs typeface="+mn-cs"/>
                </a:rPr>
                <a:t> </a:t>
              </a:r>
              <a:r>
                <a:rPr lang="en-US" sz="1100" b="0" i="0" baseline="0">
                  <a:solidFill>
                    <a:schemeClr val="tx1"/>
                  </a:solidFill>
                  <a:effectLst/>
                  <a:latin typeface="Cambria Math" panose="02040503050406030204" pitchFamily="18" charset="0"/>
                  <a:ea typeface="+mn-ea"/>
                  <a:cs typeface="+mn-cs"/>
                </a:rPr>
                <a:t>"∗" 𝐸/𝑁_𝑎𝑐𝑐_𝑛𝑜𝑑𝑒</a:t>
              </a:r>
              <a:r>
                <a:rPr lang="en-GB" sz="110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𝑁</a:t>
              </a:r>
              <a:r>
                <a:rPr lang="en-US" sz="1100" b="0" i="0" baseline="-25000">
                  <a:solidFill>
                    <a:schemeClr val="tx1"/>
                  </a:solidFill>
                  <a:effectLst/>
                  <a:latin typeface="Cambria Math" panose="02040503050406030204" pitchFamily="18" charset="0"/>
                  <a:ea typeface="+mn-ea"/>
                  <a:cs typeface="+mn-cs"/>
                </a:rPr>
                <a:t>𝑎𝑐𝑡</a:t>
              </a:r>
              <a:r>
                <a:rPr lang="en-US" sz="1100" b="0" i="0" baseline="0">
                  <a:solidFill>
                    <a:schemeClr val="tx1"/>
                  </a:solidFill>
                  <a:effectLst/>
                  <a:latin typeface="Cambria Math" panose="02040503050406030204" pitchFamily="18" charset="0"/>
                  <a:ea typeface="+mn-ea"/>
                  <a:cs typeface="+mn-cs"/>
                </a:rPr>
                <a:t>[  </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𝑁_𝑎𝑐𝑐_𝑛𝑜𝑑𝑒</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𝐸∗ 𝐵𝑊_𝑖𝑛𝑡𝑟𝑎 </a:t>
              </a:r>
              <a:r>
                <a:rPr lang="en-GB" sz="1100" b="0" i="0" baseline="0">
                  <a:solidFill>
                    <a:schemeClr val="tx1"/>
                  </a:solidFill>
                  <a:effectLst/>
                  <a:latin typeface="Cambria Math" panose="02040503050406030204" pitchFamily="18" charset="0"/>
                  <a:ea typeface="+mn-ea"/>
                  <a:cs typeface="+mn-cs"/>
                </a:rPr>
                <a:t>)</a:t>
              </a:r>
              <a:r>
                <a:rPr lang="en-GB" sz="1400" baseline="0">
                  <a:solidFill>
                    <a:schemeClr val="tx1"/>
                  </a:solidFill>
                </a:rPr>
                <a:t>  +</a:t>
              </a:r>
              <a:r>
                <a:rPr lang="en-US" sz="1100" b="0" i="0" baseline="0">
                  <a:solidFill>
                    <a:schemeClr val="tx1"/>
                  </a:solidFill>
                  <a:effectLst/>
                  <a:latin typeface="Cambria Math" panose="02040503050406030204" pitchFamily="18" charset="0"/>
                  <a:ea typeface="+mn-ea"/>
                  <a:cs typeface="+mn-cs"/>
                </a:rPr>
                <a:t>  </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𝐸−𝑁_𝑎𝑐𝑐_𝑛𝑜𝑑𝑒</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E ∗  𝐵𝑊_𝑖𝑛𝑡𝑒𝑟 </a:t>
              </a:r>
              <a:r>
                <a:rPr lang="en-GB" sz="1100" b="0" i="0" baseline="0">
                  <a:solidFill>
                    <a:schemeClr val="tx1"/>
                  </a:solidFill>
                  <a:effectLst/>
                  <a:latin typeface="Cambria Math" panose="02040503050406030204" pitchFamily="18" charset="0"/>
                  <a:ea typeface="+mn-ea"/>
                  <a:cs typeface="+mn-cs"/>
                </a:rPr>
                <a:t>)</a:t>
              </a:r>
              <a:r>
                <a:rPr lang="en-GB" sz="1400" baseline="0">
                  <a:solidFill>
                    <a:schemeClr val="tx1"/>
                  </a:solidFill>
                </a:rPr>
                <a:t>] * </a:t>
              </a:r>
              <a:r>
                <a:rPr lang="en-US" sz="1100" b="0" i="0" baseline="0">
                  <a:solidFill>
                    <a:schemeClr val="tx1"/>
                  </a:solidFill>
                  <a:effectLst/>
                  <a:latin typeface="Cambria Math" panose="02040503050406030204" pitchFamily="18" charset="0"/>
                  <a:ea typeface="+mn-ea"/>
                  <a:cs typeface="+mn-cs"/>
                </a:rPr>
                <a:t>𝑆_𝑎𝑐𝑡𝑖𝑣𝑎𝑡𝑖𝑜𝑛</a:t>
              </a:r>
              <a:r>
                <a:rPr lang="en-GB" sz="1400" baseline="0">
                  <a:solidFill>
                    <a:schemeClr val="tx1"/>
                  </a:solidFill>
                </a:rPr>
                <a:t> * </a:t>
              </a:r>
              <a:r>
                <a:rPr lang="en-US" sz="1100" b="0" i="0">
                  <a:solidFill>
                    <a:schemeClr val="tx1"/>
                  </a:solidFill>
                  <a:effectLst/>
                  <a:latin typeface="Cambria Math" panose="02040503050406030204" pitchFamily="18" charset="0"/>
                  <a:ea typeface="+mn-ea"/>
                  <a:cs typeface="+mn-cs"/>
                </a:rPr>
                <a:t>𝑁_𝑡𝑜𝑝𝑜</a:t>
              </a:r>
              <a:endParaRPr lang="en-US" sz="1100" b="0" i="1" baseline="0">
                <a:solidFill>
                  <a:schemeClr val="tx1"/>
                </a:solidFill>
                <a:effectLst/>
                <a:latin typeface="+mn-lt"/>
                <a:ea typeface="+mn-ea"/>
                <a:cs typeface="+mn-cs"/>
              </a:endParaRPr>
            </a:p>
            <a:p>
              <a:r>
                <a:rPr lang="en-US" sz="1100" b="0" i="0">
                  <a:solidFill>
                    <a:schemeClr val="tx1"/>
                  </a:solidFill>
                  <a:effectLst/>
                  <a:latin typeface="Cambria Math" panose="02040503050406030204" pitchFamily="18" charset="0"/>
                  <a:ea typeface="+mn-ea"/>
                  <a:cs typeface="+mn-cs"/>
                </a:rPr>
                <a:t>𝑁_𝑡𝑜𝑝𝑜</a:t>
              </a:r>
              <a:r>
                <a:rPr lang="en-US" sz="1100" b="0" i="1" baseline="0">
                  <a:solidFill>
                    <a:schemeClr val="tx1"/>
                  </a:solidFill>
                  <a:effectLst/>
                  <a:latin typeface="+mn-lt"/>
                  <a:ea typeface="+mn-ea"/>
                  <a:cs typeface="+mn-cs"/>
                </a:rPr>
                <a:t>= </a:t>
              </a:r>
              <a:r>
                <a:rPr lang="en-US" sz="1100" b="0" i="0">
                  <a:solidFill>
                    <a:schemeClr val="tx1"/>
                  </a:solidFill>
                  <a:effectLst/>
                  <a:latin typeface="Cambria Math" panose="02040503050406030204" pitchFamily="18" charset="0"/>
                  <a:ea typeface="+mn-ea"/>
                  <a:cs typeface="+mn-cs"/>
                </a:rPr>
                <a:t>(𝐸−𝑁_𝑎𝑐𝑐_𝑛𝑜𝑑𝑒)</a:t>
              </a:r>
              <a:r>
                <a:rPr lang="en-US" sz="1100" b="0" i="1" baseline="0">
                  <a:solidFill>
                    <a:schemeClr val="tx1"/>
                  </a:solidFill>
                  <a:effectLst/>
                  <a:latin typeface="+mn-lt"/>
                  <a:ea typeface="+mn-ea"/>
                  <a:cs typeface="+mn-cs"/>
                </a:rPr>
                <a:t>/</a:t>
              </a:r>
              <a:r>
                <a:rPr lang="en-US" sz="1100" b="0" i="0">
                  <a:solidFill>
                    <a:schemeClr val="tx1"/>
                  </a:solidFill>
                  <a:effectLst/>
                  <a:latin typeface="Cambria Math" panose="02040503050406030204" pitchFamily="18" charset="0"/>
                  <a:ea typeface="+mn-ea"/>
                  <a:cs typeface="+mn-cs"/>
                </a:rPr>
                <a:t>𝐸 ;𝑁_(𝑎𝑐𝑡_𝑖𝑛𝑡𝑟𝑎 )=𝑁_𝑎𝑐𝑡∗𝑁_(𝑎𝑐𝑐_𝑛𝑜𝑑𝑒 )/𝐸</a:t>
              </a:r>
              <a:r>
                <a:rPr lang="en-US" sz="1100" b="0" i="1" baseline="0">
                  <a:solidFill>
                    <a:schemeClr val="tx1"/>
                  </a:solidFill>
                  <a:effectLst/>
                  <a:latin typeface="+mn-lt"/>
                  <a:ea typeface="+mn-ea"/>
                  <a:cs typeface="+mn-cs"/>
                </a:rPr>
                <a:t>; </a:t>
              </a:r>
              <a:r>
                <a:rPr lang="en-US" sz="1100" b="0" i="0">
                  <a:solidFill>
                    <a:schemeClr val="tx1"/>
                  </a:solidFill>
                  <a:effectLst/>
                  <a:latin typeface="+mn-lt"/>
                  <a:ea typeface="+mn-ea"/>
                  <a:cs typeface="+mn-cs"/>
                </a:rPr>
                <a:t>𝑁_(𝑎𝑐𝑡_𝑖𝑛𝑡</a:t>
              </a:r>
              <a:r>
                <a:rPr lang="en-US" sz="1100" b="0" i="0">
                  <a:solidFill>
                    <a:schemeClr val="tx1"/>
                  </a:solidFill>
                  <a:effectLst/>
                  <a:latin typeface="Cambria Math" panose="02040503050406030204" pitchFamily="18" charset="0"/>
                  <a:ea typeface="+mn-ea"/>
                  <a:cs typeface="+mn-cs"/>
                </a:rPr>
                <a:t>𝑒𝑟</a:t>
              </a:r>
              <a:r>
                <a:rPr lang="en-US" sz="1100" b="0" i="0">
                  <a:solidFill>
                    <a:schemeClr val="tx1"/>
                  </a:solidFill>
                  <a:effectLst/>
                  <a:latin typeface="+mn-lt"/>
                  <a:ea typeface="+mn-ea"/>
                  <a:cs typeface="+mn-cs"/>
                </a:rPr>
                <a:t> )</a:t>
              </a:r>
              <a:r>
                <a:rPr lang="en-US"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mn-lt"/>
                  <a:ea typeface="+mn-ea"/>
                  <a:cs typeface="+mn-cs"/>
                </a:rPr>
                <a:t>(</a:t>
              </a:r>
              <a:r>
                <a:rPr lang="en-US" sz="1100" b="0" i="0">
                  <a:solidFill>
                    <a:schemeClr val="tx1"/>
                  </a:solidFill>
                  <a:effectLst/>
                  <a:latin typeface="Cambria Math" panose="02040503050406030204" pitchFamily="18" charset="0"/>
                  <a:ea typeface="+mn-ea"/>
                  <a:cs typeface="+mn-cs"/>
                </a:rPr>
                <a:t>𝐸−</a:t>
              </a:r>
              <a:r>
                <a:rPr lang="en-US" sz="1100" b="0" i="0">
                  <a:solidFill>
                    <a:schemeClr val="tx1"/>
                  </a:solidFill>
                  <a:effectLst/>
                  <a:latin typeface="+mn-lt"/>
                  <a:ea typeface="+mn-ea"/>
                  <a:cs typeface="+mn-cs"/>
                </a:rPr>
                <a:t>𝑁_(𝑎𝑐𝑐_𝑛𝑜𝑑𝑒 ))/𝐸</a:t>
              </a:r>
              <a:r>
                <a:rPr lang="en-US" sz="1100" b="0" i="1" baseline="0">
                  <a:solidFill>
                    <a:schemeClr val="tx1"/>
                  </a:solidFill>
                  <a:effectLst/>
                  <a:latin typeface="+mn-lt"/>
                  <a:ea typeface="+mn-ea"/>
                  <a:cs typeface="+mn-cs"/>
                </a:rPr>
                <a:t>; ;</a:t>
              </a:r>
            </a:p>
            <a:p>
              <a:r>
                <a:rPr lang="en-US" sz="1100" b="0" i="1" baseline="0">
                  <a:solidFill>
                    <a:schemeClr val="tx1"/>
                  </a:solidFill>
                  <a:effectLst/>
                  <a:latin typeface="+mn-lt"/>
                  <a:ea typeface="+mn-ea"/>
                  <a:cs typeface="+mn-cs"/>
                </a:rPr>
                <a:t>E = min(N_experts, N_acc_total)</a:t>
              </a:r>
            </a:p>
            <a:p>
              <a:pPr/>
              <a:r>
                <a:rPr lang="en-US" sz="1100" b="0" i="0" baseline="0">
                  <a:solidFill>
                    <a:schemeClr val="tx1"/>
                  </a:solidFill>
                  <a:effectLst/>
                  <a:latin typeface="Cambria Math" panose="02040503050406030204" pitchFamily="18" charset="0"/>
                  <a:ea typeface="+mn-ea"/>
                  <a:cs typeface="+mn-cs"/>
                </a:rPr>
                <a:t>" </a:t>
              </a:r>
              <a:r>
                <a:rPr lang="en-GB" sz="1100" b="0" i="0" baseline="0">
                  <a:solidFill>
                    <a:schemeClr val="tx1"/>
                  </a:solidFill>
                  <a:effectLst/>
                  <a:latin typeface="+mn-lt"/>
                  <a:ea typeface="+mn-ea"/>
                  <a:cs typeface="+mn-cs"/>
                </a:rPr>
                <a:t>"</a:t>
              </a:r>
              <a:endParaRPr lang="en-GB" sz="1400" baseline="0">
                <a:solidFill>
                  <a:schemeClr val="tx1"/>
                </a:solidFill>
              </a:endParaRPr>
            </a:p>
          </xdr:txBody>
        </xdr:sp>
      </mc:Fallback>
    </mc:AlternateContent>
    <xdr:clientData/>
  </xdr:oneCellAnchor>
  <xdr:oneCellAnchor>
    <xdr:from>
      <xdr:col>1</xdr:col>
      <xdr:colOff>285750</xdr:colOff>
      <xdr:row>275</xdr:row>
      <xdr:rowOff>66675</xdr:rowOff>
    </xdr:from>
    <xdr:ext cx="6391275" cy="501676"/>
    <mc:AlternateContent xmlns:mc="http://schemas.openxmlformats.org/markup-compatibility/2006" xmlns:a14="http://schemas.microsoft.com/office/drawing/2010/main">
      <mc:Choice Requires="a14">
        <xdr:sp macro="" textlink="">
          <xdr:nvSpPr>
            <xdr:cNvPr id="558" name="TextBox 90">
              <a:extLst>
                <a:ext uri="{FF2B5EF4-FFF2-40B4-BE49-F238E27FC236}">
                  <a16:creationId xmlns:a16="http://schemas.microsoft.com/office/drawing/2014/main" id="{9D7E1867-5069-4337-96AA-9EF5315918F4}"/>
                </a:ext>
              </a:extLst>
            </xdr:cNvPr>
            <xdr:cNvSpPr txBox="1"/>
          </xdr:nvSpPr>
          <xdr:spPr>
            <a:xfrm>
              <a:off x="3543300" y="98307525"/>
              <a:ext cx="6391275" cy="50167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US" sz="1400" b="0" i="1">
                      <a:solidFill>
                        <a:schemeClr val="tx1"/>
                      </a:solidFill>
                      <a:latin typeface="Cambria Math" panose="02040503050406030204" pitchFamily="18" charset="0"/>
                    </a:rPr>
                    <m:t>𝑀</m:t>
                  </m:r>
                  <m:sSub>
                    <m:sSubPr>
                      <m:ctrlPr>
                        <a:rPr lang="en-US" sz="1400" b="0" i="1" baseline="-25000">
                          <a:solidFill>
                            <a:schemeClr val="tx1"/>
                          </a:solidFill>
                          <a:latin typeface="Cambria Math" panose="02040503050406030204" pitchFamily="18" charset="0"/>
                        </a:rPr>
                      </m:ctrlPr>
                    </m:sSubPr>
                    <m:e>
                      <m:r>
                        <a:rPr lang="en-US" sz="1400" b="0" i="1" baseline="-25000">
                          <a:solidFill>
                            <a:schemeClr val="tx1"/>
                          </a:solidFill>
                          <a:latin typeface="Cambria Math" panose="02040503050406030204" pitchFamily="18" charset="0"/>
                        </a:rPr>
                        <m:t>𝑏</m:t>
                      </m:r>
                    </m:e>
                    <m:sub>
                      <m:r>
                        <a:rPr lang="en-US" sz="1400" b="0" i="1" baseline="-25000">
                          <a:solidFill>
                            <a:schemeClr val="tx1"/>
                          </a:solidFill>
                          <a:latin typeface="Cambria Math" panose="02040503050406030204" pitchFamily="18" charset="0"/>
                        </a:rPr>
                        <m:t>𝑀𝑜𝐸</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𝑙</m:t>
                          </m:r>
                        </m:e>
                      </m:d>
                    </m:sub>
                  </m:sSub>
                  <m:r>
                    <a:rPr lang="en-US" sz="1400" b="0" i="1" baseline="0">
                      <a:solidFill>
                        <a:schemeClr val="tx1"/>
                      </a:solidFill>
                      <a:latin typeface="Cambria Math" panose="02040503050406030204" pitchFamily="18" charset="0"/>
                    </a:rPr>
                    <m:t>= </m:t>
                  </m:r>
                  <m:r>
                    <a:rPr lang="en-GB" sz="1400" i="1">
                      <a:solidFill>
                        <a:schemeClr val="tx1"/>
                      </a:solidFill>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𝑖𝑛𝑡𝑒𝑟</m:t>
                      </m:r>
                    </m:sub>
                  </m:sSub>
                  <m:r>
                    <a:rPr lang="en-US" sz="1100" b="0" i="1">
                      <a:solidFill>
                        <a:schemeClr val="tx1"/>
                      </a:solidFill>
                      <a:effectLst/>
                      <a:latin typeface="Cambria Math" panose="02040503050406030204" pitchFamily="18" charset="0"/>
                      <a:ea typeface="+mn-ea"/>
                      <a:cs typeface="+mn-cs"/>
                    </a:rPr>
                    <m:t> </m:t>
                  </m:r>
                  <m:r>
                    <m:rPr>
                      <m:nor/>
                    </m:rPr>
                    <a:rPr lang="en-US" sz="1100" b="0" i="0" baseline="0">
                      <a:solidFill>
                        <a:schemeClr val="tx1"/>
                      </a:solidFill>
                      <a:effectLst/>
                      <a:latin typeface="+mn-lt"/>
                      <a:ea typeface="+mn-ea"/>
                      <a:cs typeface="+mn-cs"/>
                    </a:rPr>
                    <m:t>∗</m:t>
                  </m:r>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𝑡𝑜𝑝𝑜</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𝑛𝑜𝑑𝑒𝑠</m:t>
                      </m:r>
                    </m:sub>
                  </m:sSub>
                  <m:r>
                    <a:rPr lang="en-GB" sz="110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𝑁</m:t>
                  </m:r>
                  <m:r>
                    <a:rPr lang="en-US" sz="1100" b="0" i="1" baseline="-25000">
                      <a:solidFill>
                        <a:schemeClr val="tx1"/>
                      </a:solidFill>
                      <a:effectLst/>
                      <a:latin typeface="Cambria Math" panose="02040503050406030204" pitchFamily="18" charset="0"/>
                      <a:ea typeface="+mn-ea"/>
                      <a:cs typeface="+mn-cs"/>
                    </a:rPr>
                    <m:t>𝑒𝑟𝑟</m:t>
                  </m:r>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r>
                        <a:rPr lang="en-US" sz="1100" b="0" i="1" baseline="0">
                          <a:solidFill>
                            <a:schemeClr val="tx1"/>
                          </a:solidFill>
                          <a:effectLst/>
                          <a:latin typeface="Cambria Math" panose="02040503050406030204" pitchFamily="18" charset="0"/>
                          <a:ea typeface="+mn-ea"/>
                          <a:cs typeface="+mn-cs"/>
                        </a:rPr>
                        <m:t>1</m:t>
                      </m:r>
                    </m:num>
                    <m:den>
                      <m:r>
                        <a:rPr lang="en-US" sz="1100" b="0" i="1" baseline="0">
                          <a:solidFill>
                            <a:schemeClr val="tx1"/>
                          </a:solidFill>
                          <a:effectLst/>
                          <a:latin typeface="Cambria Math" panose="02040503050406030204" pitchFamily="18" charset="0"/>
                          <a:ea typeface="+mn-ea"/>
                          <a:cs typeface="+mn-cs"/>
                        </a:rPr>
                        <m:t>𝑁</m:t>
                      </m:r>
                      <m:r>
                        <a:rPr lang="en-US" sz="1100" b="0" i="1" baseline="-25000">
                          <a:solidFill>
                            <a:schemeClr val="tx1"/>
                          </a:solidFill>
                          <a:effectLst/>
                          <a:latin typeface="Cambria Math" panose="02040503050406030204" pitchFamily="18" charset="0"/>
                          <a:ea typeface="+mn-ea"/>
                          <a:cs typeface="+mn-cs"/>
                        </a:rPr>
                        <m:t>𝑛𝑜𝑑𝑒𝑠</m:t>
                      </m:r>
                      <m:r>
                        <a:rPr lang="en-US" sz="1100" b="0" i="1" baseline="0">
                          <a:solidFill>
                            <a:schemeClr val="tx1"/>
                          </a:solidFill>
                          <a:effectLst/>
                          <a:latin typeface="Cambria Math" panose="02040503050406030204" pitchFamily="18" charset="0"/>
                          <a:ea typeface="+mn-ea"/>
                          <a:cs typeface="+mn-cs"/>
                        </a:rPr>
                        <m:t> </m:t>
                      </m:r>
                      <m:r>
                        <m:rPr>
                          <m:sty m:val="p"/>
                        </m:rPr>
                        <a:rPr lang="en-US" sz="1100" b="0" i="0" baseline="0">
                          <a:solidFill>
                            <a:schemeClr val="tx1"/>
                          </a:solidFill>
                          <a:effectLst/>
                          <a:latin typeface="Cambria Math" panose="02040503050406030204" pitchFamily="18" charset="0"/>
                          <a:ea typeface="+mn-ea"/>
                          <a:cs typeface="+mn-cs"/>
                        </a:rPr>
                        <m:t>x</m:t>
                      </m:r>
                      <m:r>
                        <a:rPr lang="en-US" sz="1100" b="0" i="1" baseline="0">
                          <a:solidFill>
                            <a:schemeClr val="tx1"/>
                          </a:solidFill>
                          <a:effectLst/>
                          <a:latin typeface="Cambria Math" panose="02040503050406030204" pitchFamily="18" charset="0"/>
                          <a:ea typeface="+mn-ea"/>
                          <a:cs typeface="+mn-cs"/>
                        </a:rPr>
                        <m:t> </m:t>
                      </m:r>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𝑖𝑛𝑡𝑟𝑎</m:t>
                          </m:r>
                        </m:sub>
                      </m:sSub>
                    </m:den>
                  </m:f>
                </m:oMath>
              </a14:m>
              <a:r>
                <a:rPr lang="en-GB" sz="1400" baseline="0">
                  <a:solidFill>
                    <a:schemeClr val="tx1"/>
                  </a:solidFill>
                </a:rPr>
                <a:t>  +</a:t>
              </a:r>
              <a14:m>
                <m:oMath xmlns:m="http://schemas.openxmlformats.org/officeDocument/2006/math">
                  <m:r>
                    <a:rPr lang="en-US" sz="1100" b="0" i="1" baseline="0">
                      <a:solidFill>
                        <a:schemeClr val="tx1"/>
                      </a:solidFill>
                      <a:effectLst/>
                      <a:latin typeface="Cambria Math" panose="02040503050406030204" pitchFamily="18" charset="0"/>
                      <a:ea typeface="+mn-ea"/>
                      <a:cs typeface="+mn-cs"/>
                    </a:rPr>
                    <m:t> </m:t>
                  </m:r>
                  <m:f>
                    <m:fPr>
                      <m:ctrlPr>
                        <a:rPr lang="en-GB" sz="1100" i="1" baseline="0">
                          <a:solidFill>
                            <a:schemeClr val="tx1"/>
                          </a:solidFill>
                          <a:effectLst/>
                          <a:latin typeface="Cambria Math" panose="02040503050406030204" pitchFamily="18" charset="0"/>
                          <a:ea typeface="+mn-ea"/>
                          <a:cs typeface="+mn-cs"/>
                        </a:rPr>
                      </m:ctrlPr>
                    </m:fPr>
                    <m:num>
                      <m:d>
                        <m:dPr>
                          <m:ctrlPr>
                            <a:rPr lang="en-US" sz="1100" b="0" i="1" baseline="0">
                              <a:solidFill>
                                <a:schemeClr val="tx1"/>
                              </a:solidFill>
                              <a:effectLst/>
                              <a:latin typeface="Cambria Math" panose="02040503050406030204" pitchFamily="18" charset="0"/>
                              <a:ea typeface="+mn-ea"/>
                              <a:cs typeface="+mn-cs"/>
                            </a:rPr>
                          </m:ctrlPr>
                        </m:dPr>
                        <m:e>
                          <m:r>
                            <a:rPr lang="en-US" sz="1100" b="0" i="1" baseline="0">
                              <a:solidFill>
                                <a:schemeClr val="tx1"/>
                              </a:solidFill>
                              <a:effectLst/>
                              <a:latin typeface="Cambria Math" panose="02040503050406030204" pitchFamily="18" charset="0"/>
                              <a:ea typeface="+mn-ea"/>
                              <a:cs typeface="+mn-cs"/>
                            </a:rPr>
                            <m:t>𝑁</m:t>
                          </m:r>
                          <m:r>
                            <a:rPr lang="en-US" sz="1100" b="0" i="1" baseline="-25000">
                              <a:solidFill>
                                <a:schemeClr val="tx1"/>
                              </a:solidFill>
                              <a:effectLst/>
                              <a:latin typeface="Cambria Math" panose="02040503050406030204" pitchFamily="18" charset="0"/>
                              <a:ea typeface="+mn-ea"/>
                              <a:cs typeface="+mn-cs"/>
                            </a:rPr>
                            <m:t>𝑛𝑜𝑑𝑒𝑠</m:t>
                          </m:r>
                          <m:r>
                            <a:rPr lang="en-US" sz="1100" b="0" i="1" baseline="0">
                              <a:solidFill>
                                <a:schemeClr val="tx1"/>
                              </a:solidFill>
                              <a:effectLst/>
                              <a:latin typeface="Cambria Math" panose="02040503050406030204" pitchFamily="18" charset="0"/>
                              <a:ea typeface="+mn-ea"/>
                              <a:cs typeface="+mn-cs"/>
                            </a:rPr>
                            <m:t> −1</m:t>
                          </m:r>
                        </m:e>
                      </m:d>
                      <m:r>
                        <a:rPr lang="en-US" sz="1100" b="0" i="1" baseline="0">
                          <a:solidFill>
                            <a:schemeClr val="tx1"/>
                          </a:solidFill>
                          <a:effectLst/>
                          <a:latin typeface="Cambria Math" panose="02040503050406030204" pitchFamily="18" charset="0"/>
                          <a:ea typeface="+mn-ea"/>
                          <a:cs typeface="+mn-cs"/>
                        </a:rPr>
                        <m:t> </m:t>
                      </m:r>
                    </m:num>
                    <m:den>
                      <m:r>
                        <a:rPr lang="en-US" sz="1100" b="0" i="1" baseline="0">
                          <a:solidFill>
                            <a:schemeClr val="tx1"/>
                          </a:solidFill>
                          <a:effectLst/>
                          <a:latin typeface="Cambria Math" panose="02040503050406030204" pitchFamily="18" charset="0"/>
                          <a:ea typeface="+mn-ea"/>
                          <a:cs typeface="+mn-cs"/>
                        </a:rPr>
                        <m:t>𝑁</m:t>
                      </m:r>
                      <m:r>
                        <a:rPr lang="en-US" sz="1100" b="0" i="1" baseline="-25000">
                          <a:solidFill>
                            <a:schemeClr val="tx1"/>
                          </a:solidFill>
                          <a:effectLst/>
                          <a:latin typeface="Cambria Math" panose="02040503050406030204" pitchFamily="18" charset="0"/>
                          <a:ea typeface="+mn-ea"/>
                          <a:cs typeface="+mn-cs"/>
                        </a:rPr>
                        <m:t>𝑛𝑜𝑑𝑒𝑠</m:t>
                      </m:r>
                      <m:r>
                        <a:rPr lang="en-US" sz="1100" b="0" i="1" baseline="0">
                          <a:solidFill>
                            <a:schemeClr val="tx1"/>
                          </a:solidFill>
                          <a:effectLst/>
                          <a:latin typeface="Cambria Math" panose="02040503050406030204" pitchFamily="18" charset="0"/>
                          <a:ea typeface="+mn-ea"/>
                          <a:cs typeface="+mn-cs"/>
                        </a:rPr>
                        <m:t> </m:t>
                      </m:r>
                      <m:r>
                        <m:rPr>
                          <m:sty m:val="p"/>
                        </m:rPr>
                        <a:rPr lang="en-US" sz="1100" b="0" i="0" baseline="0">
                          <a:solidFill>
                            <a:schemeClr val="tx1"/>
                          </a:solidFill>
                          <a:effectLst/>
                          <a:latin typeface="Cambria Math" panose="02040503050406030204" pitchFamily="18" charset="0"/>
                          <a:ea typeface="+mn-ea"/>
                          <a:cs typeface="+mn-cs"/>
                        </a:rPr>
                        <m:t>x</m:t>
                      </m:r>
                      <m:r>
                        <a:rPr lang="en-US" sz="1100" b="0" i="1" baseline="0">
                          <a:solidFill>
                            <a:schemeClr val="tx1"/>
                          </a:solidFill>
                          <a:effectLst/>
                          <a:latin typeface="Cambria Math" panose="02040503050406030204" pitchFamily="18" charset="0"/>
                          <a:ea typeface="+mn-ea"/>
                          <a:cs typeface="+mn-cs"/>
                        </a:rPr>
                        <m:t>  </m:t>
                      </m:r>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𝑖𝑛𝑡𝑒𝑟</m:t>
                          </m:r>
                        </m:sub>
                      </m:sSub>
                    </m:den>
                  </m:f>
                </m:oMath>
              </a14:m>
              <a:r>
                <a:rPr lang="en-GB" sz="1400" baseline="0">
                  <a:solidFill>
                    <a:schemeClr val="tx1"/>
                  </a:solidFill>
                </a:rPr>
                <a:t>] * </a:t>
              </a:r>
              <a14:m>
                <m:oMath xmlns:m="http://schemas.openxmlformats.org/officeDocument/2006/math">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𝑒𝑟𝑟</m:t>
                      </m:r>
                    </m:sub>
                  </m:sSub>
                </m:oMath>
              </a14:m>
              <a:r>
                <a:rPr lang="en-GB" sz="1400" baseline="0">
                  <a:solidFill>
                    <a:schemeClr val="tx1"/>
                  </a:solidFill>
                </a:rPr>
                <a:t> * </a:t>
              </a:r>
              <a14:m>
                <m:oMath xmlns:m="http://schemas.openxmlformats.org/officeDocument/2006/math">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𝑡𝑜𝑝𝑜</m:t>
                      </m:r>
                    </m:sub>
                  </m:sSub>
                </m:oMath>
              </a14:m>
              <a:endParaRPr lang="en-US" sz="1100" b="0" i="1" baseline="0">
                <a:solidFill>
                  <a:schemeClr val="tx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r>
                      <m:rPr>
                        <m:nor/>
                      </m:rPr>
                      <a:rPr lang="en-US" sz="1100" b="0" i="1" baseline="0">
                        <a:solidFill>
                          <a:schemeClr val="tx1"/>
                        </a:solidFill>
                        <a:effectLst/>
                        <a:latin typeface="+mn-lt"/>
                        <a:ea typeface="+mn-ea"/>
                        <a:cs typeface="+mn-cs"/>
                      </a:rPr>
                      <m:t> </m:t>
                    </m:r>
                  </m:oMath>
                </m:oMathPara>
              </a14:m>
              <a:endParaRPr lang="en-GB" sz="1400" baseline="0">
                <a:solidFill>
                  <a:schemeClr val="tx1"/>
                </a:solidFill>
              </a:endParaRPr>
            </a:p>
          </xdr:txBody>
        </xdr:sp>
      </mc:Choice>
      <mc:Fallback xmlns="">
        <xdr:sp macro="" textlink="">
          <xdr:nvSpPr>
            <xdr:cNvPr id="32" name="TextBox 90">
              <a:extLst>
                <a:ext uri="{FF2B5EF4-FFF2-40B4-BE49-F238E27FC236}">
                  <a16:creationId xmlns:a16="http://schemas.microsoft.com/office/drawing/2014/main" id="{9D7E1867-5069-4337-96AA-9EF5315918F4}"/>
                </a:ext>
              </a:extLst>
            </xdr:cNvPr>
            <xdr:cNvSpPr txBox="1"/>
          </xdr:nvSpPr>
          <xdr:spPr>
            <a:xfrm>
              <a:off x="3543300" y="98307525"/>
              <a:ext cx="6391275" cy="50167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𝑏_𝑀𝑜𝐸</a:t>
              </a:r>
              <a:r>
                <a:rPr lang="en-US" sz="1400" b="0" i="0" baseline="0">
                  <a:solidFill>
                    <a:schemeClr val="tx1"/>
                  </a:solidFill>
                  <a:latin typeface="Cambria Math" panose="02040503050406030204" pitchFamily="18" charset="0"/>
                </a:rPr>
                <a:t>(𝑙) = </a:t>
              </a:r>
              <a:r>
                <a:rPr lang="en-GB" sz="1400" i="0">
                  <a:solidFill>
                    <a:schemeClr val="tx1"/>
                  </a:solidFill>
                  <a:latin typeface="Cambria Math" panose="02040503050406030204" pitchFamily="18" charset="0"/>
                </a:rPr>
                <a:t> </a:t>
              </a:r>
              <a:r>
                <a:rPr lang="en-US" sz="1100" b="0" i="0">
                  <a:solidFill>
                    <a:schemeClr val="tx1"/>
                  </a:solidFill>
                  <a:effectLst/>
                  <a:latin typeface="Cambria Math" panose="02040503050406030204" pitchFamily="18" charset="0"/>
                  <a:ea typeface="+mn-ea"/>
                  <a:cs typeface="+mn-cs"/>
                </a:rPr>
                <a:t>𝐶_𝑖𝑛𝑡𝑒𝑟  </a:t>
              </a:r>
              <a:r>
                <a:rPr lang="en-US" sz="1100" b="0" i="0" baseline="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 𝑁_𝑡𝑜𝑝𝑜∗𝑁_𝑛𝑜𝑑𝑒𝑠</a:t>
              </a:r>
              <a:r>
                <a:rPr lang="en-GB" sz="110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𝑁</a:t>
              </a:r>
              <a:r>
                <a:rPr lang="en-US" sz="1100" b="0" i="0" baseline="-25000">
                  <a:solidFill>
                    <a:schemeClr val="tx1"/>
                  </a:solidFill>
                  <a:effectLst/>
                  <a:latin typeface="Cambria Math" panose="02040503050406030204" pitchFamily="18" charset="0"/>
                  <a:ea typeface="+mn-ea"/>
                  <a:cs typeface="+mn-cs"/>
                </a:rPr>
                <a:t>𝑒𝑟𝑟</a:t>
              </a:r>
              <a:r>
                <a:rPr lang="en-US" sz="1100" b="0" i="0" baseline="0">
                  <a:solidFill>
                    <a:schemeClr val="tx1"/>
                  </a:solidFill>
                  <a:effectLst/>
                  <a:latin typeface="Cambria Math" panose="02040503050406030204" pitchFamily="18" charset="0"/>
                  <a:ea typeface="+mn-ea"/>
                  <a:cs typeface="+mn-cs"/>
                </a:rPr>
                <a:t>[  1</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𝑁</a:t>
              </a:r>
              <a:r>
                <a:rPr lang="en-US" sz="1100" b="0" i="0" baseline="-25000">
                  <a:solidFill>
                    <a:schemeClr val="tx1"/>
                  </a:solidFill>
                  <a:effectLst/>
                  <a:latin typeface="Cambria Math" panose="02040503050406030204" pitchFamily="18" charset="0"/>
                  <a:ea typeface="+mn-ea"/>
                  <a:cs typeface="+mn-cs"/>
                </a:rPr>
                <a:t>𝑛𝑜𝑑𝑒𝑠</a:t>
              </a:r>
              <a:r>
                <a:rPr lang="en-US" sz="1100" b="0" i="0" baseline="0">
                  <a:solidFill>
                    <a:schemeClr val="tx1"/>
                  </a:solidFill>
                  <a:effectLst/>
                  <a:latin typeface="Cambria Math" panose="02040503050406030204" pitchFamily="18" charset="0"/>
                  <a:ea typeface="+mn-ea"/>
                  <a:cs typeface="+mn-cs"/>
                </a:rPr>
                <a:t> x 𝐵𝑊_𝑖𝑛𝑡𝑟𝑎 </a:t>
              </a:r>
              <a:r>
                <a:rPr lang="en-GB" sz="1100" b="0" i="0" baseline="0">
                  <a:solidFill>
                    <a:schemeClr val="tx1"/>
                  </a:solidFill>
                  <a:effectLst/>
                  <a:latin typeface="Cambria Math" panose="02040503050406030204" pitchFamily="18" charset="0"/>
                  <a:ea typeface="+mn-ea"/>
                  <a:cs typeface="+mn-cs"/>
                </a:rPr>
                <a:t>)</a:t>
              </a:r>
              <a:r>
                <a:rPr lang="en-GB" sz="1400" baseline="0">
                  <a:solidFill>
                    <a:schemeClr val="tx1"/>
                  </a:solidFill>
                </a:rPr>
                <a:t>  +</a:t>
              </a:r>
              <a:r>
                <a:rPr lang="en-US" sz="1100" b="0" i="0" baseline="0">
                  <a:solidFill>
                    <a:schemeClr val="tx1"/>
                  </a:solidFill>
                  <a:effectLst/>
                  <a:latin typeface="Cambria Math" panose="02040503050406030204" pitchFamily="18" charset="0"/>
                  <a:ea typeface="+mn-ea"/>
                  <a:cs typeface="+mn-cs"/>
                </a:rPr>
                <a:t>  </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(𝑁</a:t>
              </a:r>
              <a:r>
                <a:rPr lang="en-US" sz="1100" b="0" i="0" baseline="-25000">
                  <a:solidFill>
                    <a:schemeClr val="tx1"/>
                  </a:solidFill>
                  <a:effectLst/>
                  <a:latin typeface="Cambria Math" panose="02040503050406030204" pitchFamily="18" charset="0"/>
                  <a:ea typeface="+mn-ea"/>
                  <a:cs typeface="+mn-cs"/>
                </a:rPr>
                <a:t>𝑛𝑜𝑑𝑒𝑠</a:t>
              </a:r>
              <a:r>
                <a:rPr lang="en-US" sz="1100" b="0" i="0" baseline="0">
                  <a:solidFill>
                    <a:schemeClr val="tx1"/>
                  </a:solidFill>
                  <a:effectLst/>
                  <a:latin typeface="Cambria Math" panose="02040503050406030204" pitchFamily="18" charset="0"/>
                  <a:ea typeface="+mn-ea"/>
                  <a:cs typeface="+mn-cs"/>
                </a:rPr>
                <a:t> −1)  </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𝑁</a:t>
              </a:r>
              <a:r>
                <a:rPr lang="en-US" sz="1100" b="0" i="0" baseline="-25000">
                  <a:solidFill>
                    <a:schemeClr val="tx1"/>
                  </a:solidFill>
                  <a:effectLst/>
                  <a:latin typeface="Cambria Math" panose="02040503050406030204" pitchFamily="18" charset="0"/>
                  <a:ea typeface="+mn-ea"/>
                  <a:cs typeface="+mn-cs"/>
                </a:rPr>
                <a:t>𝑛𝑜𝑑𝑒𝑠</a:t>
              </a:r>
              <a:r>
                <a:rPr lang="en-US" sz="1100" b="0" i="0" baseline="0">
                  <a:solidFill>
                    <a:schemeClr val="tx1"/>
                  </a:solidFill>
                  <a:effectLst/>
                  <a:latin typeface="Cambria Math" panose="02040503050406030204" pitchFamily="18" charset="0"/>
                  <a:ea typeface="+mn-ea"/>
                  <a:cs typeface="+mn-cs"/>
                </a:rPr>
                <a:t> x  𝐵𝑊_𝑖𝑛𝑡𝑒𝑟 </a:t>
              </a:r>
              <a:r>
                <a:rPr lang="en-GB" sz="1100" b="0" i="0" baseline="0">
                  <a:solidFill>
                    <a:schemeClr val="tx1"/>
                  </a:solidFill>
                  <a:effectLst/>
                  <a:latin typeface="Cambria Math" panose="02040503050406030204" pitchFamily="18" charset="0"/>
                  <a:ea typeface="+mn-ea"/>
                  <a:cs typeface="+mn-cs"/>
                </a:rPr>
                <a:t>)</a:t>
              </a:r>
              <a:r>
                <a:rPr lang="en-GB" sz="1400" baseline="0">
                  <a:solidFill>
                    <a:schemeClr val="tx1"/>
                  </a:solidFill>
                </a:rPr>
                <a:t>] * </a:t>
              </a:r>
              <a:r>
                <a:rPr lang="en-US" sz="1100" b="0" i="0" baseline="0">
                  <a:solidFill>
                    <a:schemeClr val="tx1"/>
                  </a:solidFill>
                  <a:effectLst/>
                  <a:latin typeface="Cambria Math" panose="02040503050406030204" pitchFamily="18" charset="0"/>
                  <a:ea typeface="+mn-ea"/>
                  <a:cs typeface="+mn-cs"/>
                </a:rPr>
                <a:t>𝑆_𝑒𝑟𝑟</a:t>
              </a:r>
              <a:r>
                <a:rPr lang="en-GB" sz="1400" baseline="0">
                  <a:solidFill>
                    <a:schemeClr val="tx1"/>
                  </a:solidFill>
                </a:rPr>
                <a:t> * </a:t>
              </a:r>
              <a:r>
                <a:rPr lang="en-US" sz="1100" b="0" i="0">
                  <a:solidFill>
                    <a:schemeClr val="tx1"/>
                  </a:solidFill>
                  <a:effectLst/>
                  <a:latin typeface="Cambria Math" panose="02040503050406030204" pitchFamily="18" charset="0"/>
                  <a:ea typeface="+mn-ea"/>
                  <a:cs typeface="+mn-cs"/>
                </a:rPr>
                <a:t>𝑁_𝑡𝑜𝑝𝑜</a:t>
              </a:r>
              <a:endParaRPr lang="en-US" sz="1100" b="0" i="1" baseline="0">
                <a:solidFill>
                  <a:schemeClr val="tx1"/>
                </a:solidFill>
                <a:effectLst/>
                <a:latin typeface="+mn-lt"/>
                <a:ea typeface="+mn-ea"/>
                <a:cs typeface="+mn-cs"/>
              </a:endParaRPr>
            </a:p>
            <a:p>
              <a:pPr/>
              <a:r>
                <a:rPr lang="en-US" sz="1100" b="0" i="0" baseline="0">
                  <a:solidFill>
                    <a:schemeClr val="tx1"/>
                  </a:solidFill>
                  <a:effectLst/>
                  <a:latin typeface="Cambria Math" panose="02040503050406030204" pitchFamily="18" charset="0"/>
                  <a:ea typeface="+mn-ea"/>
                  <a:cs typeface="+mn-cs"/>
                </a:rPr>
                <a:t>" </a:t>
              </a:r>
              <a:r>
                <a:rPr lang="en-GB" sz="1100" b="0" i="0" baseline="0">
                  <a:solidFill>
                    <a:schemeClr val="tx1"/>
                  </a:solidFill>
                  <a:effectLst/>
                  <a:latin typeface="+mn-lt"/>
                  <a:ea typeface="+mn-ea"/>
                  <a:cs typeface="+mn-cs"/>
                </a:rPr>
                <a:t>"</a:t>
              </a:r>
              <a:endParaRPr lang="en-GB" sz="1400" baseline="0">
                <a:solidFill>
                  <a:schemeClr val="tx1"/>
                </a:solidFill>
              </a:endParaRPr>
            </a:p>
          </xdr:txBody>
        </xdr:sp>
      </mc:Fallback>
    </mc:AlternateContent>
    <xdr:clientData/>
  </xdr:oneCellAnchor>
  <xdr:oneCellAnchor>
    <xdr:from>
      <xdr:col>0</xdr:col>
      <xdr:colOff>2951843</xdr:colOff>
      <xdr:row>57</xdr:row>
      <xdr:rowOff>53521</xdr:rowOff>
    </xdr:from>
    <xdr:ext cx="4454071" cy="670379"/>
    <mc:AlternateContent xmlns:mc="http://schemas.openxmlformats.org/markup-compatibility/2006" xmlns:a14="http://schemas.microsoft.com/office/drawing/2010/main">
      <mc:Choice Requires="a14">
        <xdr:sp macro="" textlink="">
          <xdr:nvSpPr>
            <xdr:cNvPr id="529" name="TextBox 76">
              <a:extLst>
                <a:ext uri="{FF2B5EF4-FFF2-40B4-BE49-F238E27FC236}">
                  <a16:creationId xmlns:a16="http://schemas.microsoft.com/office/drawing/2014/main" id="{9699A79E-C455-40C0-AFBD-F93144A62BE0}"/>
                </a:ext>
              </a:extLst>
            </xdr:cNvPr>
            <xdr:cNvSpPr txBox="1"/>
          </xdr:nvSpPr>
          <xdr:spPr>
            <a:xfrm>
              <a:off x="2951843" y="20332246"/>
              <a:ext cx="4454071" cy="670379"/>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US" sz="1400" b="0" i="0">
                <a:solidFill>
                  <a:sysClr val="windowText" lastClr="000000"/>
                </a:solidFill>
                <a:latin typeface="Cambria Math" panose="02040503050406030204" pitchFamily="18" charset="0"/>
              </a:endParaRPr>
            </a:p>
            <a:p>
              <a14:m>
                <m:oMath xmlns:m="http://schemas.openxmlformats.org/officeDocument/2006/math">
                  <m:r>
                    <m:rPr>
                      <m:sty m:val="p"/>
                    </m:rPr>
                    <a:rPr lang="en-US" sz="1400" b="0" i="0">
                      <a:solidFill>
                        <a:sysClr val="windowText" lastClr="000000"/>
                      </a:solidFill>
                      <a:latin typeface="Cambria Math" panose="02040503050406030204" pitchFamily="18" charset="0"/>
                    </a:rPr>
                    <m:t>Eff</m:t>
                  </m:r>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ub</m:t>
                      </m:r>
                    </m:e>
                  </m:d>
                  <m:r>
                    <a:rPr lang="en-US" sz="1400" b="0" i="0">
                      <a:solidFill>
                        <a:sysClr val="windowText" lastClr="000000"/>
                      </a:solidFill>
                      <a:latin typeface="Cambria Math" panose="02040503050406030204" pitchFamily="18" charset="0"/>
                    </a:rPr>
                    <m:t>=  0.980445</m:t>
                  </m:r>
                </m:oMath>
              </a14:m>
              <a:r>
                <a:rPr lang="en-GB" sz="1400" i="0">
                  <a:latin typeface="Cambria" panose="02040503050406030204" pitchFamily="18" charset="0"/>
                  <a:ea typeface="Cambria" panose="02040503050406030204" pitchFamily="18" charset="0"/>
                  <a:cs typeface="Times New Roman" panose="02020603050405020304" pitchFamily="18" charset="0"/>
                </a:rPr>
                <a:t>/(1+34.4454/ub)  if ub &lt;=1024</a:t>
              </a:r>
            </a:p>
            <a:p>
              <a:r>
                <a:rPr lang="en-GB" sz="1400" i="0">
                  <a:latin typeface="Cambria" panose="02040503050406030204" pitchFamily="18" charset="0"/>
                  <a:ea typeface="Cambria" panose="02040503050406030204" pitchFamily="18" charset="0"/>
                  <a:cs typeface="Times New Roman" panose="02020603050405020304" pitchFamily="18" charset="0"/>
                </a:rPr>
                <a:t>	= 0.91 if ub =</a:t>
              </a:r>
              <a:r>
                <a:rPr lang="en-GB" sz="1400" i="0" baseline="0">
                  <a:latin typeface="Cambria" panose="02040503050406030204" pitchFamily="18" charset="0"/>
                  <a:ea typeface="Cambria" panose="02040503050406030204" pitchFamily="18" charset="0"/>
                  <a:cs typeface="Times New Roman" panose="02020603050405020304" pitchFamily="18" charset="0"/>
                </a:rPr>
                <a:t> 2048 (max batch size allowed)</a:t>
              </a:r>
              <a:endParaRPr lang="en-GB" sz="1400" i="0">
                <a:latin typeface="Cambria" panose="02040503050406030204" pitchFamily="18" charset="0"/>
                <a:ea typeface="Cambria" panose="02040503050406030204" pitchFamily="18" charset="0"/>
                <a:cs typeface="Times New Roman" panose="02020603050405020304" pitchFamily="18" charset="0"/>
              </a:endParaRPr>
            </a:p>
          </xdr:txBody>
        </xdr:sp>
      </mc:Choice>
      <mc:Fallback xmlns="">
        <xdr:sp macro="" textlink="">
          <xdr:nvSpPr>
            <xdr:cNvPr id="560" name="TextBox 76">
              <a:extLst>
                <a:ext uri="{FF2B5EF4-FFF2-40B4-BE49-F238E27FC236}">
                  <a16:creationId xmlns:a16="http://schemas.microsoft.com/office/drawing/2014/main" id="{9699A79E-C455-40C0-AFBD-F93144A62BE0}"/>
                </a:ext>
              </a:extLst>
            </xdr:cNvPr>
            <xdr:cNvSpPr txBox="1"/>
          </xdr:nvSpPr>
          <xdr:spPr>
            <a:xfrm>
              <a:off x="2951843" y="20332246"/>
              <a:ext cx="4454071" cy="670379"/>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US" sz="1400" b="0" i="0">
                <a:solidFill>
                  <a:sysClr val="windowText" lastClr="000000"/>
                </a:solidFill>
                <a:latin typeface="Cambria Math" panose="02040503050406030204" pitchFamily="18" charset="0"/>
              </a:endParaRPr>
            </a:p>
            <a:p>
              <a:pPr/>
              <a:r>
                <a:rPr lang="en-US" sz="1400" b="0" i="0">
                  <a:solidFill>
                    <a:sysClr val="windowText" lastClr="000000"/>
                  </a:solidFill>
                  <a:latin typeface="Cambria Math" panose="02040503050406030204" pitchFamily="18" charset="0"/>
                </a:rPr>
                <a:t>Eff(ub)=  0.980445</a:t>
              </a:r>
              <a:r>
                <a:rPr lang="en-GB" sz="1400" i="0">
                  <a:latin typeface="Cambria" panose="02040503050406030204" pitchFamily="18" charset="0"/>
                  <a:ea typeface="Cambria" panose="02040503050406030204" pitchFamily="18" charset="0"/>
                  <a:cs typeface="Times New Roman" panose="02020603050405020304" pitchFamily="18" charset="0"/>
                </a:rPr>
                <a:t>/(1+34.4454/ub)  if ub &lt;=1024</a:t>
              </a:r>
            </a:p>
            <a:p>
              <a:pPr/>
              <a:r>
                <a:rPr lang="en-GB" sz="1400" i="0">
                  <a:latin typeface="Cambria" panose="02040503050406030204" pitchFamily="18" charset="0"/>
                  <a:ea typeface="Cambria" panose="02040503050406030204" pitchFamily="18" charset="0"/>
                  <a:cs typeface="Times New Roman" panose="02020603050405020304" pitchFamily="18" charset="0"/>
                </a:rPr>
                <a:t>	= 0.91 if ub =</a:t>
              </a:r>
              <a:r>
                <a:rPr lang="en-GB" sz="1400" i="0" baseline="0">
                  <a:latin typeface="Cambria" panose="02040503050406030204" pitchFamily="18" charset="0"/>
                  <a:ea typeface="Cambria" panose="02040503050406030204" pitchFamily="18" charset="0"/>
                  <a:cs typeface="Times New Roman" panose="02020603050405020304" pitchFamily="18" charset="0"/>
                </a:rPr>
                <a:t> 2048 (max batch size allowed)</a:t>
              </a:r>
              <a:endParaRPr lang="en-GB" sz="1400" i="0">
                <a:latin typeface="Cambria" panose="02040503050406030204" pitchFamily="18" charset="0"/>
                <a:ea typeface="Cambria" panose="02040503050406030204" pitchFamily="18" charset="0"/>
                <a:cs typeface="Times New Roman" panose="02020603050405020304" pitchFamily="18" charset="0"/>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0</xdr:col>
      <xdr:colOff>561976</xdr:colOff>
      <xdr:row>12</xdr:row>
      <xdr:rowOff>38099</xdr:rowOff>
    </xdr:from>
    <xdr:to>
      <xdr:col>5</xdr:col>
      <xdr:colOff>171451</xdr:colOff>
      <xdr:row>33</xdr:row>
      <xdr:rowOff>47624</xdr:rowOff>
    </xdr:to>
    <xdr:graphicFrame macro="">
      <xdr:nvGraphicFramePr>
        <xdr:cNvPr id="4" name="Chart 3">
          <a:extLst>
            <a:ext uri="{FF2B5EF4-FFF2-40B4-BE49-F238E27FC236}">
              <a16:creationId xmlns:a16="http://schemas.microsoft.com/office/drawing/2014/main" id="{81FD395A-20F0-47EE-AEC4-9AA557C6D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357185</xdr:colOff>
      <xdr:row>12</xdr:row>
      <xdr:rowOff>22776</xdr:rowOff>
    </xdr:from>
    <xdr:to>
      <xdr:col>10</xdr:col>
      <xdr:colOff>228600</xdr:colOff>
      <xdr:row>33</xdr:row>
      <xdr:rowOff>32302</xdr:rowOff>
    </xdr:to>
    <xdr:graphicFrame macro="">
      <xdr:nvGraphicFramePr>
        <xdr:cNvPr id="5" name="Chart 4">
          <a:extLst>
            <a:ext uri="{FF2B5EF4-FFF2-40B4-BE49-F238E27FC236}">
              <a16:creationId xmlns:a16="http://schemas.microsoft.com/office/drawing/2014/main" id="{2804101C-0008-9C54-A5D9-714F39DE8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438149</xdr:colOff>
      <xdr:row>12</xdr:row>
      <xdr:rowOff>28574</xdr:rowOff>
    </xdr:from>
    <xdr:to>
      <xdr:col>13</xdr:col>
      <xdr:colOff>1552575</xdr:colOff>
      <xdr:row>33</xdr:row>
      <xdr:rowOff>38100</xdr:rowOff>
    </xdr:to>
    <xdr:graphicFrame macro="">
      <xdr:nvGraphicFramePr>
        <xdr:cNvPr id="6" name="Chart 5">
          <a:extLst>
            <a:ext uri="{FF2B5EF4-FFF2-40B4-BE49-F238E27FC236}">
              <a16:creationId xmlns:a16="http://schemas.microsoft.com/office/drawing/2014/main" id="{CD3C9438-0E53-737B-DE83-1E3FF4888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530087</xdr:colOff>
      <xdr:row>34</xdr:row>
      <xdr:rowOff>173934</xdr:rowOff>
    </xdr:from>
    <xdr:to>
      <xdr:col>5</xdr:col>
      <xdr:colOff>139562</xdr:colOff>
      <xdr:row>55</xdr:row>
      <xdr:rowOff>183459</xdr:rowOff>
    </xdr:to>
    <xdr:graphicFrame macro="">
      <xdr:nvGraphicFramePr>
        <xdr:cNvPr id="7" name="Chart 6">
          <a:extLst>
            <a:ext uri="{FF2B5EF4-FFF2-40B4-BE49-F238E27FC236}">
              <a16:creationId xmlns:a16="http://schemas.microsoft.com/office/drawing/2014/main" id="{2FE991AF-980F-4FF2-8867-35D321180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605117</xdr:colOff>
      <xdr:row>59</xdr:row>
      <xdr:rowOff>0</xdr:rowOff>
    </xdr:from>
    <xdr:to>
      <xdr:col>7</xdr:col>
      <xdr:colOff>1266264</xdr:colOff>
      <xdr:row>91</xdr:row>
      <xdr:rowOff>117929</xdr:rowOff>
    </xdr:to>
    <xdr:graphicFrame macro="">
      <xdr:nvGraphicFramePr>
        <xdr:cNvPr id="43" name="Chart 9">
          <a:extLst>
            <a:ext uri="{FF2B5EF4-FFF2-40B4-BE49-F238E27FC236}">
              <a16:creationId xmlns:a16="http://schemas.microsoft.com/office/drawing/2014/main" id="{5D92F27A-8481-46B7-B635-42BF935BE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496957</xdr:colOff>
      <xdr:row>34</xdr:row>
      <xdr:rowOff>41413</xdr:rowOff>
    </xdr:from>
    <xdr:to>
      <xdr:col>13</xdr:col>
      <xdr:colOff>1611383</xdr:colOff>
      <xdr:row>55</xdr:row>
      <xdr:rowOff>50939</xdr:rowOff>
    </xdr:to>
    <xdr:graphicFrame macro="">
      <xdr:nvGraphicFramePr>
        <xdr:cNvPr id="8" name="Chart 7">
          <a:extLst>
            <a:ext uri="{FF2B5EF4-FFF2-40B4-BE49-F238E27FC236}">
              <a16:creationId xmlns:a16="http://schemas.microsoft.com/office/drawing/2014/main" id="{F8A69418-8DFD-4389-9415-0A3B159D4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273326</xdr:colOff>
      <xdr:row>34</xdr:row>
      <xdr:rowOff>157370</xdr:rowOff>
    </xdr:from>
    <xdr:to>
      <xdr:col>10</xdr:col>
      <xdr:colOff>144741</xdr:colOff>
      <xdr:row>55</xdr:row>
      <xdr:rowOff>166896</xdr:rowOff>
    </xdr:to>
    <xdr:graphicFrame macro="">
      <xdr:nvGraphicFramePr>
        <xdr:cNvPr id="10" name="Chart 9">
          <a:extLst>
            <a:ext uri="{FF2B5EF4-FFF2-40B4-BE49-F238E27FC236}">
              <a16:creationId xmlns:a16="http://schemas.microsoft.com/office/drawing/2014/main" id="{4F709607-7B2E-4794-9F8E-41F8427B3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13</xdr:row>
      <xdr:rowOff>0</xdr:rowOff>
    </xdr:from>
    <xdr:to>
      <xdr:col>18</xdr:col>
      <xdr:colOff>238125</xdr:colOff>
      <xdr:row>31</xdr:row>
      <xdr:rowOff>95250</xdr:rowOff>
    </xdr:to>
    <xdr:graphicFrame macro="">
      <xdr:nvGraphicFramePr>
        <xdr:cNvPr id="11" name="Content Placeholder 21">
          <a:extLst>
            <a:ext uri="{FF2B5EF4-FFF2-40B4-BE49-F238E27FC236}">
              <a16:creationId xmlns:a16="http://schemas.microsoft.com/office/drawing/2014/main" id="{BD10CB4F-FE2C-3D24-9401-9A1A441A6F3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36</xdr:row>
      <xdr:rowOff>0</xdr:rowOff>
    </xdr:from>
    <xdr:to>
      <xdr:col>19</xdr:col>
      <xdr:colOff>180975</xdr:colOff>
      <xdr:row>57</xdr:row>
      <xdr:rowOff>9525</xdr:rowOff>
    </xdr:to>
    <xdr:graphicFrame macro="">
      <xdr:nvGraphicFramePr>
        <xdr:cNvPr id="12" name="Chart 11">
          <a:extLst>
            <a:ext uri="{FF2B5EF4-FFF2-40B4-BE49-F238E27FC236}">
              <a16:creationId xmlns:a16="http://schemas.microsoft.com/office/drawing/2014/main" id="{37E1B8F8-99D7-4BF7-93B1-65CD4D92F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57150</xdr:colOff>
      <xdr:row>2</xdr:row>
      <xdr:rowOff>85725</xdr:rowOff>
    </xdr:from>
    <xdr:ext cx="4018643" cy="489857"/>
    <mc:AlternateContent xmlns:mc="http://schemas.openxmlformats.org/markup-compatibility/2006" xmlns:a14="http://schemas.microsoft.com/office/drawing/2010/main">
      <mc:Choice Requires="a14">
        <xdr:sp macro="" textlink="">
          <xdr:nvSpPr>
            <xdr:cNvPr id="2" name="TextBox 76">
              <a:extLst>
                <a:ext uri="{FF2B5EF4-FFF2-40B4-BE49-F238E27FC236}">
                  <a16:creationId xmlns:a16="http://schemas.microsoft.com/office/drawing/2014/main" id="{F264A135-3215-4878-84E6-884A263EEB4C}"/>
                </a:ext>
              </a:extLst>
            </xdr:cNvPr>
            <xdr:cNvSpPr txBox="1"/>
          </xdr:nvSpPr>
          <xdr:spPr>
            <a:xfrm>
              <a:off x="2333625" y="466725"/>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𝑇</m:t>
                      </m:r>
                    </m:e>
                    <m:sub>
                      <m:r>
                        <m:rPr>
                          <m:sty m:val="p"/>
                        </m:rPr>
                        <a:rPr lang="en-US" sz="1400" b="0" i="0">
                          <a:solidFill>
                            <a:sysClr val="windowText" lastClr="000000"/>
                          </a:solidFill>
                          <a:latin typeface="Cambria Math" panose="02040503050406030204" pitchFamily="18" charset="0"/>
                        </a:rPr>
                        <m:t>mem</m:t>
                      </m:r>
                    </m:sub>
                  </m:sSub>
                  <m:r>
                    <a:rPr lang="en-US" sz="1400" b="0" i="1">
                      <a:solidFill>
                        <a:sysClr val="windowText" lastClr="000000"/>
                      </a:solidFill>
                      <a:latin typeface="Cambria Math" panose="02040503050406030204" pitchFamily="18" charset="0"/>
                    </a:rPr>
                    <m:t>(</m:t>
                  </m:r>
                  <m:r>
                    <m:rPr>
                      <m:sty m:val="p"/>
                    </m:rPr>
                    <a:rPr lang="en-US" sz="1400" b="0" i="0">
                      <a:solidFill>
                        <a:sysClr val="windowText" lastClr="000000"/>
                      </a:solidFill>
                      <a:latin typeface="Cambria Math" panose="02040503050406030204" pitchFamily="18" charset="0"/>
                    </a:rPr>
                    <m:t>sec</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𝑀𝐴𝑋</m:t>
                  </m:r>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𝐺𝑀</m:t>
                          </m:r>
                        </m:sub>
                      </m:sSub>
                    </m:num>
                    <m:den>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𝐵𝑊</m:t>
                          </m:r>
                        </m:e>
                        <m:sub>
                          <m:r>
                            <a:rPr lang="en-US" sz="1400" b="0" i="1">
                              <a:solidFill>
                                <a:sysClr val="windowText" lastClr="000000"/>
                              </a:solidFill>
                              <a:latin typeface="Cambria Math" panose="02040503050406030204" pitchFamily="18" charset="0"/>
                            </a:rPr>
                            <m:t>𝐺𝑀</m:t>
                          </m:r>
                        </m:sub>
                      </m:sSub>
                    </m:den>
                  </m:f>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𝑆𝑀</m:t>
                          </m:r>
                        </m:sub>
                      </m:sSub>
                    </m:num>
                    <m:den>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𝐵𝑊</m:t>
                          </m:r>
                        </m:e>
                        <m:sub>
                          <m:r>
                            <a:rPr lang="en-US" sz="1400" b="0" i="1">
                              <a:solidFill>
                                <a:schemeClr val="tx1"/>
                              </a:solidFill>
                              <a:effectLst/>
                              <a:latin typeface="Cambria Math" panose="02040503050406030204" pitchFamily="18" charset="0"/>
                              <a:ea typeface="+mn-ea"/>
                              <a:cs typeface="+mn-cs"/>
                            </a:rPr>
                            <m:t>𝑆𝑀</m:t>
                          </m:r>
                        </m:sub>
                      </m:sSub>
                    </m:den>
                  </m:f>
                  <m:r>
                    <a:rPr lang="en-US" sz="1400" b="0" i="1">
                      <a:solidFill>
                        <a:sysClr val="windowText" lastClr="000000"/>
                      </a:solidFill>
                      <a:latin typeface="Cambria Math" panose="02040503050406030204" pitchFamily="18" charset="0"/>
                    </a:rPr>
                    <m:t>)</m:t>
                  </m:r>
                </m:oMath>
              </a14:m>
              <a:r>
                <a:rPr lang="en-GB" sz="1400" i="1"/>
                <a:t>  </a:t>
              </a:r>
            </a:p>
          </xdr:txBody>
        </xdr:sp>
      </mc:Choice>
      <mc:Fallback xmlns="">
        <xdr:sp macro="" textlink="">
          <xdr:nvSpPr>
            <xdr:cNvPr id="2" name="TextBox 76">
              <a:extLst>
                <a:ext uri="{FF2B5EF4-FFF2-40B4-BE49-F238E27FC236}">
                  <a16:creationId xmlns:a16="http://schemas.microsoft.com/office/drawing/2014/main" id="{F264A135-3215-4878-84E6-884A263EEB4C}"/>
                </a:ext>
              </a:extLst>
            </xdr:cNvPr>
            <xdr:cNvSpPr txBox="1"/>
          </xdr:nvSpPr>
          <xdr:spPr>
            <a:xfrm>
              <a:off x="2333625" y="466725"/>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𝑇_mem (sec)=𝑀𝐴𝑋(</a:t>
              </a:r>
              <a:r>
                <a:rPr lang="en-US" sz="1400" b="0" i="0">
                  <a:solidFill>
                    <a:schemeClr val="tx1"/>
                  </a:solidFill>
                  <a:effectLst/>
                  <a:latin typeface="Cambria Math" panose="02040503050406030204" pitchFamily="18" charset="0"/>
                  <a:ea typeface="+mn-ea"/>
                  <a:cs typeface="+mn-cs"/>
                </a:rPr>
                <a:t>𝑉_𝐺𝑀</a:t>
              </a:r>
              <a:r>
                <a:rPr lang="en-US" sz="1400" b="0" i="0">
                  <a:solidFill>
                    <a:sysClr val="windowText" lastClr="000000"/>
                  </a:solidFill>
                  <a:effectLst/>
                  <a:latin typeface="Cambria Math" panose="02040503050406030204" pitchFamily="18" charset="0"/>
                  <a:ea typeface="+mn-ea"/>
                  <a:cs typeface="+mn-cs"/>
                </a:rPr>
                <a:t>/〖</a:t>
              </a:r>
              <a:r>
                <a:rPr lang="en-US" sz="1400" b="0" i="0">
                  <a:solidFill>
                    <a:sysClr val="windowText" lastClr="000000"/>
                  </a:solidFill>
                  <a:latin typeface="Cambria Math" panose="02040503050406030204" pitchFamily="18" charset="0"/>
                </a:rPr>
                <a:t>𝐵𝑊〗_𝐺𝑀 </a:t>
              </a:r>
              <a:r>
                <a:rPr lang="en-US" sz="1400" b="0" i="0">
                  <a:solidFill>
                    <a:schemeClr val="tx1"/>
                  </a:solidFill>
                  <a:effectLst/>
                  <a:latin typeface="Cambria Math" panose="02040503050406030204" pitchFamily="18" charset="0"/>
                  <a:ea typeface="+mn-ea"/>
                  <a:cs typeface="+mn-cs"/>
                </a:rPr>
                <a:t>,𝑉_𝑆𝑀/〖𝐵𝑊〗_𝑆𝑀 </a:t>
              </a:r>
              <a:r>
                <a:rPr lang="en-US" sz="1400" b="0" i="0">
                  <a:solidFill>
                    <a:sysClr val="windowText" lastClr="000000"/>
                  </a:solidFill>
                  <a:latin typeface="Cambria Math" panose="02040503050406030204" pitchFamily="18" charset="0"/>
                </a:rPr>
                <a:t>)</a:t>
              </a:r>
              <a:r>
                <a:rPr lang="en-GB" sz="1400" i="1"/>
                <a:t>  </a:t>
              </a:r>
            </a:p>
          </xdr:txBody>
        </xdr:sp>
      </mc:Fallback>
    </mc:AlternateContent>
    <xdr:clientData/>
  </xdr:oneCellAnchor>
  <xdr:oneCellAnchor>
    <xdr:from>
      <xdr:col>1</xdr:col>
      <xdr:colOff>0</xdr:colOff>
      <xdr:row>25</xdr:row>
      <xdr:rowOff>95250</xdr:rowOff>
    </xdr:from>
    <xdr:ext cx="4686300" cy="489857"/>
    <mc:AlternateContent xmlns:mc="http://schemas.openxmlformats.org/markup-compatibility/2006" xmlns:a14="http://schemas.microsoft.com/office/drawing/2010/main">
      <mc:Choice Requires="a14">
        <xdr:sp macro="" textlink="">
          <xdr:nvSpPr>
            <xdr:cNvPr id="3" name="TextBox 76">
              <a:extLst>
                <a:ext uri="{FF2B5EF4-FFF2-40B4-BE49-F238E27FC236}">
                  <a16:creationId xmlns:a16="http://schemas.microsoft.com/office/drawing/2014/main" id="{C1806223-9B24-4B82-AD9E-BF499D160754}"/>
                </a:ext>
              </a:extLst>
            </xdr:cNvPr>
            <xdr:cNvSpPr txBox="1"/>
          </xdr:nvSpPr>
          <xdr:spPr>
            <a:xfrm>
              <a:off x="2276475" y="7258050"/>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𝑆𝑀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𝑡h𝑟𝑒𝑎𝑑𝑠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𝑇</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3" name="TextBox 76">
              <a:extLst>
                <a:ext uri="{FF2B5EF4-FFF2-40B4-BE49-F238E27FC236}">
                  <a16:creationId xmlns:a16="http://schemas.microsoft.com/office/drawing/2014/main" id="{C1806223-9B24-4B82-AD9E-BF499D160754}"/>
                </a:ext>
              </a:extLst>
            </xdr:cNvPr>
            <xdr:cNvSpPr txBox="1"/>
          </xdr:nvSpPr>
          <xdr:spPr>
            <a:xfrm>
              <a:off x="2276475" y="7258050"/>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𝑉_𝑆𝑀 (GB)=#𝑡ℎ𝑟𝑒𝑎𝑑𝑠 𝑝𝑒𝑟 𝑆𝑀∗(𝑛_(𝑆𝑀,𝑇)^𝑙𝑑+</a:t>
              </a:r>
              <a:r>
                <a:rPr lang="en-US" sz="1400" b="0" i="0">
                  <a:solidFill>
                    <a:schemeClr val="tx1"/>
                  </a:solidFill>
                  <a:effectLst/>
                  <a:latin typeface="Cambria Math" panose="02040503050406030204" pitchFamily="18" charset="0"/>
                  <a:ea typeface="+mn-ea"/>
                  <a:cs typeface="+mn-cs"/>
                </a:rPr>
                <a:t>𝑛_(𝑆𝑀,𝑇)^𝑠𝑡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4</xdr:col>
      <xdr:colOff>695325</xdr:colOff>
      <xdr:row>25</xdr:row>
      <xdr:rowOff>142875</xdr:rowOff>
    </xdr:from>
    <xdr:ext cx="4171950" cy="409576"/>
    <mc:AlternateContent xmlns:mc="http://schemas.openxmlformats.org/markup-compatibility/2006" xmlns:a14="http://schemas.microsoft.com/office/drawing/2010/main">
      <mc:Choice Requires="a14">
        <xdr:sp macro="" textlink="">
          <xdr:nvSpPr>
            <xdr:cNvPr id="4" name="TextBox 76">
              <a:extLst>
                <a:ext uri="{FF2B5EF4-FFF2-40B4-BE49-F238E27FC236}">
                  <a16:creationId xmlns:a16="http://schemas.microsoft.com/office/drawing/2014/main" id="{D8193DE4-C5D4-4065-9785-A20A8CD9EBC2}"/>
                </a:ext>
              </a:extLst>
            </xdr:cNvPr>
            <xdr:cNvSpPr txBox="1"/>
          </xdr:nvSpPr>
          <xdr:spPr>
            <a:xfrm>
              <a:off x="7086600" y="7305675"/>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#aligned</a:t>
              </a:r>
              <a:r>
                <a:rPr lang="en-GB" sz="1400" i="1" baseline="0"/>
                <a:t> loads (T) + 2 x #miss-aligned loads(T) </a:t>
              </a:r>
              <a:endParaRPr lang="en-GB" sz="1400" i="1"/>
            </a:p>
          </xdr:txBody>
        </xdr:sp>
      </mc:Choice>
      <mc:Fallback xmlns="">
        <xdr:sp macro="" textlink="">
          <xdr:nvSpPr>
            <xdr:cNvPr id="4" name="TextBox 76">
              <a:extLst>
                <a:ext uri="{FF2B5EF4-FFF2-40B4-BE49-F238E27FC236}">
                  <a16:creationId xmlns:a16="http://schemas.microsoft.com/office/drawing/2014/main" id="{D8193DE4-C5D4-4065-9785-A20A8CD9EBC2}"/>
                </a:ext>
              </a:extLst>
            </xdr:cNvPr>
            <xdr:cNvSpPr txBox="1"/>
          </xdr:nvSpPr>
          <xdr:spPr>
            <a:xfrm>
              <a:off x="7086600" y="7305675"/>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𝑛_(𝑆𝑀,𝑇)^𝑙𝑑</a:t>
              </a:r>
              <a:r>
                <a:rPr lang="en-GB" sz="1400" i="1"/>
                <a:t> = #aligned</a:t>
              </a:r>
              <a:r>
                <a:rPr lang="en-GB" sz="1400" i="1" baseline="0"/>
                <a:t> loads (T) + 2 x #miss-aligned loads(T) </a:t>
              </a:r>
              <a:endParaRPr lang="en-GB" sz="1400" i="1"/>
            </a:p>
          </xdr:txBody>
        </xdr:sp>
      </mc:Fallback>
    </mc:AlternateContent>
    <xdr:clientData/>
  </xdr:oneCellAnchor>
  <xdr:oneCellAnchor>
    <xdr:from>
      <xdr:col>1</xdr:col>
      <xdr:colOff>9525</xdr:colOff>
      <xdr:row>43</xdr:row>
      <xdr:rowOff>85725</xdr:rowOff>
    </xdr:from>
    <xdr:ext cx="3981450" cy="381000"/>
    <mc:AlternateContent xmlns:mc="http://schemas.openxmlformats.org/markup-compatibility/2006" xmlns:a14="http://schemas.microsoft.com/office/drawing/2010/main">
      <mc:Choice Requires="a14">
        <xdr:sp macro="" textlink="">
          <xdr:nvSpPr>
            <xdr:cNvPr id="8" name="TextBox 76">
              <a:extLst>
                <a:ext uri="{FF2B5EF4-FFF2-40B4-BE49-F238E27FC236}">
                  <a16:creationId xmlns:a16="http://schemas.microsoft.com/office/drawing/2014/main" id="{997356F7-0256-497D-A267-5322015F872A}"/>
                </a:ext>
              </a:extLst>
            </xdr:cNvPr>
            <xdr:cNvSpPr txBox="1"/>
          </xdr:nvSpPr>
          <xdr:spPr>
            <a:xfrm>
              <a:off x="2286000" y="12811125"/>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𝐺𝑀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𝑔𝑟𝑜𝑢𝑝𝑠</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𝐺𝑀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𝐺</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8" name="TextBox 76">
              <a:extLst>
                <a:ext uri="{FF2B5EF4-FFF2-40B4-BE49-F238E27FC236}">
                  <a16:creationId xmlns:a16="http://schemas.microsoft.com/office/drawing/2014/main" id="{997356F7-0256-497D-A267-5322015F872A}"/>
                </a:ext>
              </a:extLst>
            </xdr:cNvPr>
            <xdr:cNvSpPr txBox="1"/>
          </xdr:nvSpPr>
          <xdr:spPr>
            <a:xfrm>
              <a:off x="2286000" y="12811125"/>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𝑉_𝐺𝑀 (GB)=#𝑔𝑟𝑜𝑢𝑝𝑠∗(𝑛_(𝐺𝑀,𝐺)^𝑙𝑑+</a:t>
              </a:r>
              <a:r>
                <a:rPr lang="en-US" sz="1400" b="0" i="0">
                  <a:solidFill>
                    <a:schemeClr val="tx1"/>
                  </a:solidFill>
                  <a:effectLst/>
                  <a:latin typeface="Cambria Math" panose="02040503050406030204" pitchFamily="18" charset="0"/>
                  <a:ea typeface="+mn-ea"/>
                  <a:cs typeface="+mn-cs"/>
                </a:rPr>
                <a:t>𝑛_(𝐺𝑀,𝐺)^𝑠𝑡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3</xdr:col>
      <xdr:colOff>1038225</xdr:colOff>
      <xdr:row>43</xdr:row>
      <xdr:rowOff>66675</xdr:rowOff>
    </xdr:from>
    <xdr:ext cx="2800350" cy="409576"/>
    <mc:AlternateContent xmlns:mc="http://schemas.openxmlformats.org/markup-compatibility/2006" xmlns:a14="http://schemas.microsoft.com/office/drawing/2010/main">
      <mc:Choice Requires="a14">
        <xdr:sp macro="" textlink="">
          <xdr:nvSpPr>
            <xdr:cNvPr id="9" name="TextBox 76">
              <a:extLst>
                <a:ext uri="{FF2B5EF4-FFF2-40B4-BE49-F238E27FC236}">
                  <a16:creationId xmlns:a16="http://schemas.microsoft.com/office/drawing/2014/main" id="{5D0F6198-8881-46F1-9F78-2A90408CE412}"/>
                </a:ext>
              </a:extLst>
            </xdr:cNvPr>
            <xdr:cNvSpPr txBox="1"/>
          </xdr:nvSpPr>
          <xdr:spPr>
            <a:xfrm>
              <a:off x="6105525" y="12792075"/>
              <a:ext cx="28003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(1+</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oMath>
              </a14:m>
              <a:endParaRPr lang="en-GB" sz="1400" i="1"/>
            </a:p>
          </xdr:txBody>
        </xdr:sp>
      </mc:Choice>
      <mc:Fallback xmlns="">
        <xdr:sp macro="" textlink="">
          <xdr:nvSpPr>
            <xdr:cNvPr id="9" name="TextBox 76">
              <a:extLst>
                <a:ext uri="{FF2B5EF4-FFF2-40B4-BE49-F238E27FC236}">
                  <a16:creationId xmlns:a16="http://schemas.microsoft.com/office/drawing/2014/main" id="{5D0F6198-8881-46F1-9F78-2A90408CE412}"/>
                </a:ext>
              </a:extLst>
            </xdr:cNvPr>
            <xdr:cNvSpPr txBox="1"/>
          </xdr:nvSpPr>
          <xdr:spPr>
            <a:xfrm>
              <a:off x="6105525" y="12792075"/>
              <a:ext cx="28003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𝑛_(𝐺𝑀,𝐺)^𝑙𝑑</a:t>
              </a:r>
              <a:r>
                <a:rPr lang="en-GB" sz="1400" i="1"/>
                <a:t> = </a:t>
              </a:r>
              <a:r>
                <a:rPr lang="en-US" sz="1400" b="0" i="0">
                  <a:solidFill>
                    <a:schemeClr val="tx1"/>
                  </a:solidFill>
                  <a:effectLst/>
                  <a:latin typeface="Cambria Math" panose="02040503050406030204" pitchFamily="18" charset="0"/>
                  <a:ea typeface="+mn-ea"/>
                  <a:cs typeface="+mn-cs"/>
                </a:rPr>
                <a:t>𝑛_(𝐺𝑀,𝐺)^(𝑙𝑑,𝑛𝑒𝑡 ) (1+𝑆𝑀 𝑚𝑖𝑠𝑠 𝑟𝑎𝑡𝑖𝑜)</a:t>
              </a:r>
              <a:endParaRPr lang="en-GB" sz="1400" i="1"/>
            </a:p>
          </xdr:txBody>
        </xdr:sp>
      </mc:Fallback>
    </mc:AlternateContent>
    <xdr:clientData/>
  </xdr:oneCellAnchor>
  <xdr:oneCellAnchor>
    <xdr:from>
      <xdr:col>5</xdr:col>
      <xdr:colOff>942974</xdr:colOff>
      <xdr:row>43</xdr:row>
      <xdr:rowOff>28575</xdr:rowOff>
    </xdr:from>
    <xdr:ext cx="3724275" cy="514350"/>
    <mc:AlternateContent xmlns:mc="http://schemas.openxmlformats.org/markup-compatibility/2006" xmlns:a14="http://schemas.microsoft.com/office/drawing/2010/main">
      <mc:Choice Requires="a14">
        <xdr:sp macro="" textlink="">
          <xdr:nvSpPr>
            <xdr:cNvPr id="10" name="TextBox 76">
              <a:extLst>
                <a:ext uri="{FF2B5EF4-FFF2-40B4-BE49-F238E27FC236}">
                  <a16:creationId xmlns:a16="http://schemas.microsoft.com/office/drawing/2014/main" id="{D78DD67C-DA79-4C49-951C-C194B74657ED}"/>
                </a:ext>
              </a:extLst>
            </xdr:cNvPr>
            <xdr:cNvSpPr txBox="1"/>
          </xdr:nvSpPr>
          <xdr:spPr>
            <a:xfrm>
              <a:off x="8972549" y="12753975"/>
              <a:ext cx="372427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r>
                    <m:rPr>
                      <m:sty m:val="p"/>
                    </m:rPr>
                    <a:rPr lang="en-US" sz="1400" b="0" i="1">
                      <a:solidFill>
                        <a:schemeClr val="tx1"/>
                      </a:solidFill>
                      <a:effectLst/>
                      <a:latin typeface="Cambria Math" panose="02040503050406030204" pitchFamily="18" charset="0"/>
                      <a:ea typeface="+mn-ea"/>
                      <a:cs typeface="+mn-cs"/>
                    </a:rPr>
                    <m:t>S</m:t>
                  </m:r>
                  <m:r>
                    <a:rPr lang="en-US" sz="1400" b="0" i="1">
                      <a:solidFill>
                        <a:schemeClr val="tx1"/>
                      </a:solidFill>
                      <a:effectLst/>
                      <a:latin typeface="Cambria Math" panose="02040503050406030204" pitchFamily="18" charset="0"/>
                      <a:ea typeface="+mn-ea"/>
                      <a:cs typeface="+mn-cs"/>
                    </a:rPr>
                    <m:t>𝑀</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 ∗ </m:t>
                      </m:r>
                      <m:r>
                        <a:rPr lang="en-US" sz="1400" b="0" i="1">
                          <a:solidFill>
                            <a:schemeClr val="tx1"/>
                          </a:solidFill>
                          <a:effectLst/>
                          <a:latin typeface="Cambria Math" panose="02040503050406030204" pitchFamily="18" charset="0"/>
                          <a:ea typeface="+mn-ea"/>
                          <a:cs typeface="+mn-cs"/>
                        </a:rPr>
                        <m:t>𝑝𝑟𝑒𝑐𝑖𝑠𝑖𝑜𝑛</m:t>
                      </m:r>
                    </m:num>
                    <m:den>
                      <m:r>
                        <a:rPr lang="en-US" sz="1400" b="0" i="1">
                          <a:solidFill>
                            <a:schemeClr val="tx1"/>
                          </a:solidFill>
                          <a:effectLst/>
                          <a:latin typeface="Cambria Math" panose="02040503050406030204" pitchFamily="18" charset="0"/>
                          <a:ea typeface="+mn-ea"/>
                          <a:cs typeface="+mn-cs"/>
                        </a:rPr>
                        <m:t>𝑜𝑛</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𝑠𝑡𝑜𝑎𝑟𝑎𝑔𝑒</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𝑠𝑖𝑧𝑒</m:t>
                      </m:r>
                    </m:den>
                  </m:f>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𝑒𝑝𝑠𝑖𝑙𝑜𝑛</m:t>
                  </m:r>
                </m:oMath>
              </a14:m>
              <a:endParaRPr lang="en-GB" sz="1400" i="1"/>
            </a:p>
          </xdr:txBody>
        </xdr:sp>
      </mc:Choice>
      <mc:Fallback xmlns="">
        <xdr:sp macro="" textlink="">
          <xdr:nvSpPr>
            <xdr:cNvPr id="10" name="TextBox 76">
              <a:extLst>
                <a:ext uri="{FF2B5EF4-FFF2-40B4-BE49-F238E27FC236}">
                  <a16:creationId xmlns:a16="http://schemas.microsoft.com/office/drawing/2014/main" id="{D78DD67C-DA79-4C49-951C-C194B74657ED}"/>
                </a:ext>
              </a:extLst>
            </xdr:cNvPr>
            <xdr:cNvSpPr txBox="1"/>
          </xdr:nvSpPr>
          <xdr:spPr>
            <a:xfrm>
              <a:off x="8972549" y="12753975"/>
              <a:ext cx="372427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S𝑀 𝑚𝑖𝑠𝑠 𝑟𝑎𝑡𝑖𝑜=(𝑛_(𝐺𝑀,𝐺)^(𝑙𝑑,𝑛𝑒𝑡 )  ∗ 𝑝𝑟𝑒𝑐𝑖𝑠𝑖𝑜𝑛)/(𝑜𝑛−𝑆𝑀−𝑠𝑡𝑜𝑎𝑟𝑎𝑔𝑒−𝑠𝑖𝑧𝑒)  ∗𝑒𝑝𝑠𝑖𝑙𝑜𝑛</a:t>
              </a:r>
              <a:endParaRPr lang="en-GB" sz="1400" i="1"/>
            </a:p>
          </xdr:txBody>
        </xdr:sp>
      </mc:Fallback>
    </mc:AlternateContent>
    <xdr:clientData/>
  </xdr:oneCellAnchor>
  <xdr:oneCellAnchor>
    <xdr:from>
      <xdr:col>8</xdr:col>
      <xdr:colOff>371476</xdr:colOff>
      <xdr:row>43</xdr:row>
      <xdr:rowOff>19050</xdr:rowOff>
    </xdr:from>
    <xdr:ext cx="2724150" cy="489857"/>
    <mc:AlternateContent xmlns:mc="http://schemas.openxmlformats.org/markup-compatibility/2006" xmlns:a14="http://schemas.microsoft.com/office/drawing/2010/main">
      <mc:Choice Requires="a14">
        <xdr:sp macro="" textlink="">
          <xdr:nvSpPr>
            <xdr:cNvPr id="11" name="TextBox 76">
              <a:extLst>
                <a:ext uri="{FF2B5EF4-FFF2-40B4-BE49-F238E27FC236}">
                  <a16:creationId xmlns:a16="http://schemas.microsoft.com/office/drawing/2014/main" id="{20E34751-A358-4E5F-B19F-F8A7BC18A453}"/>
                </a:ext>
              </a:extLst>
            </xdr:cNvPr>
            <xdr:cNvSpPr txBox="1"/>
          </xdr:nvSpPr>
          <xdr:spPr>
            <a:xfrm>
              <a:off x="12954001" y="12744450"/>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num>
                    <m:den>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𝑔𝑟𝑜𝑢𝑝</m:t>
                      </m:r>
                    </m:den>
                  </m:f>
                </m:oMath>
              </a14:m>
              <a:r>
                <a:rPr lang="en-GB" sz="1400" i="1">
                  <a:latin typeface="Gill Sans MT" panose="020B0502020104020203" pitchFamily="34" charset="0"/>
                </a:rPr>
                <a:t> </a:t>
              </a:r>
            </a:p>
          </xdr:txBody>
        </xdr:sp>
      </mc:Choice>
      <mc:Fallback xmlns="">
        <xdr:sp macro="" textlink="">
          <xdr:nvSpPr>
            <xdr:cNvPr id="11" name="TextBox 76">
              <a:extLst>
                <a:ext uri="{FF2B5EF4-FFF2-40B4-BE49-F238E27FC236}">
                  <a16:creationId xmlns:a16="http://schemas.microsoft.com/office/drawing/2014/main" id="{20E34751-A358-4E5F-B19F-F8A7BC18A453}"/>
                </a:ext>
              </a:extLst>
            </xdr:cNvPr>
            <xdr:cNvSpPr txBox="1"/>
          </xdr:nvSpPr>
          <xdr:spPr>
            <a:xfrm>
              <a:off x="12954001" y="12744450"/>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r>
                <a:rPr lang="en-US" sz="1400" b="0" i="0">
                  <a:solidFill>
                    <a:sysClr val="windowText" lastClr="000000"/>
                  </a:solidFill>
                  <a:latin typeface="Cambria Math" panose="02040503050406030204" pitchFamily="18" charset="0"/>
                </a:rPr>
                <a:t>(# 𝑡ℎ𝑟𝑒𝑎𝑑 𝑏𝑙𝑜𝑐𝑘𝑠)/(# 𝑡ℎ𝑟𝑒𝑎𝑑 𝑏𝑙𝑜𝑐𝑘𝑠 𝑝𝑒𝑟 𝑔𝑟𝑜𝑢𝑝)</a:t>
              </a:r>
              <a:r>
                <a:rPr lang="en-GB" sz="1400" i="1">
                  <a:latin typeface="Gill Sans MT" panose="020B0502020104020203" pitchFamily="34" charset="0"/>
                </a:rPr>
                <a:t> </a:t>
              </a:r>
            </a:p>
          </xdr:txBody>
        </xdr:sp>
      </mc:Fallback>
    </mc:AlternateContent>
    <xdr:clientData/>
  </xdr:oneCellAnchor>
  <xdr:oneCellAnchor>
    <xdr:from>
      <xdr:col>10</xdr:col>
      <xdr:colOff>9526</xdr:colOff>
      <xdr:row>43</xdr:row>
      <xdr:rowOff>38100</xdr:rowOff>
    </xdr:from>
    <xdr:ext cx="4733924" cy="489857"/>
    <mc:AlternateContent xmlns:mc="http://schemas.openxmlformats.org/markup-compatibility/2006" xmlns:a14="http://schemas.microsoft.com/office/drawing/2010/main">
      <mc:Choice Requires="a14">
        <xdr:sp macro="" textlink="">
          <xdr:nvSpPr>
            <xdr:cNvPr id="12" name="TextBox 76">
              <a:extLst>
                <a:ext uri="{FF2B5EF4-FFF2-40B4-BE49-F238E27FC236}">
                  <a16:creationId xmlns:a16="http://schemas.microsoft.com/office/drawing/2014/main" id="{05987CD2-260D-406F-9C0B-B0EA1C58F986}"/>
                </a:ext>
              </a:extLst>
            </xdr:cNvPr>
            <xdr:cNvSpPr txBox="1"/>
          </xdr:nvSpPr>
          <xdr:spPr>
            <a:xfrm>
              <a:off x="15735301" y="12763500"/>
              <a:ext cx="4733924"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14:m>
                <m:oMath xmlns:m="http://schemas.openxmlformats.org/officeDocument/2006/math">
                  <m:sSubSup>
                    <m:sSubSupPr>
                      <m:ctrlPr>
                        <a:rPr lang="en-US" sz="1100" b="0" i="1">
                          <a:solidFill>
                            <a:schemeClr val="tx1"/>
                          </a:solidFill>
                          <a:effectLst/>
                          <a:latin typeface="Cambria Math" panose="02040503050406030204" pitchFamily="18" charset="0"/>
                          <a:ea typeface="+mn-ea"/>
                          <a:cs typeface="+mn-cs"/>
                        </a:rPr>
                      </m:ctrlPr>
                    </m:sSubSupPr>
                    <m:e>
                      <m:r>
                        <a:rPr lang="en-US" sz="1100" b="0" i="1">
                          <a:solidFill>
                            <a:schemeClr val="tx1"/>
                          </a:solidFill>
                          <a:effectLst/>
                          <a:latin typeface="Cambria Math" panose="02040503050406030204" pitchFamily="18" charset="0"/>
                          <a:ea typeface="+mn-ea"/>
                          <a:cs typeface="+mn-cs"/>
                        </a:rPr>
                        <m:t>𝑛</m:t>
                      </m:r>
                    </m:e>
                    <m:sub>
                      <m:r>
                        <a:rPr lang="en-US" sz="1100" b="0" i="1">
                          <a:solidFill>
                            <a:schemeClr val="tx1"/>
                          </a:solidFill>
                          <a:effectLst/>
                          <a:latin typeface="Cambria Math" panose="02040503050406030204" pitchFamily="18" charset="0"/>
                          <a:ea typeface="+mn-ea"/>
                          <a:cs typeface="+mn-cs"/>
                        </a:rPr>
                        <m:t>𝐺𝑀</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𝐺</m:t>
                      </m:r>
                    </m:sub>
                    <m:sup>
                      <m:r>
                        <a:rPr lang="en-US" sz="1100" b="0" i="1">
                          <a:solidFill>
                            <a:schemeClr val="tx1"/>
                          </a:solidFill>
                          <a:effectLst/>
                          <a:latin typeface="Cambria Math" panose="02040503050406030204" pitchFamily="18" charset="0"/>
                          <a:ea typeface="+mn-ea"/>
                          <a:cs typeface="+mn-cs"/>
                        </a:rPr>
                        <m:t>𝑙𝑑</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𝑛𝑒𝑡</m:t>
                      </m:r>
                      <m:r>
                        <a:rPr lang="en-US" sz="1100" b="0" i="1">
                          <a:solidFill>
                            <a:schemeClr val="tx1"/>
                          </a:solidFill>
                          <a:effectLst/>
                          <a:latin typeface="Cambria Math" panose="02040503050406030204" pitchFamily="18" charset="0"/>
                          <a:ea typeface="+mn-ea"/>
                          <a:cs typeface="+mn-cs"/>
                        </a:rPr>
                        <m:t> </m:t>
                      </m:r>
                    </m:sup>
                  </m:sSubSup>
                </m:oMath>
              </a14:m>
              <a:r>
                <a:rPr lang="en-US" sz="1400" b="0" baseline="0">
                  <a:solidFill>
                    <a:sysClr val="windowText" lastClr="000000"/>
                  </a:solidFill>
                  <a:latin typeface="Gill Sans MT" panose="020B0502020104020203" pitchFamily="34" charset="0"/>
                </a:rPr>
                <a:t> = (</a:t>
              </a:r>
              <a:r>
                <a:rPr lang="en-US" sz="1400" b="0" i="1" baseline="0">
                  <a:solidFill>
                    <a:sysClr val="windowText" lastClr="000000"/>
                  </a:solidFill>
                  <a:latin typeface="+mj-lt"/>
                </a:rPr>
                <a:t>N_x+</a:t>
              </a:r>
              <a:r>
                <a:rPr lang="en-US" sz="1400" b="0" baseline="0">
                  <a:solidFill>
                    <a:sysClr val="windowText" lastClr="000000"/>
                  </a:solidFill>
                  <a:latin typeface="Gill Sans MT" panose="020B0502020104020203" pitchFamily="34" charset="0"/>
                </a:rPr>
                <a:t>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𝑐𝑎𝑐h𝑒</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𝑙𝑖𝑛𝑒</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𝑠𝑖𝑧𝑒</m:t>
                      </m:r>
                    </m:num>
                    <m:den>
                      <m:r>
                        <a:rPr lang="en-US" sz="1400" b="0" i="1">
                          <a:solidFill>
                            <a:sysClr val="windowText" lastClr="000000"/>
                          </a:solidFill>
                          <a:latin typeface="Cambria Math" panose="02040503050406030204" pitchFamily="18" charset="0"/>
                        </a:rPr>
                        <m:t>𝑝𝑟𝑒𝑐𝑒𝑠𝑖𝑜𝑛</m:t>
                      </m:r>
                    </m:den>
                  </m:f>
                </m:oMath>
              </a14:m>
              <a:r>
                <a:rPr lang="en-GB" sz="1400" i="1">
                  <a:latin typeface="Gill Sans MT" panose="020B0502020104020203" pitchFamily="34" charset="0"/>
                </a:rPr>
                <a:t> * </a:t>
              </a:r>
              <a:r>
                <a:rPr lang="en-GB" sz="1400" i="0">
                  <a:latin typeface="+mj-lt"/>
                </a:rPr>
                <a:t>2) x width_y x height_z</a:t>
              </a:r>
            </a:p>
          </xdr:txBody>
        </xdr:sp>
      </mc:Choice>
      <mc:Fallback xmlns="">
        <xdr:sp macro="" textlink="">
          <xdr:nvSpPr>
            <xdr:cNvPr id="12" name="TextBox 76">
              <a:extLst>
                <a:ext uri="{FF2B5EF4-FFF2-40B4-BE49-F238E27FC236}">
                  <a16:creationId xmlns:a16="http://schemas.microsoft.com/office/drawing/2014/main" id="{05987CD2-260D-406F-9C0B-B0EA1C58F986}"/>
                </a:ext>
              </a:extLst>
            </xdr:cNvPr>
            <xdr:cNvSpPr txBox="1"/>
          </xdr:nvSpPr>
          <xdr:spPr>
            <a:xfrm>
              <a:off x="15735301" y="12763500"/>
              <a:ext cx="4733924"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100" b="0" i="0">
                  <a:solidFill>
                    <a:schemeClr val="tx1"/>
                  </a:solidFill>
                  <a:effectLst/>
                  <a:latin typeface="Cambria Math" panose="02040503050406030204" pitchFamily="18" charset="0"/>
                  <a:ea typeface="+mn-ea"/>
                  <a:cs typeface="+mn-cs"/>
                </a:rPr>
                <a:t>𝑛_(𝐺𝑀,𝐺)^(𝑙𝑑,𝑛𝑒𝑡 )</a:t>
              </a:r>
              <a:r>
                <a:rPr lang="en-US" sz="1400" b="0" baseline="0">
                  <a:solidFill>
                    <a:sysClr val="windowText" lastClr="000000"/>
                  </a:solidFill>
                  <a:latin typeface="Gill Sans MT" panose="020B0502020104020203" pitchFamily="34" charset="0"/>
                </a:rPr>
                <a:t> = (</a:t>
              </a:r>
              <a:r>
                <a:rPr lang="en-US" sz="1400" b="0" i="1" baseline="0">
                  <a:solidFill>
                    <a:sysClr val="windowText" lastClr="000000"/>
                  </a:solidFill>
                  <a:latin typeface="+mj-lt"/>
                </a:rPr>
                <a:t>N_x+</a:t>
              </a:r>
              <a:r>
                <a:rPr lang="en-US" sz="1400" b="0" baseline="0">
                  <a:solidFill>
                    <a:sysClr val="windowText" lastClr="000000"/>
                  </a:solidFill>
                  <a:latin typeface="Gill Sans MT" panose="020B0502020104020203" pitchFamily="34" charset="0"/>
                </a:rPr>
                <a:t> </a:t>
              </a:r>
              <a:r>
                <a:rPr lang="en-US" sz="1400" b="0" i="0">
                  <a:solidFill>
                    <a:sysClr val="windowText" lastClr="000000"/>
                  </a:solidFill>
                  <a:latin typeface="Cambria Math" panose="02040503050406030204" pitchFamily="18" charset="0"/>
                </a:rPr>
                <a:t>(𝑆𝑀−𝑐𝑎𝑐ℎ𝑒−𝑙𝑖𝑛𝑒−𝑠𝑖𝑧𝑒)/𝑝𝑟𝑒𝑐𝑒𝑠𝑖𝑜𝑛</a:t>
              </a:r>
              <a:r>
                <a:rPr lang="en-GB" sz="1400" i="1">
                  <a:latin typeface="Gill Sans MT" panose="020B0502020104020203" pitchFamily="34" charset="0"/>
                </a:rPr>
                <a:t> * </a:t>
              </a:r>
              <a:r>
                <a:rPr lang="en-GB" sz="1400" i="0">
                  <a:latin typeface="+mj-lt"/>
                </a:rPr>
                <a:t>2) x width_y x height_z</a:t>
              </a:r>
            </a:p>
          </xdr:txBody>
        </xdr:sp>
      </mc:Fallback>
    </mc:AlternateContent>
    <xdr:clientData/>
  </xdr:oneCellAnchor>
  <xdr:twoCellAnchor>
    <xdr:from>
      <xdr:col>4</xdr:col>
      <xdr:colOff>247650</xdr:colOff>
      <xdr:row>61</xdr:row>
      <xdr:rowOff>90487</xdr:rowOff>
    </xdr:from>
    <xdr:to>
      <xdr:col>7</xdr:col>
      <xdr:colOff>342900</xdr:colOff>
      <xdr:row>75</xdr:row>
      <xdr:rowOff>166687</xdr:rowOff>
    </xdr:to>
    <xdr:graphicFrame macro="">
      <xdr:nvGraphicFramePr>
        <xdr:cNvPr id="22" name="Chart 21">
          <a:extLst>
            <a:ext uri="{FF2B5EF4-FFF2-40B4-BE49-F238E27FC236}">
              <a16:creationId xmlns:a16="http://schemas.microsoft.com/office/drawing/2014/main" id="{05E6BF2E-B658-0764-82B2-F8892254E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74</xdr:row>
      <xdr:rowOff>100012</xdr:rowOff>
    </xdr:from>
    <xdr:to>
      <xdr:col>7</xdr:col>
      <xdr:colOff>476250</xdr:colOff>
      <xdr:row>88</xdr:row>
      <xdr:rowOff>176212</xdr:rowOff>
    </xdr:to>
    <xdr:graphicFrame macro="">
      <xdr:nvGraphicFramePr>
        <xdr:cNvPr id="23" name="Chart 22">
          <a:extLst>
            <a:ext uri="{FF2B5EF4-FFF2-40B4-BE49-F238E27FC236}">
              <a16:creationId xmlns:a16="http://schemas.microsoft.com/office/drawing/2014/main" id="{85D9A09D-9DDC-0DC8-600B-9892E5CBA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57150</xdr:colOff>
      <xdr:row>2</xdr:row>
      <xdr:rowOff>85725</xdr:rowOff>
    </xdr:from>
    <xdr:ext cx="4018643" cy="489857"/>
    <mc:AlternateContent xmlns:mc="http://schemas.openxmlformats.org/markup-compatibility/2006" xmlns:a14="http://schemas.microsoft.com/office/drawing/2010/main">
      <mc:Choice Requires="a14">
        <xdr:sp macro="" textlink="">
          <xdr:nvSpPr>
            <xdr:cNvPr id="2" name="TextBox 76">
              <a:extLst>
                <a:ext uri="{FF2B5EF4-FFF2-40B4-BE49-F238E27FC236}">
                  <a16:creationId xmlns:a16="http://schemas.microsoft.com/office/drawing/2014/main" id="{A81223FC-139A-4896-86BF-799CAA8C0A2E}"/>
                </a:ext>
              </a:extLst>
            </xdr:cNvPr>
            <xdr:cNvSpPr txBox="1"/>
          </xdr:nvSpPr>
          <xdr:spPr>
            <a:xfrm>
              <a:off x="2333625" y="3276600"/>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𝑇</m:t>
                      </m:r>
                    </m:e>
                    <m:sub>
                      <m:r>
                        <m:rPr>
                          <m:sty m:val="p"/>
                        </m:rPr>
                        <a:rPr lang="en-US" sz="1400" b="0" i="0">
                          <a:solidFill>
                            <a:sysClr val="windowText" lastClr="000000"/>
                          </a:solidFill>
                          <a:latin typeface="Cambria Math" panose="02040503050406030204" pitchFamily="18" charset="0"/>
                        </a:rPr>
                        <m:t>mem</m:t>
                      </m:r>
                    </m:sub>
                  </m:sSub>
                  <m:r>
                    <a:rPr lang="en-US" sz="1400" b="0" i="1">
                      <a:solidFill>
                        <a:sysClr val="windowText" lastClr="000000"/>
                      </a:solidFill>
                      <a:latin typeface="Cambria Math" panose="02040503050406030204" pitchFamily="18" charset="0"/>
                    </a:rPr>
                    <m:t>(</m:t>
                  </m:r>
                  <m:r>
                    <m:rPr>
                      <m:sty m:val="p"/>
                    </m:rPr>
                    <a:rPr lang="en-US" sz="1400" b="0" i="0">
                      <a:solidFill>
                        <a:sysClr val="windowText" lastClr="000000"/>
                      </a:solidFill>
                      <a:latin typeface="Cambria Math" panose="02040503050406030204" pitchFamily="18" charset="0"/>
                    </a:rPr>
                    <m:t>sec</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𝑀𝐴𝑋</m:t>
                  </m:r>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𝐺𝑀</m:t>
                          </m:r>
                        </m:sub>
                      </m:sSub>
                    </m:num>
                    <m:den>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𝐵𝑊</m:t>
                          </m:r>
                        </m:e>
                        <m:sub>
                          <m:r>
                            <a:rPr lang="en-US" sz="1400" b="0" i="1">
                              <a:solidFill>
                                <a:sysClr val="windowText" lastClr="000000"/>
                              </a:solidFill>
                              <a:latin typeface="Cambria Math" panose="02040503050406030204" pitchFamily="18" charset="0"/>
                            </a:rPr>
                            <m:t>𝐺𝑀</m:t>
                          </m:r>
                        </m:sub>
                      </m:sSub>
                    </m:den>
                  </m:f>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𝑆𝑀</m:t>
                          </m:r>
                        </m:sub>
                      </m:sSub>
                    </m:num>
                    <m:den>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𝐵𝑊</m:t>
                          </m:r>
                        </m:e>
                        <m:sub>
                          <m:r>
                            <a:rPr lang="en-US" sz="1400" b="0" i="1">
                              <a:solidFill>
                                <a:schemeClr val="tx1"/>
                              </a:solidFill>
                              <a:effectLst/>
                              <a:latin typeface="Cambria Math" panose="02040503050406030204" pitchFamily="18" charset="0"/>
                              <a:ea typeface="+mn-ea"/>
                              <a:cs typeface="+mn-cs"/>
                            </a:rPr>
                            <m:t>𝑆𝑀</m:t>
                          </m:r>
                        </m:sub>
                      </m:sSub>
                    </m:den>
                  </m:f>
                  <m:r>
                    <a:rPr lang="en-US" sz="1400" b="0" i="1">
                      <a:solidFill>
                        <a:sysClr val="windowText" lastClr="000000"/>
                      </a:solidFill>
                      <a:latin typeface="Cambria Math" panose="02040503050406030204" pitchFamily="18" charset="0"/>
                    </a:rPr>
                    <m:t>)</m:t>
                  </m:r>
                </m:oMath>
              </a14:m>
              <a:r>
                <a:rPr lang="en-GB" sz="1400" i="1"/>
                <a:t>  </a:t>
              </a:r>
            </a:p>
          </xdr:txBody>
        </xdr:sp>
      </mc:Choice>
      <mc:Fallback xmlns="">
        <xdr:sp macro="" textlink="">
          <xdr:nvSpPr>
            <xdr:cNvPr id="2" name="TextBox 76">
              <a:extLst>
                <a:ext uri="{FF2B5EF4-FFF2-40B4-BE49-F238E27FC236}">
                  <a16:creationId xmlns:a16="http://schemas.microsoft.com/office/drawing/2014/main" id="{A81223FC-139A-4896-86BF-799CAA8C0A2E}"/>
                </a:ext>
              </a:extLst>
            </xdr:cNvPr>
            <xdr:cNvSpPr txBox="1"/>
          </xdr:nvSpPr>
          <xdr:spPr>
            <a:xfrm>
              <a:off x="2333625" y="3276600"/>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𝑇_mem (sec)=𝑀𝐴𝑋(</a:t>
              </a:r>
              <a:r>
                <a:rPr lang="en-US" sz="1400" b="0" i="0">
                  <a:solidFill>
                    <a:schemeClr val="tx1"/>
                  </a:solidFill>
                  <a:effectLst/>
                  <a:latin typeface="Cambria Math" panose="02040503050406030204" pitchFamily="18" charset="0"/>
                  <a:ea typeface="+mn-ea"/>
                  <a:cs typeface="+mn-cs"/>
                </a:rPr>
                <a:t>𝑉_𝐺𝑀</a:t>
              </a:r>
              <a:r>
                <a:rPr lang="en-US" sz="1400" b="0" i="0">
                  <a:solidFill>
                    <a:sysClr val="windowText" lastClr="000000"/>
                  </a:solidFill>
                  <a:effectLst/>
                  <a:latin typeface="Cambria Math" panose="02040503050406030204" pitchFamily="18" charset="0"/>
                  <a:ea typeface="+mn-ea"/>
                  <a:cs typeface="+mn-cs"/>
                </a:rPr>
                <a:t>/〖</a:t>
              </a:r>
              <a:r>
                <a:rPr lang="en-US" sz="1400" b="0" i="0">
                  <a:solidFill>
                    <a:sysClr val="windowText" lastClr="000000"/>
                  </a:solidFill>
                  <a:latin typeface="Cambria Math" panose="02040503050406030204" pitchFamily="18" charset="0"/>
                </a:rPr>
                <a:t>𝐵𝑊〗_𝐺𝑀 </a:t>
              </a:r>
              <a:r>
                <a:rPr lang="en-US" sz="1400" b="0" i="0">
                  <a:solidFill>
                    <a:schemeClr val="tx1"/>
                  </a:solidFill>
                  <a:effectLst/>
                  <a:latin typeface="Cambria Math" panose="02040503050406030204" pitchFamily="18" charset="0"/>
                  <a:ea typeface="+mn-ea"/>
                  <a:cs typeface="+mn-cs"/>
                </a:rPr>
                <a:t>,𝑉_𝑆𝑀/〖𝐵𝑊〗_𝑆𝑀 </a:t>
              </a:r>
              <a:r>
                <a:rPr lang="en-US" sz="1400" b="0" i="0">
                  <a:solidFill>
                    <a:sysClr val="windowText" lastClr="000000"/>
                  </a:solidFill>
                  <a:latin typeface="Cambria Math" panose="02040503050406030204" pitchFamily="18" charset="0"/>
                </a:rPr>
                <a:t>)</a:t>
              </a:r>
              <a:r>
                <a:rPr lang="en-GB" sz="1400" i="1"/>
                <a:t>  </a:t>
              </a:r>
            </a:p>
          </xdr:txBody>
        </xdr:sp>
      </mc:Fallback>
    </mc:AlternateContent>
    <xdr:clientData/>
  </xdr:oneCellAnchor>
  <xdr:oneCellAnchor>
    <xdr:from>
      <xdr:col>1</xdr:col>
      <xdr:colOff>0</xdr:colOff>
      <xdr:row>25</xdr:row>
      <xdr:rowOff>95250</xdr:rowOff>
    </xdr:from>
    <xdr:ext cx="4686300" cy="489857"/>
    <mc:AlternateContent xmlns:mc="http://schemas.openxmlformats.org/markup-compatibility/2006" xmlns:a14="http://schemas.microsoft.com/office/drawing/2010/main">
      <mc:Choice Requires="a14">
        <xdr:sp macro="" textlink="">
          <xdr:nvSpPr>
            <xdr:cNvPr id="3" name="TextBox 76">
              <a:extLst>
                <a:ext uri="{FF2B5EF4-FFF2-40B4-BE49-F238E27FC236}">
                  <a16:creationId xmlns:a16="http://schemas.microsoft.com/office/drawing/2014/main" id="{A4BA091F-4D61-4784-B8FD-E6BD29871593}"/>
                </a:ext>
              </a:extLst>
            </xdr:cNvPr>
            <xdr:cNvSpPr txBox="1"/>
          </xdr:nvSpPr>
          <xdr:spPr>
            <a:xfrm>
              <a:off x="2276475" y="10067925"/>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𝑆𝑀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𝑡h𝑟𝑒𝑎𝑑𝑠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d>
                    <m:dPr>
                      <m:ctrlPr>
                        <a:rPr lang="en-US" sz="1400" b="0" i="1">
                          <a:solidFill>
                            <a:srgbClr val="0070C0"/>
                          </a:solidFill>
                          <a:latin typeface="Cambria Math" panose="02040503050406030204" pitchFamily="18" charset="0"/>
                        </a:rPr>
                      </m:ctrlPr>
                    </m:dPr>
                    <m:e>
                      <m:sSubSup>
                        <m:sSubSupPr>
                          <m:ctrlPr>
                            <a:rPr lang="en-US" sz="1400" b="0" i="1">
                              <a:solidFill>
                                <a:srgbClr val="0070C0"/>
                              </a:solidFill>
                              <a:latin typeface="Cambria Math" panose="02040503050406030204" pitchFamily="18" charset="0"/>
                            </a:rPr>
                          </m:ctrlPr>
                        </m:sSubSupPr>
                        <m:e>
                          <m:r>
                            <a:rPr lang="en-US" sz="1400" b="0" i="1">
                              <a:solidFill>
                                <a:srgbClr val="0070C0"/>
                              </a:solidFill>
                              <a:latin typeface="Cambria Math" panose="02040503050406030204" pitchFamily="18" charset="0"/>
                            </a:rPr>
                            <m:t>𝑛</m:t>
                          </m:r>
                        </m:e>
                        <m:sub>
                          <m:r>
                            <a:rPr lang="en-US" sz="1400" b="0" i="1">
                              <a:solidFill>
                                <a:srgbClr val="0070C0"/>
                              </a:solidFill>
                              <a:latin typeface="Cambria Math" panose="02040503050406030204" pitchFamily="18" charset="0"/>
                            </a:rPr>
                            <m:t>𝑆𝑀</m:t>
                          </m:r>
                          <m:r>
                            <a:rPr lang="en-US" sz="1400" b="0" i="1">
                              <a:solidFill>
                                <a:srgbClr val="0070C0"/>
                              </a:solidFill>
                              <a:latin typeface="Cambria Math" panose="02040503050406030204" pitchFamily="18" charset="0"/>
                            </a:rPr>
                            <m:t>,</m:t>
                          </m:r>
                          <m:r>
                            <a:rPr lang="en-US" sz="1400" b="0" i="1">
                              <a:solidFill>
                                <a:srgbClr val="0070C0"/>
                              </a:solidFill>
                              <a:latin typeface="Cambria Math" panose="02040503050406030204" pitchFamily="18" charset="0"/>
                            </a:rPr>
                            <m:t>𝑇</m:t>
                          </m:r>
                        </m:sub>
                        <m:sup>
                          <m:r>
                            <a:rPr lang="en-US" sz="1400" b="0" i="1">
                              <a:solidFill>
                                <a:srgbClr val="0070C0"/>
                              </a:solidFill>
                              <a:latin typeface="Cambria Math" panose="02040503050406030204" pitchFamily="18" charset="0"/>
                            </a:rPr>
                            <m:t>𝑙𝑑</m:t>
                          </m:r>
                        </m:sup>
                      </m:sSubSup>
                      <m:r>
                        <a:rPr lang="en-US" sz="1400" b="0" i="1">
                          <a:solidFill>
                            <a:srgbClr val="0070C0"/>
                          </a:solidFill>
                          <a:latin typeface="Cambria Math" panose="02040503050406030204" pitchFamily="18" charset="0"/>
                        </a:rPr>
                        <m:t>+</m:t>
                      </m:r>
                      <m:sSubSup>
                        <m:sSubSupPr>
                          <m:ctrlPr>
                            <a:rPr lang="en-US" sz="1400" b="0" i="1">
                              <a:solidFill>
                                <a:srgbClr val="0070C0"/>
                              </a:solidFill>
                              <a:effectLst/>
                              <a:latin typeface="Cambria Math" panose="02040503050406030204" pitchFamily="18" charset="0"/>
                              <a:ea typeface="+mn-ea"/>
                              <a:cs typeface="+mn-cs"/>
                            </a:rPr>
                          </m:ctrlPr>
                        </m:sSubSupPr>
                        <m:e>
                          <m:r>
                            <a:rPr lang="en-US" sz="1400" b="0" i="1">
                              <a:solidFill>
                                <a:srgbClr val="0070C0"/>
                              </a:solidFill>
                              <a:effectLst/>
                              <a:latin typeface="Cambria Math" panose="02040503050406030204" pitchFamily="18" charset="0"/>
                              <a:ea typeface="+mn-ea"/>
                              <a:cs typeface="+mn-cs"/>
                            </a:rPr>
                            <m:t>𝑛</m:t>
                          </m:r>
                        </m:e>
                        <m:sub>
                          <m:r>
                            <a:rPr lang="en-US" sz="1400" b="0" i="1">
                              <a:solidFill>
                                <a:srgbClr val="0070C0"/>
                              </a:solidFill>
                              <a:effectLst/>
                              <a:latin typeface="Cambria Math" panose="02040503050406030204" pitchFamily="18" charset="0"/>
                              <a:ea typeface="+mn-ea"/>
                              <a:cs typeface="+mn-cs"/>
                            </a:rPr>
                            <m:t>𝑆𝑀</m:t>
                          </m:r>
                          <m:r>
                            <a:rPr lang="en-US" sz="1400" b="0" i="1">
                              <a:solidFill>
                                <a:srgbClr val="0070C0"/>
                              </a:solidFill>
                              <a:effectLst/>
                              <a:latin typeface="Cambria Math" panose="02040503050406030204" pitchFamily="18" charset="0"/>
                              <a:ea typeface="+mn-ea"/>
                              <a:cs typeface="+mn-cs"/>
                            </a:rPr>
                            <m:t>,</m:t>
                          </m:r>
                          <m:r>
                            <a:rPr lang="en-US" sz="1400" b="0" i="1">
                              <a:solidFill>
                                <a:srgbClr val="0070C0"/>
                              </a:solidFill>
                              <a:effectLst/>
                              <a:latin typeface="Cambria Math" panose="02040503050406030204" pitchFamily="18" charset="0"/>
                              <a:ea typeface="+mn-ea"/>
                              <a:cs typeface="+mn-cs"/>
                            </a:rPr>
                            <m:t>𝑇</m:t>
                          </m:r>
                        </m:sub>
                        <m:sup>
                          <m:r>
                            <a:rPr lang="en-US" sz="1400" b="0" i="1">
                              <a:solidFill>
                                <a:srgbClr val="0070C0"/>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3" name="TextBox 76">
              <a:extLst>
                <a:ext uri="{FF2B5EF4-FFF2-40B4-BE49-F238E27FC236}">
                  <a16:creationId xmlns:a16="http://schemas.microsoft.com/office/drawing/2014/main" id="{A4BA091F-4D61-4784-B8FD-E6BD29871593}"/>
                </a:ext>
              </a:extLst>
            </xdr:cNvPr>
            <xdr:cNvSpPr txBox="1"/>
          </xdr:nvSpPr>
          <xdr:spPr>
            <a:xfrm>
              <a:off x="2276475" y="10067925"/>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𝑉_𝑆𝑀 (GB)=#𝑡ℎ𝑟𝑒𝑎𝑑𝑠 𝑝𝑒𝑟 𝑆𝑀∗</a:t>
              </a:r>
              <a:r>
                <a:rPr lang="en-US" sz="1400" b="0" i="0">
                  <a:solidFill>
                    <a:srgbClr val="0070C0"/>
                  </a:solidFill>
                  <a:latin typeface="Cambria Math" panose="02040503050406030204" pitchFamily="18" charset="0"/>
                </a:rPr>
                <a:t>(𝑛_(𝑆𝑀,𝑇)^𝑙𝑑+</a:t>
              </a:r>
              <a:r>
                <a:rPr lang="en-US" sz="1400" b="0" i="0">
                  <a:solidFill>
                    <a:srgbClr val="0070C0"/>
                  </a:solidFill>
                  <a:effectLst/>
                  <a:latin typeface="Cambria Math" panose="02040503050406030204" pitchFamily="18" charset="0"/>
                  <a:ea typeface="+mn-ea"/>
                  <a:cs typeface="+mn-cs"/>
                </a:rPr>
                <a:t>𝑛_(𝑆𝑀,𝑇)^𝑠𝑡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4</xdr:col>
      <xdr:colOff>695325</xdr:colOff>
      <xdr:row>25</xdr:row>
      <xdr:rowOff>142875</xdr:rowOff>
    </xdr:from>
    <xdr:ext cx="4171950" cy="409576"/>
    <mc:AlternateContent xmlns:mc="http://schemas.openxmlformats.org/markup-compatibility/2006" xmlns:a14="http://schemas.microsoft.com/office/drawing/2010/main">
      <mc:Choice Requires="a14">
        <xdr:sp macro="" textlink="">
          <xdr:nvSpPr>
            <xdr:cNvPr id="4" name="TextBox 76">
              <a:extLst>
                <a:ext uri="{FF2B5EF4-FFF2-40B4-BE49-F238E27FC236}">
                  <a16:creationId xmlns:a16="http://schemas.microsoft.com/office/drawing/2014/main" id="{4536C092-AC67-4D9B-8408-12F5D9BEF761}"/>
                </a:ext>
              </a:extLst>
            </xdr:cNvPr>
            <xdr:cNvSpPr txBox="1"/>
          </xdr:nvSpPr>
          <xdr:spPr>
            <a:xfrm>
              <a:off x="7086600" y="10115550"/>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#aligned</a:t>
              </a:r>
              <a:r>
                <a:rPr lang="en-GB" sz="1400" i="1" baseline="0"/>
                <a:t> loads (T) + 2 x #miss-aligned loads(T) </a:t>
              </a:r>
              <a:endParaRPr lang="en-GB" sz="1400" i="1"/>
            </a:p>
          </xdr:txBody>
        </xdr:sp>
      </mc:Choice>
      <mc:Fallback xmlns="">
        <xdr:sp macro="" textlink="">
          <xdr:nvSpPr>
            <xdr:cNvPr id="4" name="TextBox 76">
              <a:extLst>
                <a:ext uri="{FF2B5EF4-FFF2-40B4-BE49-F238E27FC236}">
                  <a16:creationId xmlns:a16="http://schemas.microsoft.com/office/drawing/2014/main" id="{4536C092-AC67-4D9B-8408-12F5D9BEF761}"/>
                </a:ext>
              </a:extLst>
            </xdr:cNvPr>
            <xdr:cNvSpPr txBox="1"/>
          </xdr:nvSpPr>
          <xdr:spPr>
            <a:xfrm>
              <a:off x="7086600" y="10115550"/>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𝑛_(𝑆𝑀,𝑇)^𝑙𝑑</a:t>
              </a:r>
              <a:r>
                <a:rPr lang="en-GB" sz="1400" i="1"/>
                <a:t> = #aligned</a:t>
              </a:r>
              <a:r>
                <a:rPr lang="en-GB" sz="1400" i="1" baseline="0"/>
                <a:t> loads (T) + 2 x #miss-aligned loads(T) </a:t>
              </a:r>
              <a:endParaRPr lang="en-GB" sz="1400" i="1"/>
            </a:p>
          </xdr:txBody>
        </xdr:sp>
      </mc:Fallback>
    </mc:AlternateContent>
    <xdr:clientData/>
  </xdr:oneCellAnchor>
  <xdr:oneCellAnchor>
    <xdr:from>
      <xdr:col>1</xdr:col>
      <xdr:colOff>9525</xdr:colOff>
      <xdr:row>43</xdr:row>
      <xdr:rowOff>85725</xdr:rowOff>
    </xdr:from>
    <xdr:ext cx="3981450" cy="381000"/>
    <mc:AlternateContent xmlns:mc="http://schemas.openxmlformats.org/markup-compatibility/2006" xmlns:a14="http://schemas.microsoft.com/office/drawing/2010/main">
      <mc:Choice Requires="a14">
        <xdr:sp macro="" textlink="">
          <xdr:nvSpPr>
            <xdr:cNvPr id="8" name="TextBox 76">
              <a:extLst>
                <a:ext uri="{FF2B5EF4-FFF2-40B4-BE49-F238E27FC236}">
                  <a16:creationId xmlns:a16="http://schemas.microsoft.com/office/drawing/2014/main" id="{391E6458-64F7-4C06-820B-EC46688275C7}"/>
                </a:ext>
              </a:extLst>
            </xdr:cNvPr>
            <xdr:cNvSpPr txBox="1"/>
          </xdr:nvSpPr>
          <xdr:spPr>
            <a:xfrm>
              <a:off x="2286000" y="16059150"/>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𝐺𝑀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𝑔𝑟𝑜𝑢𝑝𝑠</m:t>
                  </m:r>
                  <m:r>
                    <a:rPr lang="en-US" sz="1400" b="0" i="1">
                      <a:solidFill>
                        <a:sysClr val="windowText" lastClr="000000"/>
                      </a:solidFill>
                      <a:latin typeface="Cambria Math" panose="02040503050406030204" pitchFamily="18" charset="0"/>
                    </a:rPr>
                    <m:t>∗</m:t>
                  </m:r>
                  <m:d>
                    <m:dPr>
                      <m:ctrlPr>
                        <a:rPr lang="en-US" sz="1400" b="0" i="1">
                          <a:solidFill>
                            <a:schemeClr val="accent1">
                              <a:lumMod val="75000"/>
                            </a:schemeClr>
                          </a:solidFill>
                          <a:latin typeface="Cambria Math" panose="02040503050406030204" pitchFamily="18" charset="0"/>
                        </a:rPr>
                      </m:ctrlPr>
                    </m:dPr>
                    <m:e>
                      <m:sSubSup>
                        <m:sSubSupPr>
                          <m:ctrlPr>
                            <a:rPr lang="en-US" sz="1400" b="0" i="1">
                              <a:solidFill>
                                <a:schemeClr val="accent1">
                                  <a:lumMod val="75000"/>
                                </a:schemeClr>
                              </a:solidFill>
                              <a:latin typeface="Cambria Math" panose="02040503050406030204" pitchFamily="18" charset="0"/>
                            </a:rPr>
                          </m:ctrlPr>
                        </m:sSubSupPr>
                        <m:e>
                          <m:r>
                            <a:rPr lang="en-US" sz="1400" b="0" i="1">
                              <a:solidFill>
                                <a:schemeClr val="accent1">
                                  <a:lumMod val="75000"/>
                                </a:schemeClr>
                              </a:solidFill>
                              <a:latin typeface="Cambria Math" panose="02040503050406030204" pitchFamily="18" charset="0"/>
                            </a:rPr>
                            <m:t>𝑛</m:t>
                          </m:r>
                        </m:e>
                        <m:sub>
                          <m:r>
                            <a:rPr lang="en-US" sz="1400" b="0" i="1">
                              <a:solidFill>
                                <a:schemeClr val="accent1">
                                  <a:lumMod val="75000"/>
                                </a:schemeClr>
                              </a:solidFill>
                              <a:latin typeface="Cambria Math" panose="02040503050406030204" pitchFamily="18" charset="0"/>
                            </a:rPr>
                            <m:t>𝐺𝑀</m:t>
                          </m:r>
                          <m:r>
                            <a:rPr lang="en-US" sz="1400" b="0" i="1">
                              <a:solidFill>
                                <a:schemeClr val="accent1">
                                  <a:lumMod val="75000"/>
                                </a:schemeClr>
                              </a:solidFill>
                              <a:latin typeface="Cambria Math" panose="02040503050406030204" pitchFamily="18" charset="0"/>
                            </a:rPr>
                            <m:t>,</m:t>
                          </m:r>
                          <m:r>
                            <a:rPr lang="en-US" sz="1400" b="0" i="1">
                              <a:solidFill>
                                <a:schemeClr val="accent1">
                                  <a:lumMod val="75000"/>
                                </a:schemeClr>
                              </a:solidFill>
                              <a:latin typeface="Cambria Math" panose="02040503050406030204" pitchFamily="18" charset="0"/>
                            </a:rPr>
                            <m:t>𝐺</m:t>
                          </m:r>
                        </m:sub>
                        <m:sup>
                          <m:r>
                            <a:rPr lang="en-US" sz="1400" b="0" i="1">
                              <a:solidFill>
                                <a:schemeClr val="accent1">
                                  <a:lumMod val="75000"/>
                                </a:schemeClr>
                              </a:solidFill>
                              <a:latin typeface="Cambria Math" panose="02040503050406030204" pitchFamily="18" charset="0"/>
                            </a:rPr>
                            <m:t>𝑙𝑑</m:t>
                          </m:r>
                        </m:sup>
                      </m:sSubSup>
                      <m:r>
                        <a:rPr lang="en-US" sz="1400" b="0" i="1">
                          <a:solidFill>
                            <a:schemeClr val="accent1">
                              <a:lumMod val="75000"/>
                            </a:schemeClr>
                          </a:solidFill>
                          <a:latin typeface="Cambria Math" panose="02040503050406030204" pitchFamily="18" charset="0"/>
                        </a:rPr>
                        <m:t>+</m:t>
                      </m:r>
                      <m:sSubSup>
                        <m:sSubSupPr>
                          <m:ctrlPr>
                            <a:rPr lang="en-US" sz="1400" b="0" i="1">
                              <a:solidFill>
                                <a:schemeClr val="accent1">
                                  <a:lumMod val="75000"/>
                                </a:schemeClr>
                              </a:solidFill>
                              <a:effectLst/>
                              <a:latin typeface="Cambria Math" panose="02040503050406030204" pitchFamily="18" charset="0"/>
                              <a:ea typeface="+mn-ea"/>
                              <a:cs typeface="+mn-cs"/>
                            </a:rPr>
                          </m:ctrlPr>
                        </m:sSubSupPr>
                        <m:e>
                          <m:r>
                            <a:rPr lang="en-US" sz="1400" b="0" i="1">
                              <a:solidFill>
                                <a:schemeClr val="accent1">
                                  <a:lumMod val="75000"/>
                                </a:schemeClr>
                              </a:solidFill>
                              <a:effectLst/>
                              <a:latin typeface="Cambria Math" panose="02040503050406030204" pitchFamily="18" charset="0"/>
                              <a:ea typeface="+mn-ea"/>
                              <a:cs typeface="+mn-cs"/>
                            </a:rPr>
                            <m:t>𝑛</m:t>
                          </m:r>
                        </m:e>
                        <m:sub>
                          <m:r>
                            <a:rPr lang="en-US" sz="1400" b="0" i="1">
                              <a:solidFill>
                                <a:schemeClr val="accent1">
                                  <a:lumMod val="75000"/>
                                </a:schemeClr>
                              </a:solidFill>
                              <a:effectLst/>
                              <a:latin typeface="Cambria Math" panose="02040503050406030204" pitchFamily="18" charset="0"/>
                              <a:ea typeface="+mn-ea"/>
                              <a:cs typeface="+mn-cs"/>
                            </a:rPr>
                            <m:t>𝐺𝑀</m:t>
                          </m:r>
                          <m:r>
                            <a:rPr lang="en-US" sz="1400" b="0" i="1">
                              <a:solidFill>
                                <a:schemeClr val="accent1">
                                  <a:lumMod val="75000"/>
                                </a:schemeClr>
                              </a:solidFill>
                              <a:effectLst/>
                              <a:latin typeface="Cambria Math" panose="02040503050406030204" pitchFamily="18" charset="0"/>
                              <a:ea typeface="+mn-ea"/>
                              <a:cs typeface="+mn-cs"/>
                            </a:rPr>
                            <m:t>,</m:t>
                          </m:r>
                          <m:r>
                            <a:rPr lang="en-US" sz="1400" b="0" i="1">
                              <a:solidFill>
                                <a:schemeClr val="accent1">
                                  <a:lumMod val="75000"/>
                                </a:schemeClr>
                              </a:solidFill>
                              <a:effectLst/>
                              <a:latin typeface="Cambria Math" panose="02040503050406030204" pitchFamily="18" charset="0"/>
                              <a:ea typeface="+mn-ea"/>
                              <a:cs typeface="+mn-cs"/>
                            </a:rPr>
                            <m:t>𝐺</m:t>
                          </m:r>
                        </m:sub>
                        <m:sup>
                          <m:r>
                            <a:rPr lang="en-US" sz="1400" b="0" i="1">
                              <a:solidFill>
                                <a:schemeClr val="accent1">
                                  <a:lumMod val="75000"/>
                                </a:schemeClr>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8" name="TextBox 76">
              <a:extLst>
                <a:ext uri="{FF2B5EF4-FFF2-40B4-BE49-F238E27FC236}">
                  <a16:creationId xmlns:a16="http://schemas.microsoft.com/office/drawing/2014/main" id="{391E6458-64F7-4C06-820B-EC46688275C7}"/>
                </a:ext>
              </a:extLst>
            </xdr:cNvPr>
            <xdr:cNvSpPr txBox="1"/>
          </xdr:nvSpPr>
          <xdr:spPr>
            <a:xfrm>
              <a:off x="2286000" y="16059150"/>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𝑉_𝐺𝑀 (GB)=#𝑔𝑟𝑜𝑢𝑝𝑠∗</a:t>
              </a:r>
              <a:r>
                <a:rPr lang="en-US" sz="1400" b="0" i="0">
                  <a:solidFill>
                    <a:schemeClr val="accent1">
                      <a:lumMod val="75000"/>
                    </a:schemeClr>
                  </a:solidFill>
                  <a:latin typeface="Cambria Math" panose="02040503050406030204" pitchFamily="18" charset="0"/>
                </a:rPr>
                <a:t>(𝑛_(𝐺𝑀,𝐺)^𝑙𝑑+</a:t>
              </a:r>
              <a:r>
                <a:rPr lang="en-US" sz="1400" b="0" i="0">
                  <a:solidFill>
                    <a:schemeClr val="accent1">
                      <a:lumMod val="75000"/>
                    </a:schemeClr>
                  </a:solidFill>
                  <a:effectLst/>
                  <a:latin typeface="Cambria Math" panose="02040503050406030204" pitchFamily="18" charset="0"/>
                  <a:ea typeface="+mn-ea"/>
                  <a:cs typeface="+mn-cs"/>
                </a:rPr>
                <a:t>𝑛_(𝐺𝑀,𝐺)^𝑠𝑡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3</xdr:col>
      <xdr:colOff>1038225</xdr:colOff>
      <xdr:row>43</xdr:row>
      <xdr:rowOff>66675</xdr:rowOff>
    </xdr:from>
    <xdr:ext cx="2800350" cy="409576"/>
    <mc:AlternateContent xmlns:mc="http://schemas.openxmlformats.org/markup-compatibility/2006" xmlns:a14="http://schemas.microsoft.com/office/drawing/2010/main">
      <mc:Choice Requires="a14">
        <xdr:sp macro="" textlink="">
          <xdr:nvSpPr>
            <xdr:cNvPr id="9" name="TextBox 76">
              <a:extLst>
                <a:ext uri="{FF2B5EF4-FFF2-40B4-BE49-F238E27FC236}">
                  <a16:creationId xmlns:a16="http://schemas.microsoft.com/office/drawing/2014/main" id="{C6AA31BA-2E29-48BD-A43D-239BA0AB1803}"/>
                </a:ext>
              </a:extLst>
            </xdr:cNvPr>
            <xdr:cNvSpPr txBox="1"/>
          </xdr:nvSpPr>
          <xdr:spPr>
            <a:xfrm>
              <a:off x="6105525" y="13230225"/>
              <a:ext cx="28003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(1+</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oMath>
              </a14:m>
              <a:endParaRPr lang="en-GB" sz="1400" i="1"/>
            </a:p>
          </xdr:txBody>
        </xdr:sp>
      </mc:Choice>
      <mc:Fallback xmlns="">
        <xdr:sp macro="" textlink="">
          <xdr:nvSpPr>
            <xdr:cNvPr id="9" name="TextBox 76">
              <a:extLst>
                <a:ext uri="{FF2B5EF4-FFF2-40B4-BE49-F238E27FC236}">
                  <a16:creationId xmlns:a16="http://schemas.microsoft.com/office/drawing/2014/main" id="{C6AA31BA-2E29-48BD-A43D-239BA0AB1803}"/>
                </a:ext>
              </a:extLst>
            </xdr:cNvPr>
            <xdr:cNvSpPr txBox="1"/>
          </xdr:nvSpPr>
          <xdr:spPr>
            <a:xfrm>
              <a:off x="6105525" y="13230225"/>
              <a:ext cx="28003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𝑛_(𝐺𝑀,𝐺)^𝑙𝑑</a:t>
              </a:r>
              <a:r>
                <a:rPr lang="en-GB" sz="1400" i="1"/>
                <a:t> = </a:t>
              </a:r>
              <a:r>
                <a:rPr lang="en-US" sz="1400" b="0" i="0">
                  <a:solidFill>
                    <a:schemeClr val="tx1"/>
                  </a:solidFill>
                  <a:effectLst/>
                  <a:latin typeface="Cambria Math" panose="02040503050406030204" pitchFamily="18" charset="0"/>
                  <a:ea typeface="+mn-ea"/>
                  <a:cs typeface="+mn-cs"/>
                </a:rPr>
                <a:t>𝑛_(𝐺𝑀,𝐺)^(𝑙𝑑,𝑛𝑒𝑡 ) (1+𝑆𝑀 𝑚𝑖𝑠𝑠 𝑟𝑎𝑡𝑖𝑜)</a:t>
              </a:r>
              <a:endParaRPr lang="en-GB" sz="1400" i="1"/>
            </a:p>
          </xdr:txBody>
        </xdr:sp>
      </mc:Fallback>
    </mc:AlternateContent>
    <xdr:clientData/>
  </xdr:oneCellAnchor>
  <xdr:oneCellAnchor>
    <xdr:from>
      <xdr:col>5</xdr:col>
      <xdr:colOff>942974</xdr:colOff>
      <xdr:row>43</xdr:row>
      <xdr:rowOff>28575</xdr:rowOff>
    </xdr:from>
    <xdr:ext cx="3724275" cy="514350"/>
    <mc:AlternateContent xmlns:mc="http://schemas.openxmlformats.org/markup-compatibility/2006" xmlns:a14="http://schemas.microsoft.com/office/drawing/2010/main">
      <mc:Choice Requires="a14">
        <xdr:sp macro="" textlink="">
          <xdr:nvSpPr>
            <xdr:cNvPr id="10" name="TextBox 76">
              <a:extLst>
                <a:ext uri="{FF2B5EF4-FFF2-40B4-BE49-F238E27FC236}">
                  <a16:creationId xmlns:a16="http://schemas.microsoft.com/office/drawing/2014/main" id="{D587EA14-646A-44FC-9058-2CC63685E263}"/>
                </a:ext>
              </a:extLst>
            </xdr:cNvPr>
            <xdr:cNvSpPr txBox="1"/>
          </xdr:nvSpPr>
          <xdr:spPr>
            <a:xfrm>
              <a:off x="8972549" y="13192125"/>
              <a:ext cx="372427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r>
                    <m:rPr>
                      <m:sty m:val="p"/>
                    </m:rPr>
                    <a:rPr lang="en-US" sz="1400" b="0" i="1">
                      <a:solidFill>
                        <a:schemeClr val="tx1"/>
                      </a:solidFill>
                      <a:effectLst/>
                      <a:latin typeface="Cambria Math" panose="02040503050406030204" pitchFamily="18" charset="0"/>
                      <a:ea typeface="+mn-ea"/>
                      <a:cs typeface="+mn-cs"/>
                    </a:rPr>
                    <m:t>S</m:t>
                  </m:r>
                  <m:r>
                    <a:rPr lang="en-US" sz="1400" b="0" i="1">
                      <a:solidFill>
                        <a:schemeClr val="tx1"/>
                      </a:solidFill>
                      <a:effectLst/>
                      <a:latin typeface="Cambria Math" panose="02040503050406030204" pitchFamily="18" charset="0"/>
                      <a:ea typeface="+mn-ea"/>
                      <a:cs typeface="+mn-cs"/>
                    </a:rPr>
                    <m:t>𝑀</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 ∗ </m:t>
                      </m:r>
                      <m:r>
                        <a:rPr lang="en-US" sz="1400" b="0" i="1">
                          <a:solidFill>
                            <a:schemeClr val="tx1"/>
                          </a:solidFill>
                          <a:effectLst/>
                          <a:latin typeface="Cambria Math" panose="02040503050406030204" pitchFamily="18" charset="0"/>
                          <a:ea typeface="+mn-ea"/>
                          <a:cs typeface="+mn-cs"/>
                        </a:rPr>
                        <m:t>𝑝𝑟𝑒𝑐𝑖𝑠𝑖𝑜𝑛</m:t>
                      </m:r>
                    </m:num>
                    <m:den>
                      <m:r>
                        <a:rPr lang="en-US" sz="1400" b="0" i="1">
                          <a:solidFill>
                            <a:schemeClr val="tx1"/>
                          </a:solidFill>
                          <a:effectLst/>
                          <a:latin typeface="Cambria Math" panose="02040503050406030204" pitchFamily="18" charset="0"/>
                          <a:ea typeface="+mn-ea"/>
                          <a:cs typeface="+mn-cs"/>
                        </a:rPr>
                        <m:t>𝑜𝑛</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𝑠𝑡𝑜𝑎𝑟𝑎𝑔𝑒</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𝑠𝑖𝑧𝑒</m:t>
                      </m:r>
                    </m:den>
                  </m:f>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𝑒𝑝𝑠𝑖𝑙𝑜𝑛</m:t>
                  </m:r>
                </m:oMath>
              </a14:m>
              <a:endParaRPr lang="en-GB" sz="1400" i="1"/>
            </a:p>
          </xdr:txBody>
        </xdr:sp>
      </mc:Choice>
      <mc:Fallback xmlns="">
        <xdr:sp macro="" textlink="">
          <xdr:nvSpPr>
            <xdr:cNvPr id="10" name="TextBox 76">
              <a:extLst>
                <a:ext uri="{FF2B5EF4-FFF2-40B4-BE49-F238E27FC236}">
                  <a16:creationId xmlns:a16="http://schemas.microsoft.com/office/drawing/2014/main" id="{D587EA14-646A-44FC-9058-2CC63685E263}"/>
                </a:ext>
              </a:extLst>
            </xdr:cNvPr>
            <xdr:cNvSpPr txBox="1"/>
          </xdr:nvSpPr>
          <xdr:spPr>
            <a:xfrm>
              <a:off x="8972549" y="13192125"/>
              <a:ext cx="372427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S𝑀 𝑚𝑖𝑠𝑠 𝑟𝑎𝑡𝑖𝑜=(𝑛_(𝐺𝑀,𝐺)^(𝑙𝑑,𝑛𝑒𝑡 )  ∗ 𝑝𝑟𝑒𝑐𝑖𝑠𝑖𝑜𝑛)/(𝑜𝑛−𝑆𝑀−𝑠𝑡𝑜𝑎𝑟𝑎𝑔𝑒−𝑠𝑖𝑧𝑒)  ∗𝑒𝑝𝑠𝑖𝑙𝑜𝑛</a:t>
              </a:r>
              <a:endParaRPr lang="en-GB" sz="1400" i="1"/>
            </a:p>
          </xdr:txBody>
        </xdr:sp>
      </mc:Fallback>
    </mc:AlternateContent>
    <xdr:clientData/>
  </xdr:oneCellAnchor>
  <xdr:oneCellAnchor>
    <xdr:from>
      <xdr:col>8</xdr:col>
      <xdr:colOff>371476</xdr:colOff>
      <xdr:row>43</xdr:row>
      <xdr:rowOff>19050</xdr:rowOff>
    </xdr:from>
    <xdr:ext cx="2724150" cy="489857"/>
    <mc:AlternateContent xmlns:mc="http://schemas.openxmlformats.org/markup-compatibility/2006" xmlns:a14="http://schemas.microsoft.com/office/drawing/2010/main">
      <mc:Choice Requires="a14">
        <xdr:sp macro="" textlink="">
          <xdr:nvSpPr>
            <xdr:cNvPr id="11" name="TextBox 76">
              <a:extLst>
                <a:ext uri="{FF2B5EF4-FFF2-40B4-BE49-F238E27FC236}">
                  <a16:creationId xmlns:a16="http://schemas.microsoft.com/office/drawing/2014/main" id="{D8E3FBA7-E5FD-486D-8C07-15CBDBCE1A47}"/>
                </a:ext>
              </a:extLst>
            </xdr:cNvPr>
            <xdr:cNvSpPr txBox="1"/>
          </xdr:nvSpPr>
          <xdr:spPr>
            <a:xfrm>
              <a:off x="12954001" y="13182600"/>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num>
                    <m:den>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𝑔𝑟𝑜𝑢𝑝</m:t>
                      </m:r>
                    </m:den>
                  </m:f>
                </m:oMath>
              </a14:m>
              <a:r>
                <a:rPr lang="en-GB" sz="1400" i="1">
                  <a:latin typeface="Gill Sans MT" panose="020B0502020104020203" pitchFamily="34" charset="0"/>
                </a:rPr>
                <a:t> </a:t>
              </a:r>
            </a:p>
          </xdr:txBody>
        </xdr:sp>
      </mc:Choice>
      <mc:Fallback xmlns="">
        <xdr:sp macro="" textlink="">
          <xdr:nvSpPr>
            <xdr:cNvPr id="11" name="TextBox 76">
              <a:extLst>
                <a:ext uri="{FF2B5EF4-FFF2-40B4-BE49-F238E27FC236}">
                  <a16:creationId xmlns:a16="http://schemas.microsoft.com/office/drawing/2014/main" id="{D8E3FBA7-E5FD-486D-8C07-15CBDBCE1A47}"/>
                </a:ext>
              </a:extLst>
            </xdr:cNvPr>
            <xdr:cNvSpPr txBox="1"/>
          </xdr:nvSpPr>
          <xdr:spPr>
            <a:xfrm>
              <a:off x="12954001" y="13182600"/>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r>
                <a:rPr lang="en-US" sz="1400" b="0" i="0">
                  <a:solidFill>
                    <a:sysClr val="windowText" lastClr="000000"/>
                  </a:solidFill>
                  <a:latin typeface="Cambria Math" panose="02040503050406030204" pitchFamily="18" charset="0"/>
                </a:rPr>
                <a:t>(# 𝑡ℎ𝑟𝑒𝑎𝑑 𝑏𝑙𝑜𝑐𝑘𝑠)/(# 𝑡ℎ𝑟𝑒𝑎𝑑 𝑏𝑙𝑜𝑐𝑘𝑠 𝑝𝑒𝑟 𝑔𝑟𝑜𝑢𝑝)</a:t>
              </a:r>
              <a:r>
                <a:rPr lang="en-GB" sz="1400" i="1">
                  <a:latin typeface="Gill Sans MT" panose="020B0502020104020203" pitchFamily="34" charset="0"/>
                </a:rPr>
                <a:t> </a:t>
              </a:r>
            </a:p>
          </xdr:txBody>
        </xdr:sp>
      </mc:Fallback>
    </mc:AlternateContent>
    <xdr:clientData/>
  </xdr:oneCellAnchor>
  <xdr:oneCellAnchor>
    <xdr:from>
      <xdr:col>10</xdr:col>
      <xdr:colOff>9526</xdr:colOff>
      <xdr:row>43</xdr:row>
      <xdr:rowOff>38100</xdr:rowOff>
    </xdr:from>
    <xdr:ext cx="4733924" cy="489857"/>
    <mc:AlternateContent xmlns:mc="http://schemas.openxmlformats.org/markup-compatibility/2006" xmlns:a14="http://schemas.microsoft.com/office/drawing/2010/main">
      <mc:Choice Requires="a14">
        <xdr:sp macro="" textlink="">
          <xdr:nvSpPr>
            <xdr:cNvPr id="12" name="TextBox 76">
              <a:extLst>
                <a:ext uri="{FF2B5EF4-FFF2-40B4-BE49-F238E27FC236}">
                  <a16:creationId xmlns:a16="http://schemas.microsoft.com/office/drawing/2014/main" id="{6E3813B2-DF96-44DE-B8D1-D3E839231938}"/>
                </a:ext>
              </a:extLst>
            </xdr:cNvPr>
            <xdr:cNvSpPr txBox="1"/>
          </xdr:nvSpPr>
          <xdr:spPr>
            <a:xfrm>
              <a:off x="15735301" y="12763500"/>
              <a:ext cx="4733924"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14:m>
                <m:oMath xmlns:m="http://schemas.openxmlformats.org/officeDocument/2006/math">
                  <m:sSubSup>
                    <m:sSubSupPr>
                      <m:ctrlPr>
                        <a:rPr lang="en-US" sz="1100" b="0" i="1">
                          <a:solidFill>
                            <a:schemeClr val="tx1"/>
                          </a:solidFill>
                          <a:effectLst/>
                          <a:latin typeface="Cambria Math" panose="02040503050406030204" pitchFamily="18" charset="0"/>
                          <a:ea typeface="+mn-ea"/>
                          <a:cs typeface="+mn-cs"/>
                        </a:rPr>
                      </m:ctrlPr>
                    </m:sSubSupPr>
                    <m:e>
                      <m:r>
                        <a:rPr lang="en-US" sz="1100" b="0" i="1">
                          <a:solidFill>
                            <a:schemeClr val="tx1"/>
                          </a:solidFill>
                          <a:effectLst/>
                          <a:latin typeface="Cambria Math" panose="02040503050406030204" pitchFamily="18" charset="0"/>
                          <a:ea typeface="+mn-ea"/>
                          <a:cs typeface="+mn-cs"/>
                        </a:rPr>
                        <m:t>𝑛</m:t>
                      </m:r>
                    </m:e>
                    <m:sub>
                      <m:r>
                        <a:rPr lang="en-US" sz="1100" b="0" i="1">
                          <a:solidFill>
                            <a:schemeClr val="tx1"/>
                          </a:solidFill>
                          <a:effectLst/>
                          <a:latin typeface="Cambria Math" panose="02040503050406030204" pitchFamily="18" charset="0"/>
                          <a:ea typeface="+mn-ea"/>
                          <a:cs typeface="+mn-cs"/>
                        </a:rPr>
                        <m:t>𝐺𝑀</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𝐺</m:t>
                      </m:r>
                    </m:sub>
                    <m:sup>
                      <m:r>
                        <a:rPr lang="en-US" sz="1100" b="0" i="1">
                          <a:solidFill>
                            <a:schemeClr val="tx1"/>
                          </a:solidFill>
                          <a:effectLst/>
                          <a:latin typeface="Cambria Math" panose="02040503050406030204" pitchFamily="18" charset="0"/>
                          <a:ea typeface="+mn-ea"/>
                          <a:cs typeface="+mn-cs"/>
                        </a:rPr>
                        <m:t>𝑙𝑑</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𝑛𝑒𝑡</m:t>
                      </m:r>
                      <m:r>
                        <a:rPr lang="en-US" sz="1100" b="0" i="1">
                          <a:solidFill>
                            <a:schemeClr val="tx1"/>
                          </a:solidFill>
                          <a:effectLst/>
                          <a:latin typeface="Cambria Math" panose="02040503050406030204" pitchFamily="18" charset="0"/>
                          <a:ea typeface="+mn-ea"/>
                          <a:cs typeface="+mn-cs"/>
                        </a:rPr>
                        <m:t> </m:t>
                      </m:r>
                    </m:sup>
                  </m:sSubSup>
                </m:oMath>
              </a14:m>
              <a:r>
                <a:rPr lang="en-US" sz="1400" b="0" baseline="0">
                  <a:solidFill>
                    <a:sysClr val="windowText" lastClr="000000"/>
                  </a:solidFill>
                  <a:latin typeface="Gill Sans MT" panose="020B0502020104020203" pitchFamily="34" charset="0"/>
                </a:rPr>
                <a:t> = (</a:t>
              </a:r>
              <a:r>
                <a:rPr lang="en-US" sz="1400" b="0" i="1" baseline="0">
                  <a:solidFill>
                    <a:sysClr val="windowText" lastClr="000000"/>
                  </a:solidFill>
                  <a:latin typeface="+mj-lt"/>
                </a:rPr>
                <a:t>N_x+</a:t>
              </a:r>
              <a:r>
                <a:rPr lang="en-US" sz="1400" b="0" baseline="0">
                  <a:solidFill>
                    <a:sysClr val="windowText" lastClr="000000"/>
                  </a:solidFill>
                  <a:latin typeface="Gill Sans MT" panose="020B0502020104020203" pitchFamily="34" charset="0"/>
                </a:rPr>
                <a:t>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𝑐𝑎𝑐h𝑒</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𝑙𝑖𝑛𝑒</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𝑠𝑖𝑧𝑒</m:t>
                      </m:r>
                    </m:num>
                    <m:den>
                      <m:r>
                        <a:rPr lang="en-US" sz="1400" b="0" i="1">
                          <a:solidFill>
                            <a:sysClr val="windowText" lastClr="000000"/>
                          </a:solidFill>
                          <a:latin typeface="Cambria Math" panose="02040503050406030204" pitchFamily="18" charset="0"/>
                        </a:rPr>
                        <m:t>𝑝𝑟𝑒𝑐𝑒𝑠𝑖𝑜𝑛</m:t>
                      </m:r>
                    </m:den>
                  </m:f>
                </m:oMath>
              </a14:m>
              <a:r>
                <a:rPr lang="en-GB" sz="1400" i="1">
                  <a:latin typeface="Gill Sans MT" panose="020B0502020104020203" pitchFamily="34" charset="0"/>
                </a:rPr>
                <a:t> * </a:t>
              </a:r>
              <a:r>
                <a:rPr lang="en-GB" sz="1400" i="0">
                  <a:latin typeface="+mj-lt"/>
                </a:rPr>
                <a:t>2) x width_y x height_z</a:t>
              </a:r>
            </a:p>
          </xdr:txBody>
        </xdr:sp>
      </mc:Choice>
      <mc:Fallback xmlns="">
        <xdr:sp macro="" textlink="">
          <xdr:nvSpPr>
            <xdr:cNvPr id="12" name="TextBox 76">
              <a:extLst>
                <a:ext uri="{FF2B5EF4-FFF2-40B4-BE49-F238E27FC236}">
                  <a16:creationId xmlns:a16="http://schemas.microsoft.com/office/drawing/2014/main" id="{6E3813B2-DF96-44DE-B8D1-D3E839231938}"/>
                </a:ext>
              </a:extLst>
            </xdr:cNvPr>
            <xdr:cNvSpPr txBox="1"/>
          </xdr:nvSpPr>
          <xdr:spPr>
            <a:xfrm>
              <a:off x="15735301" y="12763500"/>
              <a:ext cx="4733924"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100" b="0" i="0">
                  <a:solidFill>
                    <a:schemeClr val="tx1"/>
                  </a:solidFill>
                  <a:effectLst/>
                  <a:latin typeface="+mn-lt"/>
                  <a:ea typeface="+mn-ea"/>
                  <a:cs typeface="+mn-cs"/>
                </a:rPr>
                <a:t>𝑛_(</a:t>
              </a:r>
              <a:r>
                <a:rPr lang="en-US" sz="1100" b="0" i="0">
                  <a:solidFill>
                    <a:schemeClr val="tx1"/>
                  </a:solidFill>
                  <a:effectLst/>
                  <a:latin typeface="Cambria Math" panose="02040503050406030204" pitchFamily="18" charset="0"/>
                  <a:ea typeface="+mn-ea"/>
                  <a:cs typeface="+mn-cs"/>
                </a:rPr>
                <a:t>𝐺𝑀</a:t>
              </a:r>
              <a:r>
                <a:rPr lang="en-US" sz="1100" b="0" i="0">
                  <a:solidFill>
                    <a:schemeClr val="tx1"/>
                  </a:solidFill>
                  <a:effectLst/>
                  <a:latin typeface="+mn-lt"/>
                  <a:ea typeface="+mn-ea"/>
                  <a:cs typeface="+mn-cs"/>
                </a:rPr>
                <a:t>,</a:t>
              </a:r>
              <a:r>
                <a:rPr lang="en-US" sz="1100" b="0" i="0">
                  <a:solidFill>
                    <a:schemeClr val="tx1"/>
                  </a:solidFill>
                  <a:effectLst/>
                  <a:latin typeface="Cambria Math" panose="02040503050406030204" pitchFamily="18" charset="0"/>
                  <a:ea typeface="+mn-ea"/>
                  <a:cs typeface="+mn-cs"/>
                </a:rPr>
                <a:t>𝐺</a:t>
              </a:r>
              <a:r>
                <a:rPr lang="en-US" sz="1100" b="0" i="0">
                  <a:solidFill>
                    <a:schemeClr val="tx1"/>
                  </a:solidFill>
                  <a:effectLst/>
                  <a:latin typeface="+mn-lt"/>
                  <a:ea typeface="+mn-ea"/>
                  <a:cs typeface="+mn-cs"/>
                </a:rPr>
                <a:t>)^(𝑙𝑑,𝑛𝑒𝑡 )</a:t>
              </a:r>
              <a:r>
                <a:rPr lang="en-US" sz="1400" b="0" baseline="0">
                  <a:solidFill>
                    <a:sysClr val="windowText" lastClr="000000"/>
                  </a:solidFill>
                  <a:latin typeface="Gill Sans MT" panose="020B0502020104020203" pitchFamily="34" charset="0"/>
                </a:rPr>
                <a:t> = (</a:t>
              </a:r>
              <a:r>
                <a:rPr lang="en-US" sz="1400" b="0" i="1" baseline="0">
                  <a:solidFill>
                    <a:sysClr val="windowText" lastClr="000000"/>
                  </a:solidFill>
                  <a:latin typeface="+mj-lt"/>
                </a:rPr>
                <a:t>N_x+</a:t>
              </a:r>
              <a:r>
                <a:rPr lang="en-US" sz="1400" b="0" baseline="0">
                  <a:solidFill>
                    <a:sysClr val="windowText" lastClr="000000"/>
                  </a:solidFill>
                  <a:latin typeface="Gill Sans MT" panose="020B0502020104020203" pitchFamily="34" charset="0"/>
                </a:rPr>
                <a:t> </a:t>
              </a:r>
              <a:r>
                <a:rPr lang="en-US" sz="1400" b="0" i="0">
                  <a:solidFill>
                    <a:sysClr val="windowText" lastClr="000000"/>
                  </a:solidFill>
                  <a:latin typeface="Cambria Math" panose="02040503050406030204" pitchFamily="18" charset="0"/>
                </a:rPr>
                <a:t>(# 𝑆𝑀−𝑐𝑎𝑐ℎ𝑒−𝑙𝑖𝑛𝑒−𝑠𝑖𝑧𝑒)/𝑝𝑟𝑒𝑐𝑒𝑠𝑖𝑜𝑛</a:t>
              </a:r>
              <a:r>
                <a:rPr lang="en-GB" sz="1400" i="1">
                  <a:latin typeface="Gill Sans MT" panose="020B0502020104020203" pitchFamily="34" charset="0"/>
                </a:rPr>
                <a:t> * </a:t>
              </a:r>
              <a:r>
                <a:rPr lang="en-GB" sz="1400" i="0">
                  <a:latin typeface="+mj-lt"/>
                </a:rPr>
                <a:t>2) x width_y x height_z</a:t>
              </a: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11</xdr:col>
      <xdr:colOff>127000</xdr:colOff>
      <xdr:row>1</xdr:row>
      <xdr:rowOff>120650</xdr:rowOff>
    </xdr:from>
    <xdr:to>
      <xdr:col>18</xdr:col>
      <xdr:colOff>333375</xdr:colOff>
      <xdr:row>16</xdr:row>
      <xdr:rowOff>107950</xdr:rowOff>
    </xdr:to>
    <xdr:graphicFrame macro="">
      <xdr:nvGraphicFramePr>
        <xdr:cNvPr id="121" name="Chart 9">
          <a:extLst>
            <a:ext uri="{FF2B5EF4-FFF2-40B4-BE49-F238E27FC236}">
              <a16:creationId xmlns:a16="http://schemas.microsoft.com/office/drawing/2014/main" id="{ABB97045-9040-4E6E-BBC7-919ED8CE7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752475</xdr:colOff>
      <xdr:row>36</xdr:row>
      <xdr:rowOff>9525</xdr:rowOff>
    </xdr:from>
    <xdr:to>
      <xdr:col>4</xdr:col>
      <xdr:colOff>15875</xdr:colOff>
      <xdr:row>50</xdr:row>
      <xdr:rowOff>174625</xdr:rowOff>
    </xdr:to>
    <xdr:grpSp>
      <xdr:nvGrpSpPr>
        <xdr:cNvPr id="113" name="Group 24">
          <a:extLst>
            <a:ext uri="{FF2B5EF4-FFF2-40B4-BE49-F238E27FC236}">
              <a16:creationId xmlns:a16="http://schemas.microsoft.com/office/drawing/2014/main" id="{045DC777-79F8-4FC1-AF1D-AEBD5A465B1D}"/>
            </a:ext>
          </a:extLst>
        </xdr:cNvPr>
        <xdr:cNvGrpSpPr/>
      </xdr:nvGrpSpPr>
      <xdr:grpSpPr>
        <a:xfrm>
          <a:off x="752475" y="6867525"/>
          <a:ext cx="2949575" cy="2832100"/>
          <a:chOff x="752475" y="6638925"/>
          <a:chExt cx="4572000" cy="2743200"/>
        </a:xfrm>
      </xdr:grpSpPr>
      <xdr:graphicFrame macro="">
        <xdr:nvGraphicFramePr>
          <xdr:cNvPr id="114" name="Chart 4">
            <a:extLst>
              <a:ext uri="{FF2B5EF4-FFF2-40B4-BE49-F238E27FC236}">
                <a16:creationId xmlns:a16="http://schemas.microsoft.com/office/drawing/2014/main" id="{1174C7F8-DF7D-4901-A350-FB928CFED073}"/>
              </a:ext>
            </a:extLst>
          </xdr:cNvPr>
          <xdr:cNvGraphicFramePr/>
        </xdr:nvGraphicFramePr>
        <xdr:xfrm>
          <a:off x="752475" y="6638925"/>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15" name="Right Brace 54">
            <a:extLst>
              <a:ext uri="{FF2B5EF4-FFF2-40B4-BE49-F238E27FC236}">
                <a16:creationId xmlns:a16="http://schemas.microsoft.com/office/drawing/2014/main" id="{E725F6CC-DF4D-4E60-A4D7-87040786BAA1}"/>
              </a:ext>
            </a:extLst>
          </xdr:cNvPr>
          <xdr:cNvSpPr/>
        </xdr:nvSpPr>
        <xdr:spPr>
          <a:xfrm>
            <a:off x="4137025" y="7416801"/>
            <a:ext cx="323850" cy="863600"/>
          </a:xfrm>
          <a:prstGeom prst="rightBrace">
            <a:avLst/>
          </a:prstGeom>
          <a:ln w="28575">
            <a:solidFill>
              <a:srgbClr val="339966"/>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sp macro="" textlink="">
        <xdr:nvSpPr>
          <xdr:cNvPr id="116" name="TextBox 9">
            <a:extLst>
              <a:ext uri="{FF2B5EF4-FFF2-40B4-BE49-F238E27FC236}">
                <a16:creationId xmlns:a16="http://schemas.microsoft.com/office/drawing/2014/main" id="{7E54C9B3-9BB8-4D5D-92C8-22D570FA8BCA}"/>
              </a:ext>
            </a:extLst>
          </xdr:cNvPr>
          <xdr:cNvSpPr txBox="1"/>
        </xdr:nvSpPr>
        <xdr:spPr>
          <a:xfrm>
            <a:off x="4476750" y="7670800"/>
            <a:ext cx="5961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nl-BE" sz="1400">
                <a:solidFill>
                  <a:srgbClr val="00B050"/>
                </a:solidFill>
              </a:rPr>
              <a:t>2.67X</a:t>
            </a:r>
          </a:p>
        </xdr:txBody>
      </xdr:sp>
    </xdr:grpSp>
    <xdr:clientData/>
  </xdr:twoCellAnchor>
  <xdr:twoCellAnchor>
    <xdr:from>
      <xdr:col>3</xdr:col>
      <xdr:colOff>1203325</xdr:colOff>
      <xdr:row>10</xdr:row>
      <xdr:rowOff>130175</xdr:rowOff>
    </xdr:from>
    <xdr:to>
      <xdr:col>8</xdr:col>
      <xdr:colOff>536575</xdr:colOff>
      <xdr:row>25</xdr:row>
      <xdr:rowOff>111125</xdr:rowOff>
    </xdr:to>
    <xdr:graphicFrame macro="">
      <xdr:nvGraphicFramePr>
        <xdr:cNvPr id="126" name="Chart 21">
          <a:extLst>
            <a:ext uri="{FF2B5EF4-FFF2-40B4-BE49-F238E27FC236}">
              <a16:creationId xmlns:a16="http://schemas.microsoft.com/office/drawing/2014/main" id="{113102BE-96CB-4A28-B57D-E841EDE17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511175</xdr:colOff>
      <xdr:row>40</xdr:row>
      <xdr:rowOff>28575</xdr:rowOff>
    </xdr:from>
    <xdr:to>
      <xdr:col>17</xdr:col>
      <xdr:colOff>206375</xdr:colOff>
      <xdr:row>55</xdr:row>
      <xdr:rowOff>9525</xdr:rowOff>
    </xdr:to>
    <xdr:graphicFrame macro="">
      <xdr:nvGraphicFramePr>
        <xdr:cNvPr id="124" name="Chart 22">
          <a:extLst>
            <a:ext uri="{FF2B5EF4-FFF2-40B4-BE49-F238E27FC236}">
              <a16:creationId xmlns:a16="http://schemas.microsoft.com/office/drawing/2014/main" id="{48E31CF6-31DA-4378-A445-33667311A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57150</xdr:colOff>
      <xdr:row>1</xdr:row>
      <xdr:rowOff>85725</xdr:rowOff>
    </xdr:from>
    <xdr:ext cx="4018643" cy="489857"/>
    <mc:AlternateContent xmlns:mc="http://schemas.openxmlformats.org/markup-compatibility/2006" xmlns:a14="http://schemas.microsoft.com/office/drawing/2010/main">
      <mc:Choice Requires="a14">
        <xdr:sp macro="" textlink="">
          <xdr:nvSpPr>
            <xdr:cNvPr id="2" name="TextBox 76">
              <a:extLst>
                <a:ext uri="{FF2B5EF4-FFF2-40B4-BE49-F238E27FC236}">
                  <a16:creationId xmlns:a16="http://schemas.microsoft.com/office/drawing/2014/main" id="{94E30FC2-6A8E-4996-8984-815103872B34}"/>
                </a:ext>
              </a:extLst>
            </xdr:cNvPr>
            <xdr:cNvSpPr txBox="1"/>
          </xdr:nvSpPr>
          <xdr:spPr>
            <a:xfrm>
              <a:off x="2333625" y="276225"/>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𝑇</m:t>
                      </m:r>
                    </m:e>
                    <m:sub>
                      <m:r>
                        <m:rPr>
                          <m:sty m:val="p"/>
                        </m:rPr>
                        <a:rPr lang="en-US" sz="1400" b="0" i="0">
                          <a:solidFill>
                            <a:sysClr val="windowText" lastClr="000000"/>
                          </a:solidFill>
                          <a:latin typeface="Cambria Math" panose="02040503050406030204" pitchFamily="18" charset="0"/>
                        </a:rPr>
                        <m:t>mem</m:t>
                      </m:r>
                    </m:sub>
                  </m:sSub>
                  <m:r>
                    <a:rPr lang="en-US" sz="1400" b="0" i="1">
                      <a:solidFill>
                        <a:sysClr val="windowText" lastClr="000000"/>
                      </a:solidFill>
                      <a:latin typeface="Cambria Math" panose="02040503050406030204" pitchFamily="18" charset="0"/>
                    </a:rPr>
                    <m:t>(</m:t>
                  </m:r>
                  <m:r>
                    <m:rPr>
                      <m:sty m:val="p"/>
                    </m:rPr>
                    <a:rPr lang="en-US" sz="1400" b="0" i="0">
                      <a:solidFill>
                        <a:sysClr val="windowText" lastClr="000000"/>
                      </a:solidFill>
                      <a:latin typeface="Cambria Math" panose="02040503050406030204" pitchFamily="18" charset="0"/>
                    </a:rPr>
                    <m:t>sec</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𝑀𝐴𝑋</m:t>
                  </m:r>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𝐺𝑀</m:t>
                          </m:r>
                        </m:sub>
                      </m:sSub>
                    </m:num>
                    <m:den>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𝐵𝑊</m:t>
                          </m:r>
                        </m:e>
                        <m:sub>
                          <m:r>
                            <a:rPr lang="en-US" sz="1400" b="0" i="1">
                              <a:solidFill>
                                <a:sysClr val="windowText" lastClr="000000"/>
                              </a:solidFill>
                              <a:latin typeface="Cambria Math" panose="02040503050406030204" pitchFamily="18" charset="0"/>
                            </a:rPr>
                            <m:t>𝐺𝑀</m:t>
                          </m:r>
                        </m:sub>
                      </m:sSub>
                    </m:den>
                  </m:f>
                  <m:r>
                    <a:rPr lang="en-US" sz="1400" b="0" i="1">
                      <a:solidFill>
                        <a:sysClr val="windowText" lastClr="000000"/>
                      </a:solidFill>
                      <a:latin typeface="Cambria Math" panose="02040503050406030204" pitchFamily="18" charset="0"/>
                    </a:rPr>
                    <m:t>,</m:t>
                  </m:r>
                  <m:f>
                    <m:fPr>
                      <m:ctrlPr>
                        <a:rPr lang="en-US" sz="1400" b="0" i="1">
                          <a:solidFill>
                            <a:schemeClr val="tx1"/>
                          </a:solidFill>
                          <a:effectLst/>
                          <a:latin typeface="Cambria Math" panose="02040503050406030204" pitchFamily="18" charset="0"/>
                          <a:ea typeface="+mn-ea"/>
                          <a:cs typeface="+mn-cs"/>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sub>
                      </m:sSub>
                    </m:num>
                    <m:den>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𝐵𝑊</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sub>
                      </m:sSub>
                    </m:den>
                  </m:f>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𝑆𝑀</m:t>
                          </m:r>
                        </m:sub>
                      </m:sSub>
                    </m:num>
                    <m:den>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𝐵𝑊</m:t>
                          </m:r>
                        </m:e>
                        <m:sub>
                          <m:r>
                            <a:rPr lang="en-US" sz="1400" b="0" i="1">
                              <a:solidFill>
                                <a:schemeClr val="tx1"/>
                              </a:solidFill>
                              <a:effectLst/>
                              <a:latin typeface="Cambria Math" panose="02040503050406030204" pitchFamily="18" charset="0"/>
                              <a:ea typeface="+mn-ea"/>
                              <a:cs typeface="+mn-cs"/>
                            </a:rPr>
                            <m:t>𝑆𝑀</m:t>
                          </m:r>
                        </m:sub>
                      </m:sSub>
                    </m:den>
                  </m:f>
                  <m:r>
                    <a:rPr lang="en-US" sz="1400" b="0" i="1">
                      <a:solidFill>
                        <a:sysClr val="windowText" lastClr="000000"/>
                      </a:solidFill>
                      <a:latin typeface="Cambria Math" panose="02040503050406030204" pitchFamily="18" charset="0"/>
                    </a:rPr>
                    <m:t>)</m:t>
                  </m:r>
                </m:oMath>
              </a14:m>
              <a:r>
                <a:rPr lang="en-GB" sz="1400" i="1"/>
                <a:t>  </a:t>
              </a:r>
            </a:p>
          </xdr:txBody>
        </xdr:sp>
      </mc:Choice>
      <mc:Fallback xmlns="">
        <xdr:sp macro="" textlink="">
          <xdr:nvSpPr>
            <xdr:cNvPr id="2" name="TextBox 76">
              <a:extLst>
                <a:ext uri="{FF2B5EF4-FFF2-40B4-BE49-F238E27FC236}">
                  <a16:creationId xmlns:a16="http://schemas.microsoft.com/office/drawing/2014/main" id="{94E30FC2-6A8E-4996-8984-815103872B34}"/>
                </a:ext>
              </a:extLst>
            </xdr:cNvPr>
            <xdr:cNvSpPr txBox="1"/>
          </xdr:nvSpPr>
          <xdr:spPr>
            <a:xfrm>
              <a:off x="2333625" y="276225"/>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𝑇_mem (sec)=𝑀𝐴𝑋(</a:t>
              </a:r>
              <a:r>
                <a:rPr lang="en-US" sz="1400" b="0" i="0">
                  <a:solidFill>
                    <a:schemeClr val="tx1"/>
                  </a:solidFill>
                  <a:effectLst/>
                  <a:latin typeface="Cambria Math" panose="02040503050406030204" pitchFamily="18" charset="0"/>
                  <a:ea typeface="+mn-ea"/>
                  <a:cs typeface="+mn-cs"/>
                </a:rPr>
                <a:t>𝑉_𝐺𝑀</a:t>
              </a:r>
              <a:r>
                <a:rPr lang="en-US" sz="1400" b="0" i="0">
                  <a:solidFill>
                    <a:sysClr val="windowText" lastClr="000000"/>
                  </a:solidFill>
                  <a:effectLst/>
                  <a:latin typeface="Cambria Math" panose="02040503050406030204" pitchFamily="18" charset="0"/>
                  <a:ea typeface="+mn-ea"/>
                  <a:cs typeface="+mn-cs"/>
                </a:rPr>
                <a:t>/〖</a:t>
              </a:r>
              <a:r>
                <a:rPr lang="en-US" sz="1400" b="0" i="0">
                  <a:solidFill>
                    <a:sysClr val="windowText" lastClr="000000"/>
                  </a:solidFill>
                  <a:latin typeface="Cambria Math" panose="02040503050406030204" pitchFamily="18" charset="0"/>
                </a:rPr>
                <a:t>𝐵𝑊〗_𝐺𝑀 ,</a:t>
              </a:r>
              <a:r>
                <a:rPr lang="en-US" sz="1400" b="0" i="0">
                  <a:solidFill>
                    <a:schemeClr val="tx1"/>
                  </a:solidFill>
                  <a:effectLst/>
                  <a:latin typeface="Cambria Math" panose="02040503050406030204" pitchFamily="18" charset="0"/>
                  <a:ea typeface="+mn-ea"/>
                  <a:cs typeface="+mn-cs"/>
                </a:rPr>
                <a:t>𝑉_𝐿2/〖𝐵𝑊〗_𝐿2 ,𝑉_𝑆𝑀/〖𝐵𝑊〗_𝑆𝑀 </a:t>
              </a:r>
              <a:r>
                <a:rPr lang="en-US" sz="1400" b="0" i="0">
                  <a:solidFill>
                    <a:sysClr val="windowText" lastClr="000000"/>
                  </a:solidFill>
                  <a:latin typeface="Cambria Math" panose="02040503050406030204" pitchFamily="18" charset="0"/>
                </a:rPr>
                <a:t>)</a:t>
              </a:r>
              <a:r>
                <a:rPr lang="en-GB" sz="1400" i="1"/>
                <a:t>  </a:t>
              </a:r>
            </a:p>
          </xdr:txBody>
        </xdr:sp>
      </mc:Fallback>
    </mc:AlternateContent>
    <xdr:clientData/>
  </xdr:oneCellAnchor>
  <xdr:oneCellAnchor>
    <xdr:from>
      <xdr:col>1</xdr:col>
      <xdr:colOff>0</xdr:colOff>
      <xdr:row>24</xdr:row>
      <xdr:rowOff>95250</xdr:rowOff>
    </xdr:from>
    <xdr:ext cx="4686300" cy="489857"/>
    <mc:AlternateContent xmlns:mc="http://schemas.openxmlformats.org/markup-compatibility/2006" xmlns:a14="http://schemas.microsoft.com/office/drawing/2010/main">
      <mc:Choice Requires="a14">
        <xdr:sp macro="" textlink="">
          <xdr:nvSpPr>
            <xdr:cNvPr id="3" name="TextBox 76">
              <a:extLst>
                <a:ext uri="{FF2B5EF4-FFF2-40B4-BE49-F238E27FC236}">
                  <a16:creationId xmlns:a16="http://schemas.microsoft.com/office/drawing/2014/main" id="{B17B24E0-1D2A-4D66-867B-CCF190B1E566}"/>
                </a:ext>
              </a:extLst>
            </xdr:cNvPr>
            <xdr:cNvSpPr txBox="1"/>
          </xdr:nvSpPr>
          <xdr:spPr>
            <a:xfrm>
              <a:off x="2276475" y="7067550"/>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𝑆𝑀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𝑡h𝑟𝑒𝑎𝑑𝑠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𝑇</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3" name="TextBox 76">
              <a:extLst>
                <a:ext uri="{FF2B5EF4-FFF2-40B4-BE49-F238E27FC236}">
                  <a16:creationId xmlns:a16="http://schemas.microsoft.com/office/drawing/2014/main" id="{B17B24E0-1D2A-4D66-867B-CCF190B1E566}"/>
                </a:ext>
              </a:extLst>
            </xdr:cNvPr>
            <xdr:cNvSpPr txBox="1"/>
          </xdr:nvSpPr>
          <xdr:spPr>
            <a:xfrm>
              <a:off x="2276475" y="7067550"/>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𝑉_𝑆𝑀 (GB)=#𝑡ℎ𝑟𝑒𝑎𝑑𝑠 𝑝𝑒𝑟 𝑆𝑀∗(𝑛_(𝑆𝑀,𝑇)^𝑙𝑑+</a:t>
              </a:r>
              <a:r>
                <a:rPr lang="en-US" sz="1400" b="0" i="0">
                  <a:solidFill>
                    <a:schemeClr val="tx1"/>
                  </a:solidFill>
                  <a:effectLst/>
                  <a:latin typeface="Cambria Math" panose="02040503050406030204" pitchFamily="18" charset="0"/>
                  <a:ea typeface="+mn-ea"/>
                  <a:cs typeface="+mn-cs"/>
                </a:rPr>
                <a:t>𝑛_(𝑆𝑀,𝑇)^𝑠𝑡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4</xdr:col>
      <xdr:colOff>695325</xdr:colOff>
      <xdr:row>24</xdr:row>
      <xdr:rowOff>142875</xdr:rowOff>
    </xdr:from>
    <xdr:ext cx="4171950" cy="409576"/>
    <mc:AlternateContent xmlns:mc="http://schemas.openxmlformats.org/markup-compatibility/2006" xmlns:a14="http://schemas.microsoft.com/office/drawing/2010/main">
      <mc:Choice Requires="a14">
        <xdr:sp macro="" textlink="">
          <xdr:nvSpPr>
            <xdr:cNvPr id="4" name="TextBox 76">
              <a:extLst>
                <a:ext uri="{FF2B5EF4-FFF2-40B4-BE49-F238E27FC236}">
                  <a16:creationId xmlns:a16="http://schemas.microsoft.com/office/drawing/2014/main" id="{05E5D441-BCD2-4A14-AD20-A0040251F0C8}"/>
                </a:ext>
              </a:extLst>
            </xdr:cNvPr>
            <xdr:cNvSpPr txBox="1"/>
          </xdr:nvSpPr>
          <xdr:spPr>
            <a:xfrm>
              <a:off x="7086600" y="7115175"/>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#aligned</a:t>
              </a:r>
              <a:r>
                <a:rPr lang="en-GB" sz="1400" i="1" baseline="0"/>
                <a:t> loads (T) + 2 x #miss-aligned loads(T) </a:t>
              </a:r>
              <a:endParaRPr lang="en-GB" sz="1400" i="1"/>
            </a:p>
          </xdr:txBody>
        </xdr:sp>
      </mc:Choice>
      <mc:Fallback xmlns="">
        <xdr:sp macro="" textlink="">
          <xdr:nvSpPr>
            <xdr:cNvPr id="4" name="TextBox 76">
              <a:extLst>
                <a:ext uri="{FF2B5EF4-FFF2-40B4-BE49-F238E27FC236}">
                  <a16:creationId xmlns:a16="http://schemas.microsoft.com/office/drawing/2014/main" id="{05E5D441-BCD2-4A14-AD20-A0040251F0C8}"/>
                </a:ext>
              </a:extLst>
            </xdr:cNvPr>
            <xdr:cNvSpPr txBox="1"/>
          </xdr:nvSpPr>
          <xdr:spPr>
            <a:xfrm>
              <a:off x="7086600" y="7115175"/>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𝑛_(𝑆𝑀,𝑇)^𝑙𝑑</a:t>
              </a:r>
              <a:r>
                <a:rPr lang="en-GB" sz="1400" i="1"/>
                <a:t> = #aligned</a:t>
              </a:r>
              <a:r>
                <a:rPr lang="en-GB" sz="1400" i="1" baseline="0"/>
                <a:t> loads (T) + 2 x #miss-aligned loads(T) </a:t>
              </a:r>
              <a:endParaRPr lang="en-GB" sz="1400" i="1"/>
            </a:p>
          </xdr:txBody>
        </xdr:sp>
      </mc:Fallback>
    </mc:AlternateContent>
    <xdr:clientData/>
  </xdr:oneCellAnchor>
  <xdr:oneCellAnchor>
    <xdr:from>
      <xdr:col>1</xdr:col>
      <xdr:colOff>0</xdr:colOff>
      <xdr:row>33</xdr:row>
      <xdr:rowOff>95251</xdr:rowOff>
    </xdr:from>
    <xdr:ext cx="4362450" cy="381000"/>
    <mc:AlternateContent xmlns:mc="http://schemas.openxmlformats.org/markup-compatibility/2006" xmlns:a14="http://schemas.microsoft.com/office/drawing/2010/main">
      <mc:Choice Requires="a14">
        <xdr:sp macro="" textlink="">
          <xdr:nvSpPr>
            <xdr:cNvPr id="5" name="TextBox 76">
              <a:extLst>
                <a:ext uri="{FF2B5EF4-FFF2-40B4-BE49-F238E27FC236}">
                  <a16:creationId xmlns:a16="http://schemas.microsoft.com/office/drawing/2014/main" id="{DB1BC8AC-027C-4231-ADDE-1083475DBEBF}"/>
                </a:ext>
              </a:extLst>
            </xdr:cNvPr>
            <xdr:cNvSpPr txBox="1"/>
          </xdr:nvSpPr>
          <xdr:spPr>
            <a:xfrm>
              <a:off x="2276475" y="10067926"/>
              <a:ext cx="4362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r>
                            <a:rPr lang="en-US" sz="1400" b="0" i="1">
                              <a:solidFill>
                                <a:sysClr val="windowText" lastClr="000000"/>
                              </a:solidFill>
                              <a:latin typeface="Cambria Math" panose="02040503050406030204" pitchFamily="18" charset="0"/>
                            </a:rPr>
                            <m:t>𝐵</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5" name="TextBox 76">
              <a:extLst>
                <a:ext uri="{FF2B5EF4-FFF2-40B4-BE49-F238E27FC236}">
                  <a16:creationId xmlns:a16="http://schemas.microsoft.com/office/drawing/2014/main" id="{DB1BC8AC-027C-4231-ADDE-1083475DBEBF}"/>
                </a:ext>
              </a:extLst>
            </xdr:cNvPr>
            <xdr:cNvSpPr txBox="1"/>
          </xdr:nvSpPr>
          <xdr:spPr>
            <a:xfrm>
              <a:off x="2276475" y="10067926"/>
              <a:ext cx="4362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𝑉_𝐿2 (GB)=#𝑡ℎ𝑟𝑒𝑎𝑑 𝑏𝑙𝑜𝑐𝑘𝑠∗(𝑛_(𝐿2,𝐵)^𝑙𝑑+</a:t>
              </a:r>
              <a:r>
                <a:rPr lang="en-US" sz="1400" b="0" i="0">
                  <a:solidFill>
                    <a:schemeClr val="tx1"/>
                  </a:solidFill>
                  <a:effectLst/>
                  <a:latin typeface="Cambria Math" panose="02040503050406030204" pitchFamily="18" charset="0"/>
                  <a:ea typeface="+mn-ea"/>
                  <a:cs typeface="+mn-cs"/>
                </a:rPr>
                <a:t>𝑛_(𝐿2,𝐵)^𝑠𝑡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4</xdr:col>
      <xdr:colOff>57151</xdr:colOff>
      <xdr:row>33</xdr:row>
      <xdr:rowOff>104775</xdr:rowOff>
    </xdr:from>
    <xdr:ext cx="2762250" cy="409576"/>
    <mc:AlternateContent xmlns:mc="http://schemas.openxmlformats.org/markup-compatibility/2006" xmlns:a14="http://schemas.microsoft.com/office/drawing/2010/main">
      <mc:Choice Requires="a14">
        <xdr:sp macro="" textlink="">
          <xdr:nvSpPr>
            <xdr:cNvPr id="6" name="TextBox 76">
              <a:extLst>
                <a:ext uri="{FF2B5EF4-FFF2-40B4-BE49-F238E27FC236}">
                  <a16:creationId xmlns:a16="http://schemas.microsoft.com/office/drawing/2014/main" id="{FEC7C097-879C-4BAB-8F13-51EBF9F22942}"/>
                </a:ext>
              </a:extLst>
            </xdr:cNvPr>
            <xdr:cNvSpPr txBox="1"/>
          </xdr:nvSpPr>
          <xdr:spPr>
            <a:xfrm>
              <a:off x="6448426" y="10077450"/>
              <a:ext cx="27622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(1+</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oMath>
              </a14:m>
              <a:endParaRPr lang="en-GB" sz="1400" i="1"/>
            </a:p>
          </xdr:txBody>
        </xdr:sp>
      </mc:Choice>
      <mc:Fallback xmlns="">
        <xdr:sp macro="" textlink="">
          <xdr:nvSpPr>
            <xdr:cNvPr id="6" name="TextBox 76">
              <a:extLst>
                <a:ext uri="{FF2B5EF4-FFF2-40B4-BE49-F238E27FC236}">
                  <a16:creationId xmlns:a16="http://schemas.microsoft.com/office/drawing/2014/main" id="{FEC7C097-879C-4BAB-8F13-51EBF9F22942}"/>
                </a:ext>
              </a:extLst>
            </xdr:cNvPr>
            <xdr:cNvSpPr txBox="1"/>
          </xdr:nvSpPr>
          <xdr:spPr>
            <a:xfrm>
              <a:off x="6448426" y="10077450"/>
              <a:ext cx="27622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𝑛_(𝐿2,𝐵)^𝑙𝑑</a:t>
              </a:r>
              <a:r>
                <a:rPr lang="en-GB" sz="1400" i="1"/>
                <a:t> = </a:t>
              </a:r>
              <a:r>
                <a:rPr lang="en-US" sz="1400" b="0" i="0">
                  <a:solidFill>
                    <a:schemeClr val="tx1"/>
                  </a:solidFill>
                  <a:effectLst/>
                  <a:latin typeface="Cambria Math" panose="02040503050406030204" pitchFamily="18" charset="0"/>
                  <a:ea typeface="+mn-ea"/>
                  <a:cs typeface="+mn-cs"/>
                </a:rPr>
                <a:t>𝑛_(𝐿2,𝐵)^(𝑙𝑑,𝑛𝑒𝑡 ) (1+𝑆𝑀 𝑚𝑖𝑠𝑠 𝑟𝑎𝑡𝑖𝑜)</a:t>
              </a:r>
              <a:endParaRPr lang="en-GB" sz="1400" i="1"/>
            </a:p>
          </xdr:txBody>
        </xdr:sp>
      </mc:Fallback>
    </mc:AlternateContent>
    <xdr:clientData/>
  </xdr:oneCellAnchor>
  <xdr:oneCellAnchor>
    <xdr:from>
      <xdr:col>6</xdr:col>
      <xdr:colOff>161925</xdr:colOff>
      <xdr:row>33</xdr:row>
      <xdr:rowOff>66675</xdr:rowOff>
    </xdr:from>
    <xdr:ext cx="4810125" cy="514350"/>
    <mc:AlternateContent xmlns:mc="http://schemas.openxmlformats.org/markup-compatibility/2006" xmlns:a14="http://schemas.microsoft.com/office/drawing/2010/main">
      <mc:Choice Requires="a14">
        <xdr:sp macro="" textlink="">
          <xdr:nvSpPr>
            <xdr:cNvPr id="7" name="TextBox 76">
              <a:extLst>
                <a:ext uri="{FF2B5EF4-FFF2-40B4-BE49-F238E27FC236}">
                  <a16:creationId xmlns:a16="http://schemas.microsoft.com/office/drawing/2014/main" id="{FBC0F43E-ADC0-45F1-B26B-6F67F8ED1B68}"/>
                </a:ext>
              </a:extLst>
            </xdr:cNvPr>
            <xdr:cNvSpPr txBox="1"/>
          </xdr:nvSpPr>
          <xdr:spPr>
            <a:xfrm>
              <a:off x="9248775" y="10039350"/>
              <a:ext cx="481012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SM</a:t>
              </a:r>
              <a14:m>
                <m:oMath xmlns:m="http://schemas.openxmlformats.org/officeDocument/2006/math">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r>
                        <a:rPr lang="en-US" sz="1400" b="0" i="1">
                          <a:solidFill>
                            <a:schemeClr val="tx1"/>
                          </a:solidFill>
                          <a:effectLst/>
                          <a:latin typeface="Cambria Math" panose="02040503050406030204" pitchFamily="18" charset="0"/>
                          <a:ea typeface="+mn-ea"/>
                          <a:cs typeface="+mn-cs"/>
                        </a:rPr>
                        <m:t>𝑜𝑐𝑐</m:t>
                      </m:r>
                      <m:r>
                        <a:rPr lang="en-US" sz="1400" b="0" i="1">
                          <a:solidFill>
                            <a:schemeClr val="tx1"/>
                          </a:solidFill>
                          <a:effectLst/>
                          <a:latin typeface="Cambria Math" panose="02040503050406030204" pitchFamily="18" charset="0"/>
                          <a:ea typeface="+mn-ea"/>
                          <a:cs typeface="+mn-cs"/>
                        </a:rPr>
                        <m:t> ∗#</m:t>
                      </m:r>
                      <m:func>
                        <m:funcPr>
                          <m:ctrlPr>
                            <a:rPr lang="en-US" sz="1400" b="0" i="1">
                              <a:solidFill>
                                <a:schemeClr val="tx1"/>
                              </a:solidFill>
                              <a:effectLst/>
                              <a:latin typeface="Cambria Math" panose="02040503050406030204" pitchFamily="18" charset="0"/>
                              <a:ea typeface="+mn-ea"/>
                              <a:cs typeface="+mn-cs"/>
                            </a:rPr>
                          </m:ctrlPr>
                        </m:funcPr>
                        <m:fName>
                          <m:r>
                            <a:rPr lang="en-US" sz="1400" b="0" i="1">
                              <a:solidFill>
                                <a:schemeClr val="tx1"/>
                              </a:solidFill>
                              <a:effectLst/>
                              <a:latin typeface="Cambria Math" panose="02040503050406030204" pitchFamily="18" charset="0"/>
                              <a:ea typeface="+mn-ea"/>
                              <a:cs typeface="+mn-cs"/>
                            </a:rPr>
                            <m:t>𝑚𝑎𝑥</m:t>
                          </m:r>
                        </m:fName>
                        <m:e>
                          <m:r>
                            <a:rPr lang="en-US" sz="1400" b="0" i="1">
                              <a:solidFill>
                                <a:schemeClr val="tx1"/>
                              </a:solidFill>
                              <a:effectLst/>
                              <a:latin typeface="Cambria Math" panose="02040503050406030204" pitchFamily="18" charset="0"/>
                              <a:ea typeface="+mn-ea"/>
                              <a:cs typeface="+mn-cs"/>
                            </a:rPr>
                            <m:t>𝑡h𝑟𝑒𝑎𝑑𝑠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𝑝𝑒𝑟</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 ∗ </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 </m:t>
                          </m:r>
                        </m:e>
                      </m:func>
                    </m:num>
                    <m:den>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𝑡h𝑟𝑒𝑎𝑑𝑠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𝑝𝑒𝑟</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𝑏𝑙𝑜𝑐𝑘</m:t>
                      </m:r>
                      <m:r>
                        <a:rPr lang="en-US" sz="1400" b="0" i="1">
                          <a:solidFill>
                            <a:schemeClr val="tx1"/>
                          </a:solidFill>
                          <a:effectLst/>
                          <a:latin typeface="Cambria Math" panose="02040503050406030204" pitchFamily="18" charset="0"/>
                          <a:ea typeface="+mn-ea"/>
                          <a:cs typeface="+mn-cs"/>
                        </a:rPr>
                        <m:t> ∗ </m:t>
                      </m:r>
                      <m:f>
                        <m:fPr>
                          <m:ctrlPr>
                            <a:rPr lang="en-US" sz="1400" b="0" i="1">
                              <a:solidFill>
                                <a:schemeClr val="tx1"/>
                              </a:solidFill>
                              <a:effectLst/>
                              <a:latin typeface="Cambria Math" panose="02040503050406030204" pitchFamily="18" charset="0"/>
                              <a:ea typeface="+mn-ea"/>
                              <a:cs typeface="+mn-cs"/>
                            </a:rPr>
                          </m:ctrlPr>
                        </m:fPr>
                        <m:num>
                          <m:r>
                            <a:rPr lang="en-US" sz="1400" b="0" i="1">
                              <a:solidFill>
                                <a:schemeClr val="tx1"/>
                              </a:solidFill>
                              <a:effectLst/>
                              <a:latin typeface="Cambria Math" panose="02040503050406030204" pitchFamily="18" charset="0"/>
                              <a:ea typeface="+mn-ea"/>
                              <a:cs typeface="+mn-cs"/>
                            </a:rPr>
                            <m:t>𝑜𝑛</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𝑠𝑡𝑜𝑟𝑎𝑔𝑒</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𝑠𝑖𝑧𝑒</m:t>
                          </m:r>
                        </m:num>
                        <m:den>
                          <m:r>
                            <a:rPr lang="en-US" sz="1400" b="0" i="1">
                              <a:solidFill>
                                <a:schemeClr val="tx1"/>
                              </a:solidFill>
                              <a:effectLst/>
                              <a:latin typeface="Cambria Math" panose="02040503050406030204" pitchFamily="18" charset="0"/>
                              <a:ea typeface="+mn-ea"/>
                              <a:cs typeface="+mn-cs"/>
                            </a:rPr>
                            <m:t>𝑝𝑟𝑒𝑐𝑖𝑠𝑖𝑜𝑛</m:t>
                          </m:r>
                        </m:den>
                      </m:f>
                      <m:r>
                        <a:rPr lang="en-US" sz="1400" b="0" i="1">
                          <a:solidFill>
                            <a:schemeClr val="tx1"/>
                          </a:solidFill>
                          <a:effectLst/>
                          <a:latin typeface="Cambria Math" panose="02040503050406030204" pitchFamily="18" charset="0"/>
                          <a:ea typeface="+mn-ea"/>
                          <a:cs typeface="+mn-cs"/>
                        </a:rPr>
                        <m:t> </m:t>
                      </m:r>
                    </m:den>
                  </m:f>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𝑑𝑒𝑙𝑡𝑎</m:t>
                  </m:r>
                </m:oMath>
              </a14:m>
              <a:endParaRPr lang="en-GB" sz="1400" i="1"/>
            </a:p>
          </xdr:txBody>
        </xdr:sp>
      </mc:Choice>
      <mc:Fallback xmlns="">
        <xdr:sp macro="" textlink="">
          <xdr:nvSpPr>
            <xdr:cNvPr id="7" name="TextBox 76">
              <a:extLst>
                <a:ext uri="{FF2B5EF4-FFF2-40B4-BE49-F238E27FC236}">
                  <a16:creationId xmlns:a16="http://schemas.microsoft.com/office/drawing/2014/main" id="{FBC0F43E-ADC0-45F1-B26B-6F67F8ED1B68}"/>
                </a:ext>
              </a:extLst>
            </xdr:cNvPr>
            <xdr:cNvSpPr txBox="1"/>
          </xdr:nvSpPr>
          <xdr:spPr>
            <a:xfrm>
              <a:off x="9248775" y="10039350"/>
              <a:ext cx="481012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SM</a:t>
              </a:r>
              <a:r>
                <a:rPr lang="en-US" sz="1400" b="0" i="0">
                  <a:solidFill>
                    <a:schemeClr val="tx1"/>
                  </a:solidFill>
                  <a:effectLst/>
                  <a:latin typeface="Cambria Math" panose="02040503050406030204" pitchFamily="18" charset="0"/>
                  <a:ea typeface="+mn-ea"/>
                  <a:cs typeface="+mn-cs"/>
                </a:rPr>
                <a:t> 𝑚𝑖𝑠𝑠 𝑟𝑎𝑡𝑖𝑜=(𝑜𝑐𝑐 ∗#𝑚𝑎𝑥⁡〖𝑡ℎ𝑟𝑒𝑎𝑑𝑠 𝑝𝑒𝑟 𝑆𝑀 ∗ 𝑛_(𝐿2,𝐵)^(𝑙𝑑,𝑛𝑒𝑡 )  〗)/(# 𝑡ℎ𝑟𝑒𝑎𝑑𝑠 𝑝𝑒𝑟 𝑏𝑙𝑜𝑐𝑘 ∗ (𝑜𝑛−𝑆𝑀−𝑠𝑡𝑜𝑟𝑎𝑔𝑒−𝑠𝑖𝑧𝑒)/𝑝𝑟𝑒𝑐𝑖𝑠𝑖𝑜𝑛  )  ∗𝑑𝑒𝑙𝑡𝑎</a:t>
              </a:r>
              <a:endParaRPr lang="en-GB" sz="1400" i="1"/>
            </a:p>
          </xdr:txBody>
        </xdr:sp>
      </mc:Fallback>
    </mc:AlternateContent>
    <xdr:clientData/>
  </xdr:oneCellAnchor>
  <xdr:oneCellAnchor>
    <xdr:from>
      <xdr:col>1</xdr:col>
      <xdr:colOff>9525</xdr:colOff>
      <xdr:row>42</xdr:row>
      <xdr:rowOff>85725</xdr:rowOff>
    </xdr:from>
    <xdr:ext cx="3981450" cy="381000"/>
    <mc:AlternateContent xmlns:mc="http://schemas.openxmlformats.org/markup-compatibility/2006" xmlns:a14="http://schemas.microsoft.com/office/drawing/2010/main">
      <mc:Choice Requires="a14">
        <xdr:sp macro="" textlink="">
          <xdr:nvSpPr>
            <xdr:cNvPr id="8" name="TextBox 76">
              <a:extLst>
                <a:ext uri="{FF2B5EF4-FFF2-40B4-BE49-F238E27FC236}">
                  <a16:creationId xmlns:a16="http://schemas.microsoft.com/office/drawing/2014/main" id="{F3A22B07-47D2-413F-979A-0A7F58CED1C2}"/>
                </a:ext>
              </a:extLst>
            </xdr:cNvPr>
            <xdr:cNvSpPr txBox="1"/>
          </xdr:nvSpPr>
          <xdr:spPr>
            <a:xfrm>
              <a:off x="2286000" y="13058775"/>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𝐺𝑀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𝑔𝑟𝑜𝑢𝑝𝑠</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𝐺𝑀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𝐺</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8" name="TextBox 76">
              <a:extLst>
                <a:ext uri="{FF2B5EF4-FFF2-40B4-BE49-F238E27FC236}">
                  <a16:creationId xmlns:a16="http://schemas.microsoft.com/office/drawing/2014/main" id="{F3A22B07-47D2-413F-979A-0A7F58CED1C2}"/>
                </a:ext>
              </a:extLst>
            </xdr:cNvPr>
            <xdr:cNvSpPr txBox="1"/>
          </xdr:nvSpPr>
          <xdr:spPr>
            <a:xfrm>
              <a:off x="2286000" y="13058775"/>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𝑉_𝐺𝑀 (GB)=#𝑔𝑟𝑜𝑢𝑝𝑠∗(𝑛_(𝐺𝑀,𝐺)^𝑙𝑑+</a:t>
              </a:r>
              <a:r>
                <a:rPr lang="en-US" sz="1400" b="0" i="0">
                  <a:solidFill>
                    <a:schemeClr val="tx1"/>
                  </a:solidFill>
                  <a:effectLst/>
                  <a:latin typeface="Cambria Math" panose="02040503050406030204" pitchFamily="18" charset="0"/>
                  <a:ea typeface="+mn-ea"/>
                  <a:cs typeface="+mn-cs"/>
                </a:rPr>
                <a:t>𝑛_(𝐺𝑀,𝐺)^𝑠𝑡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3</xdr:col>
      <xdr:colOff>1038225</xdr:colOff>
      <xdr:row>42</xdr:row>
      <xdr:rowOff>66675</xdr:rowOff>
    </xdr:from>
    <xdr:ext cx="2724150" cy="409576"/>
    <mc:AlternateContent xmlns:mc="http://schemas.openxmlformats.org/markup-compatibility/2006" xmlns:a14="http://schemas.microsoft.com/office/drawing/2010/main">
      <mc:Choice Requires="a14">
        <xdr:sp macro="" textlink="">
          <xdr:nvSpPr>
            <xdr:cNvPr id="9" name="TextBox 76">
              <a:extLst>
                <a:ext uri="{FF2B5EF4-FFF2-40B4-BE49-F238E27FC236}">
                  <a16:creationId xmlns:a16="http://schemas.microsoft.com/office/drawing/2014/main" id="{08C34B30-C130-41E5-B3ED-2326110DF6A8}"/>
                </a:ext>
              </a:extLst>
            </xdr:cNvPr>
            <xdr:cNvSpPr txBox="1"/>
          </xdr:nvSpPr>
          <xdr:spPr>
            <a:xfrm>
              <a:off x="6105525" y="13039725"/>
              <a:ext cx="27241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(1+</m:t>
                  </m:r>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oMath>
              </a14:m>
              <a:endParaRPr lang="en-GB" sz="1400" i="1"/>
            </a:p>
          </xdr:txBody>
        </xdr:sp>
      </mc:Choice>
      <mc:Fallback xmlns="">
        <xdr:sp macro="" textlink="">
          <xdr:nvSpPr>
            <xdr:cNvPr id="9" name="TextBox 76">
              <a:extLst>
                <a:ext uri="{FF2B5EF4-FFF2-40B4-BE49-F238E27FC236}">
                  <a16:creationId xmlns:a16="http://schemas.microsoft.com/office/drawing/2014/main" id="{08C34B30-C130-41E5-B3ED-2326110DF6A8}"/>
                </a:ext>
              </a:extLst>
            </xdr:cNvPr>
            <xdr:cNvSpPr txBox="1"/>
          </xdr:nvSpPr>
          <xdr:spPr>
            <a:xfrm>
              <a:off x="6105525" y="13039725"/>
              <a:ext cx="27241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𝑛_(𝐺𝑀,𝐺)^𝑙𝑑</a:t>
              </a:r>
              <a:r>
                <a:rPr lang="en-GB" sz="1400" i="1"/>
                <a:t> = </a:t>
              </a:r>
              <a:r>
                <a:rPr lang="en-US" sz="1400" b="0" i="0">
                  <a:solidFill>
                    <a:schemeClr val="tx1"/>
                  </a:solidFill>
                  <a:effectLst/>
                  <a:latin typeface="Cambria Math" panose="02040503050406030204" pitchFamily="18" charset="0"/>
                  <a:ea typeface="+mn-ea"/>
                  <a:cs typeface="+mn-cs"/>
                </a:rPr>
                <a:t>𝑛_(𝐺𝑀,𝐺)^(𝑙𝑑,𝑛𝑒𝑡 ) (1+𝐿2 𝑚𝑖𝑠𝑠 𝑟𝑎𝑡𝑖𝑜)</a:t>
              </a:r>
              <a:endParaRPr lang="en-GB" sz="1400" i="1"/>
            </a:p>
          </xdr:txBody>
        </xdr:sp>
      </mc:Fallback>
    </mc:AlternateContent>
    <xdr:clientData/>
  </xdr:oneCellAnchor>
  <xdr:oneCellAnchor>
    <xdr:from>
      <xdr:col>5</xdr:col>
      <xdr:colOff>771525</xdr:colOff>
      <xdr:row>42</xdr:row>
      <xdr:rowOff>28575</xdr:rowOff>
    </xdr:from>
    <xdr:ext cx="3333750" cy="514350"/>
    <mc:AlternateContent xmlns:mc="http://schemas.openxmlformats.org/markup-compatibility/2006" xmlns:a14="http://schemas.microsoft.com/office/drawing/2010/main">
      <mc:Choice Requires="a14">
        <xdr:sp macro="" textlink="">
          <xdr:nvSpPr>
            <xdr:cNvPr id="10" name="TextBox 76">
              <a:extLst>
                <a:ext uri="{FF2B5EF4-FFF2-40B4-BE49-F238E27FC236}">
                  <a16:creationId xmlns:a16="http://schemas.microsoft.com/office/drawing/2014/main" id="{59E014DD-3252-4E59-8F59-0CF57A61ACD7}"/>
                </a:ext>
              </a:extLst>
            </xdr:cNvPr>
            <xdr:cNvSpPr txBox="1"/>
          </xdr:nvSpPr>
          <xdr:spPr>
            <a:xfrm>
              <a:off x="8534400" y="13001625"/>
              <a:ext cx="3333750"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 ∗ </m:t>
                      </m:r>
                      <m:r>
                        <a:rPr lang="en-US" sz="1400" b="0" i="1">
                          <a:solidFill>
                            <a:schemeClr val="tx1"/>
                          </a:solidFill>
                          <a:effectLst/>
                          <a:latin typeface="Cambria Math" panose="02040503050406030204" pitchFamily="18" charset="0"/>
                          <a:ea typeface="+mn-ea"/>
                          <a:cs typeface="+mn-cs"/>
                        </a:rPr>
                        <m:t>𝑝𝑟𝑒𝑐𝑖𝑠𝑖𝑜𝑛</m:t>
                      </m:r>
                    </m:num>
                    <m:den>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𝑐𝑎𝑐h𝑒</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𝑠𝑖𝑧𝑒</m:t>
                      </m:r>
                    </m:den>
                  </m:f>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𝑒𝑝𝑠𝑖𝑙𝑜𝑛</m:t>
                  </m:r>
                </m:oMath>
              </a14:m>
              <a:endParaRPr lang="en-GB" sz="1400" i="1"/>
            </a:p>
          </xdr:txBody>
        </xdr:sp>
      </mc:Choice>
      <mc:Fallback xmlns="">
        <xdr:sp macro="" textlink="">
          <xdr:nvSpPr>
            <xdr:cNvPr id="10" name="TextBox 76">
              <a:extLst>
                <a:ext uri="{FF2B5EF4-FFF2-40B4-BE49-F238E27FC236}">
                  <a16:creationId xmlns:a16="http://schemas.microsoft.com/office/drawing/2014/main" id="{59E014DD-3252-4E59-8F59-0CF57A61ACD7}"/>
                </a:ext>
              </a:extLst>
            </xdr:cNvPr>
            <xdr:cNvSpPr txBox="1"/>
          </xdr:nvSpPr>
          <xdr:spPr>
            <a:xfrm>
              <a:off x="8534400" y="13001625"/>
              <a:ext cx="3333750"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𝐿2 𝑚𝑖𝑠𝑠 𝑟𝑎𝑡𝑖𝑜=(𝑛_(𝐺𝑀,𝐺)^(𝑙𝑑,𝑛𝑒𝑡 )  ∗ 𝑝𝑟𝑒𝑐𝑖𝑠𝑖𝑜𝑛)/(𝐿2 𝑐𝑎𝑐ℎ𝑒 𝑠𝑖𝑧𝑒)  ∗𝑒𝑝𝑠𝑖𝑙𝑜𝑛</a:t>
              </a:r>
              <a:endParaRPr lang="en-GB" sz="1400" i="1"/>
            </a:p>
          </xdr:txBody>
        </xdr:sp>
      </mc:Fallback>
    </mc:AlternateContent>
    <xdr:clientData/>
  </xdr:oneCellAnchor>
  <xdr:oneCellAnchor>
    <xdr:from>
      <xdr:col>7</xdr:col>
      <xdr:colOff>1285876</xdr:colOff>
      <xdr:row>42</xdr:row>
      <xdr:rowOff>57150</xdr:rowOff>
    </xdr:from>
    <xdr:ext cx="2724150" cy="489857"/>
    <mc:AlternateContent xmlns:mc="http://schemas.openxmlformats.org/markup-compatibility/2006" xmlns:a14="http://schemas.microsoft.com/office/drawing/2010/main">
      <mc:Choice Requires="a14">
        <xdr:sp macro="" textlink="">
          <xdr:nvSpPr>
            <xdr:cNvPr id="11" name="TextBox 76">
              <a:extLst>
                <a:ext uri="{FF2B5EF4-FFF2-40B4-BE49-F238E27FC236}">
                  <a16:creationId xmlns:a16="http://schemas.microsoft.com/office/drawing/2014/main" id="{30BE7943-1475-4FA2-8DD4-911030A6C5F1}"/>
                </a:ext>
              </a:extLst>
            </xdr:cNvPr>
            <xdr:cNvSpPr txBox="1"/>
          </xdr:nvSpPr>
          <xdr:spPr>
            <a:xfrm>
              <a:off x="11525251" y="13030200"/>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num>
                    <m:den>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𝑔𝑟𝑜𝑢𝑝</m:t>
                      </m:r>
                    </m:den>
                  </m:f>
                </m:oMath>
              </a14:m>
              <a:r>
                <a:rPr lang="en-GB" sz="1400" i="1">
                  <a:latin typeface="Gill Sans MT" panose="020B0502020104020203" pitchFamily="34" charset="0"/>
                </a:rPr>
                <a:t> </a:t>
              </a:r>
            </a:p>
          </xdr:txBody>
        </xdr:sp>
      </mc:Choice>
      <mc:Fallback xmlns="">
        <xdr:sp macro="" textlink="">
          <xdr:nvSpPr>
            <xdr:cNvPr id="11" name="TextBox 76">
              <a:extLst>
                <a:ext uri="{FF2B5EF4-FFF2-40B4-BE49-F238E27FC236}">
                  <a16:creationId xmlns:a16="http://schemas.microsoft.com/office/drawing/2014/main" id="{30BE7943-1475-4FA2-8DD4-911030A6C5F1}"/>
                </a:ext>
              </a:extLst>
            </xdr:cNvPr>
            <xdr:cNvSpPr txBox="1"/>
          </xdr:nvSpPr>
          <xdr:spPr>
            <a:xfrm>
              <a:off x="11525251" y="13030200"/>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r>
                <a:rPr lang="en-US" sz="1400" b="0" i="0">
                  <a:solidFill>
                    <a:sysClr val="windowText" lastClr="000000"/>
                  </a:solidFill>
                  <a:latin typeface="Cambria Math" panose="02040503050406030204" pitchFamily="18" charset="0"/>
                </a:rPr>
                <a:t>(# 𝑡ℎ𝑟𝑒𝑎𝑑 𝑏𝑙𝑜𝑐𝑘𝑠)/(# 𝑡ℎ𝑟𝑒𝑎𝑑 𝑏𝑙𝑜𝑐𝑘𝑠 𝑝𝑒𝑟 𝑔𝑟𝑜𝑢𝑝)</a:t>
              </a:r>
              <a:r>
                <a:rPr lang="en-GB" sz="1400" i="1">
                  <a:latin typeface="Gill Sans MT" panose="020B0502020104020203" pitchFamily="34" charset="0"/>
                </a:rPr>
                <a:t> </a:t>
              </a:r>
            </a:p>
          </xdr:txBody>
        </xdr:sp>
      </mc:Fallback>
    </mc:AlternateContent>
    <xdr:clientData/>
  </xdr:oneCellAnchor>
  <xdr:oneCellAnchor>
    <xdr:from>
      <xdr:col>9</xdr:col>
      <xdr:colOff>676275</xdr:colOff>
      <xdr:row>42</xdr:row>
      <xdr:rowOff>57150</xdr:rowOff>
    </xdr:from>
    <xdr:ext cx="4733924" cy="489857"/>
    <mc:AlternateContent xmlns:mc="http://schemas.openxmlformats.org/markup-compatibility/2006" xmlns:a14="http://schemas.microsoft.com/office/drawing/2010/main">
      <mc:Choice Requires="a14">
        <xdr:sp macro="" textlink="">
          <xdr:nvSpPr>
            <xdr:cNvPr id="12" name="TextBox 76">
              <a:extLst>
                <a:ext uri="{FF2B5EF4-FFF2-40B4-BE49-F238E27FC236}">
                  <a16:creationId xmlns:a16="http://schemas.microsoft.com/office/drawing/2014/main" id="{60880C35-6FA0-4E43-A323-941D15C8AF8A}"/>
                </a:ext>
              </a:extLst>
            </xdr:cNvPr>
            <xdr:cNvSpPr txBox="1"/>
          </xdr:nvSpPr>
          <xdr:spPr>
            <a:xfrm>
              <a:off x="13677900" y="13030200"/>
              <a:ext cx="4733924"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14:m>
                <m:oMath xmlns:m="http://schemas.openxmlformats.org/officeDocument/2006/math">
                  <m:sSubSup>
                    <m:sSubSupPr>
                      <m:ctrlPr>
                        <a:rPr lang="en-US" sz="1100" b="0" i="1">
                          <a:solidFill>
                            <a:schemeClr val="tx1"/>
                          </a:solidFill>
                          <a:effectLst/>
                          <a:latin typeface="Cambria Math" panose="02040503050406030204" pitchFamily="18" charset="0"/>
                          <a:ea typeface="+mn-ea"/>
                          <a:cs typeface="+mn-cs"/>
                        </a:rPr>
                      </m:ctrlPr>
                    </m:sSubSupPr>
                    <m:e>
                      <m:r>
                        <a:rPr lang="en-US" sz="1100" b="0" i="1">
                          <a:solidFill>
                            <a:schemeClr val="tx1"/>
                          </a:solidFill>
                          <a:effectLst/>
                          <a:latin typeface="Cambria Math" panose="02040503050406030204" pitchFamily="18" charset="0"/>
                          <a:ea typeface="+mn-ea"/>
                          <a:cs typeface="+mn-cs"/>
                        </a:rPr>
                        <m:t>𝑛</m:t>
                      </m:r>
                    </m:e>
                    <m:sub>
                      <m:r>
                        <a:rPr lang="en-US" sz="1100" b="0" i="1">
                          <a:solidFill>
                            <a:schemeClr val="tx1"/>
                          </a:solidFill>
                          <a:effectLst/>
                          <a:latin typeface="Cambria Math" panose="02040503050406030204" pitchFamily="18" charset="0"/>
                          <a:ea typeface="+mn-ea"/>
                          <a:cs typeface="+mn-cs"/>
                        </a:rPr>
                        <m:t>𝐺𝑀</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𝐺</m:t>
                      </m:r>
                    </m:sub>
                    <m:sup>
                      <m:r>
                        <a:rPr lang="en-US" sz="1100" b="0" i="1">
                          <a:solidFill>
                            <a:schemeClr val="tx1"/>
                          </a:solidFill>
                          <a:effectLst/>
                          <a:latin typeface="Cambria Math" panose="02040503050406030204" pitchFamily="18" charset="0"/>
                          <a:ea typeface="+mn-ea"/>
                          <a:cs typeface="+mn-cs"/>
                        </a:rPr>
                        <m:t>𝑙𝑑</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𝑛𝑒𝑡</m:t>
                      </m:r>
                      <m:r>
                        <a:rPr lang="en-US" sz="1100" b="0" i="1">
                          <a:solidFill>
                            <a:schemeClr val="tx1"/>
                          </a:solidFill>
                          <a:effectLst/>
                          <a:latin typeface="Cambria Math" panose="02040503050406030204" pitchFamily="18" charset="0"/>
                          <a:ea typeface="+mn-ea"/>
                          <a:cs typeface="+mn-cs"/>
                        </a:rPr>
                        <m:t> </m:t>
                      </m:r>
                    </m:sup>
                  </m:sSubSup>
                </m:oMath>
              </a14:m>
              <a:r>
                <a:rPr lang="en-US" sz="1400" b="0" baseline="0">
                  <a:solidFill>
                    <a:sysClr val="windowText" lastClr="000000"/>
                  </a:solidFill>
                  <a:latin typeface="Gill Sans MT" panose="020B0502020104020203" pitchFamily="34" charset="0"/>
                </a:rPr>
                <a:t> = (</a:t>
              </a:r>
              <a:r>
                <a:rPr lang="en-US" sz="1400" b="0" i="1" baseline="0">
                  <a:solidFill>
                    <a:sysClr val="windowText" lastClr="000000"/>
                  </a:solidFill>
                  <a:latin typeface="+mj-lt"/>
                </a:rPr>
                <a:t>N_x+</a:t>
              </a:r>
              <a:r>
                <a:rPr lang="en-US" sz="1400" b="0" baseline="0">
                  <a:solidFill>
                    <a:sysClr val="windowText" lastClr="000000"/>
                  </a:solidFill>
                  <a:latin typeface="Gill Sans MT" panose="020B0502020104020203" pitchFamily="34" charset="0"/>
                </a:rPr>
                <a:t>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r>
                        <a:rPr lang="en-US" sz="1400" b="0" i="1">
                          <a:solidFill>
                            <a:sysClr val="windowText" lastClr="000000"/>
                          </a:solidFill>
                          <a:latin typeface="Cambria Math" panose="02040503050406030204" pitchFamily="18" charset="0"/>
                        </a:rPr>
                        <m:t>𝑐𝑎𝑐h𝑒</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𝑙𝑖𝑛𝑒</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𝑠𝑖𝑧𝑒</m:t>
                      </m:r>
                    </m:num>
                    <m:den>
                      <m:r>
                        <a:rPr lang="en-US" sz="1400" b="0" i="1">
                          <a:solidFill>
                            <a:sysClr val="windowText" lastClr="000000"/>
                          </a:solidFill>
                          <a:latin typeface="Cambria Math" panose="02040503050406030204" pitchFamily="18" charset="0"/>
                        </a:rPr>
                        <m:t>𝑝𝑟𝑒𝑐𝑒𝑠𝑖𝑜𝑛</m:t>
                      </m:r>
                    </m:den>
                  </m:f>
                </m:oMath>
              </a14:m>
              <a:r>
                <a:rPr lang="en-GB" sz="1400" i="1">
                  <a:latin typeface="Gill Sans MT" panose="020B0502020104020203" pitchFamily="34" charset="0"/>
                </a:rPr>
                <a:t> * </a:t>
              </a:r>
              <a:r>
                <a:rPr lang="en-GB" sz="1400" i="0">
                  <a:latin typeface="+mj-lt"/>
                </a:rPr>
                <a:t>2) x width_y x height_z</a:t>
              </a:r>
            </a:p>
          </xdr:txBody>
        </xdr:sp>
      </mc:Choice>
      <mc:Fallback xmlns="">
        <xdr:sp macro="" textlink="">
          <xdr:nvSpPr>
            <xdr:cNvPr id="12" name="TextBox 76">
              <a:extLst>
                <a:ext uri="{FF2B5EF4-FFF2-40B4-BE49-F238E27FC236}">
                  <a16:creationId xmlns:a16="http://schemas.microsoft.com/office/drawing/2014/main" id="{60880C35-6FA0-4E43-A323-941D15C8AF8A}"/>
                </a:ext>
              </a:extLst>
            </xdr:cNvPr>
            <xdr:cNvSpPr txBox="1"/>
          </xdr:nvSpPr>
          <xdr:spPr>
            <a:xfrm>
              <a:off x="13677900" y="13030200"/>
              <a:ext cx="4733924"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100" b="0" i="0">
                  <a:solidFill>
                    <a:schemeClr val="tx1"/>
                  </a:solidFill>
                  <a:effectLst/>
                  <a:latin typeface="Cambria Math" panose="02040503050406030204" pitchFamily="18" charset="0"/>
                  <a:ea typeface="+mn-ea"/>
                  <a:cs typeface="+mn-cs"/>
                </a:rPr>
                <a:t>𝑛_(𝐺𝑀,𝐺)^(𝑙𝑑,𝑛𝑒𝑡 )</a:t>
              </a:r>
              <a:r>
                <a:rPr lang="en-US" sz="1400" b="0" baseline="0">
                  <a:solidFill>
                    <a:sysClr val="windowText" lastClr="000000"/>
                  </a:solidFill>
                  <a:latin typeface="Gill Sans MT" panose="020B0502020104020203" pitchFamily="34" charset="0"/>
                </a:rPr>
                <a:t> = (</a:t>
              </a:r>
              <a:r>
                <a:rPr lang="en-US" sz="1400" b="0" i="1" baseline="0">
                  <a:solidFill>
                    <a:sysClr val="windowText" lastClr="000000"/>
                  </a:solidFill>
                  <a:latin typeface="+mj-lt"/>
                </a:rPr>
                <a:t>N_x+</a:t>
              </a:r>
              <a:r>
                <a:rPr lang="en-US" sz="1400" b="0" baseline="0">
                  <a:solidFill>
                    <a:sysClr val="windowText" lastClr="000000"/>
                  </a:solidFill>
                  <a:latin typeface="Gill Sans MT" panose="020B0502020104020203" pitchFamily="34" charset="0"/>
                </a:rPr>
                <a:t> </a:t>
              </a:r>
              <a:r>
                <a:rPr lang="en-US" sz="1400" b="0" i="0">
                  <a:solidFill>
                    <a:sysClr val="windowText" lastClr="000000"/>
                  </a:solidFill>
                  <a:latin typeface="Cambria Math" panose="02040503050406030204" pitchFamily="18" charset="0"/>
                </a:rPr>
                <a:t>(# 𝐿2−𝑐𝑎𝑐ℎ𝑒−𝑙𝑖𝑛𝑒−𝑠𝑖𝑧𝑒)/𝑝𝑟𝑒𝑐𝑒𝑠𝑖𝑜𝑛</a:t>
              </a:r>
              <a:r>
                <a:rPr lang="en-GB" sz="1400" i="1">
                  <a:latin typeface="Gill Sans MT" panose="020B0502020104020203" pitchFamily="34" charset="0"/>
                </a:rPr>
                <a:t> * </a:t>
              </a:r>
              <a:r>
                <a:rPr lang="en-GB" sz="1400" i="0">
                  <a:latin typeface="+mj-lt"/>
                </a:rPr>
                <a:t>2) x width_y x height_z</a:t>
              </a:r>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1</xdr:col>
      <xdr:colOff>57150</xdr:colOff>
      <xdr:row>1</xdr:row>
      <xdr:rowOff>85725</xdr:rowOff>
    </xdr:from>
    <xdr:ext cx="4018643" cy="489857"/>
    <mc:AlternateContent xmlns:mc="http://schemas.openxmlformats.org/markup-compatibility/2006" xmlns:a14="http://schemas.microsoft.com/office/drawing/2010/main">
      <mc:Choice Requires="a14">
        <xdr:sp macro="" textlink="">
          <xdr:nvSpPr>
            <xdr:cNvPr id="2" name="TextBox 76">
              <a:extLst>
                <a:ext uri="{FF2B5EF4-FFF2-40B4-BE49-F238E27FC236}">
                  <a16:creationId xmlns:a16="http://schemas.microsoft.com/office/drawing/2014/main" id="{C4F90237-9414-46F3-A8F6-E81D3C61EEE8}"/>
                </a:ext>
              </a:extLst>
            </xdr:cNvPr>
            <xdr:cNvSpPr txBox="1"/>
          </xdr:nvSpPr>
          <xdr:spPr>
            <a:xfrm>
              <a:off x="2333625" y="276225"/>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𝑇</m:t>
                      </m:r>
                    </m:e>
                    <m:sub>
                      <m:r>
                        <m:rPr>
                          <m:sty m:val="p"/>
                        </m:rPr>
                        <a:rPr lang="en-US" sz="1400" b="0" i="0">
                          <a:solidFill>
                            <a:sysClr val="windowText" lastClr="000000"/>
                          </a:solidFill>
                          <a:latin typeface="Cambria Math" panose="02040503050406030204" pitchFamily="18" charset="0"/>
                        </a:rPr>
                        <m:t>mem</m:t>
                      </m:r>
                    </m:sub>
                  </m:sSub>
                  <m:r>
                    <a:rPr lang="en-US" sz="1400" b="0" i="1">
                      <a:solidFill>
                        <a:sysClr val="windowText" lastClr="000000"/>
                      </a:solidFill>
                      <a:latin typeface="Cambria Math" panose="02040503050406030204" pitchFamily="18" charset="0"/>
                    </a:rPr>
                    <m:t>(</m:t>
                  </m:r>
                  <m:r>
                    <m:rPr>
                      <m:sty m:val="p"/>
                    </m:rPr>
                    <a:rPr lang="en-US" sz="1400" b="0" i="0">
                      <a:solidFill>
                        <a:sysClr val="windowText" lastClr="000000"/>
                      </a:solidFill>
                      <a:latin typeface="Cambria Math" panose="02040503050406030204" pitchFamily="18" charset="0"/>
                    </a:rPr>
                    <m:t>sec</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𝑀𝐴𝑋</m:t>
                  </m:r>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𝐺𝑀</m:t>
                          </m:r>
                        </m:sub>
                      </m:sSub>
                    </m:num>
                    <m:den>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𝐵𝑊</m:t>
                          </m:r>
                        </m:e>
                        <m:sub>
                          <m:r>
                            <a:rPr lang="en-US" sz="1400" b="0" i="1">
                              <a:solidFill>
                                <a:sysClr val="windowText" lastClr="000000"/>
                              </a:solidFill>
                              <a:latin typeface="Cambria Math" panose="02040503050406030204" pitchFamily="18" charset="0"/>
                            </a:rPr>
                            <m:t>𝐺𝑀</m:t>
                          </m:r>
                        </m:sub>
                      </m:sSub>
                    </m:den>
                  </m:f>
                  <m:r>
                    <a:rPr lang="en-US" sz="1400" b="0" i="1">
                      <a:solidFill>
                        <a:sysClr val="windowText" lastClr="000000"/>
                      </a:solidFill>
                      <a:latin typeface="Cambria Math" panose="02040503050406030204" pitchFamily="18" charset="0"/>
                    </a:rPr>
                    <m:t>,</m:t>
                  </m:r>
                  <m:f>
                    <m:fPr>
                      <m:ctrlPr>
                        <a:rPr lang="en-US" sz="1400" b="0" i="1">
                          <a:solidFill>
                            <a:schemeClr val="tx1"/>
                          </a:solidFill>
                          <a:effectLst/>
                          <a:latin typeface="Cambria Math" panose="02040503050406030204" pitchFamily="18" charset="0"/>
                          <a:ea typeface="+mn-ea"/>
                          <a:cs typeface="+mn-cs"/>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sub>
                      </m:sSub>
                    </m:num>
                    <m:den>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𝐵𝑊</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sub>
                      </m:sSub>
                    </m:den>
                  </m:f>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𝑆𝑀</m:t>
                          </m:r>
                        </m:sub>
                      </m:sSub>
                    </m:num>
                    <m:den>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𝐵𝑊</m:t>
                          </m:r>
                        </m:e>
                        <m:sub>
                          <m:r>
                            <a:rPr lang="en-US" sz="1400" b="0" i="1">
                              <a:solidFill>
                                <a:schemeClr val="tx1"/>
                              </a:solidFill>
                              <a:effectLst/>
                              <a:latin typeface="Cambria Math" panose="02040503050406030204" pitchFamily="18" charset="0"/>
                              <a:ea typeface="+mn-ea"/>
                              <a:cs typeface="+mn-cs"/>
                            </a:rPr>
                            <m:t>𝑆𝑀</m:t>
                          </m:r>
                        </m:sub>
                      </m:sSub>
                    </m:den>
                  </m:f>
                  <m:r>
                    <a:rPr lang="en-US" sz="1400" b="0" i="1">
                      <a:solidFill>
                        <a:sysClr val="windowText" lastClr="000000"/>
                      </a:solidFill>
                      <a:latin typeface="Cambria Math" panose="02040503050406030204" pitchFamily="18" charset="0"/>
                    </a:rPr>
                    <m:t>)</m:t>
                  </m:r>
                </m:oMath>
              </a14:m>
              <a:r>
                <a:rPr lang="en-GB" sz="1400" i="1"/>
                <a:t>  </a:t>
              </a:r>
            </a:p>
          </xdr:txBody>
        </xdr:sp>
      </mc:Choice>
      <mc:Fallback xmlns="">
        <xdr:sp macro="" textlink="">
          <xdr:nvSpPr>
            <xdr:cNvPr id="2" name="TextBox 76">
              <a:extLst>
                <a:ext uri="{FF2B5EF4-FFF2-40B4-BE49-F238E27FC236}">
                  <a16:creationId xmlns:a16="http://schemas.microsoft.com/office/drawing/2014/main" id="{C4F90237-9414-46F3-A8F6-E81D3C61EEE8}"/>
                </a:ext>
              </a:extLst>
            </xdr:cNvPr>
            <xdr:cNvSpPr txBox="1"/>
          </xdr:nvSpPr>
          <xdr:spPr>
            <a:xfrm>
              <a:off x="2333625" y="276225"/>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𝑇_mem (sec)=𝑀𝐴𝑋(</a:t>
              </a:r>
              <a:r>
                <a:rPr lang="en-US" sz="1400" b="0" i="0">
                  <a:solidFill>
                    <a:schemeClr val="tx1"/>
                  </a:solidFill>
                  <a:effectLst/>
                  <a:latin typeface="Cambria Math" panose="02040503050406030204" pitchFamily="18" charset="0"/>
                  <a:ea typeface="+mn-ea"/>
                  <a:cs typeface="+mn-cs"/>
                </a:rPr>
                <a:t>𝑉_𝐺𝑀</a:t>
              </a:r>
              <a:r>
                <a:rPr lang="en-US" sz="1400" b="0" i="0">
                  <a:solidFill>
                    <a:sysClr val="windowText" lastClr="000000"/>
                  </a:solidFill>
                  <a:effectLst/>
                  <a:latin typeface="Cambria Math" panose="02040503050406030204" pitchFamily="18" charset="0"/>
                  <a:ea typeface="+mn-ea"/>
                  <a:cs typeface="+mn-cs"/>
                </a:rPr>
                <a:t>/〖</a:t>
              </a:r>
              <a:r>
                <a:rPr lang="en-US" sz="1400" b="0" i="0">
                  <a:solidFill>
                    <a:sysClr val="windowText" lastClr="000000"/>
                  </a:solidFill>
                  <a:latin typeface="Cambria Math" panose="02040503050406030204" pitchFamily="18" charset="0"/>
                </a:rPr>
                <a:t>𝐵𝑊〗_𝐺𝑀 ,</a:t>
              </a:r>
              <a:r>
                <a:rPr lang="en-US" sz="1400" b="0" i="0">
                  <a:solidFill>
                    <a:schemeClr val="tx1"/>
                  </a:solidFill>
                  <a:effectLst/>
                  <a:latin typeface="Cambria Math" panose="02040503050406030204" pitchFamily="18" charset="0"/>
                  <a:ea typeface="+mn-ea"/>
                  <a:cs typeface="+mn-cs"/>
                </a:rPr>
                <a:t>𝑉_𝐿2/〖𝐵𝑊〗_𝐿2 ,𝑉_𝑆𝑀/〖𝐵𝑊〗_𝑆𝑀 </a:t>
              </a:r>
              <a:r>
                <a:rPr lang="en-US" sz="1400" b="0" i="0">
                  <a:solidFill>
                    <a:sysClr val="windowText" lastClr="000000"/>
                  </a:solidFill>
                  <a:latin typeface="Cambria Math" panose="02040503050406030204" pitchFamily="18" charset="0"/>
                </a:rPr>
                <a:t>)</a:t>
              </a:r>
              <a:r>
                <a:rPr lang="en-GB" sz="1400" i="1"/>
                <a:t>  </a:t>
              </a:r>
            </a:p>
          </xdr:txBody>
        </xdr:sp>
      </mc:Fallback>
    </mc:AlternateContent>
    <xdr:clientData/>
  </xdr:oneCellAnchor>
  <xdr:oneCellAnchor>
    <xdr:from>
      <xdr:col>1</xdr:col>
      <xdr:colOff>0</xdr:colOff>
      <xdr:row>24</xdr:row>
      <xdr:rowOff>95250</xdr:rowOff>
    </xdr:from>
    <xdr:ext cx="4686300" cy="489857"/>
    <mc:AlternateContent xmlns:mc="http://schemas.openxmlformats.org/markup-compatibility/2006" xmlns:a14="http://schemas.microsoft.com/office/drawing/2010/main">
      <mc:Choice Requires="a14">
        <xdr:sp macro="" textlink="">
          <xdr:nvSpPr>
            <xdr:cNvPr id="3" name="TextBox 76">
              <a:extLst>
                <a:ext uri="{FF2B5EF4-FFF2-40B4-BE49-F238E27FC236}">
                  <a16:creationId xmlns:a16="http://schemas.microsoft.com/office/drawing/2014/main" id="{6F0819CC-E952-49B0-89BD-1E8D8DDE616E}"/>
                </a:ext>
              </a:extLst>
            </xdr:cNvPr>
            <xdr:cNvSpPr txBox="1"/>
          </xdr:nvSpPr>
          <xdr:spPr>
            <a:xfrm>
              <a:off x="2276475" y="7067550"/>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𝑆𝑀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𝑡h𝑟𝑒𝑎𝑑𝑠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𝑇</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3" name="TextBox 76">
              <a:extLst>
                <a:ext uri="{FF2B5EF4-FFF2-40B4-BE49-F238E27FC236}">
                  <a16:creationId xmlns:a16="http://schemas.microsoft.com/office/drawing/2014/main" id="{6F0819CC-E952-49B0-89BD-1E8D8DDE616E}"/>
                </a:ext>
              </a:extLst>
            </xdr:cNvPr>
            <xdr:cNvSpPr txBox="1"/>
          </xdr:nvSpPr>
          <xdr:spPr>
            <a:xfrm>
              <a:off x="2276475" y="7067550"/>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𝑉_𝑆𝑀 (GB)=#𝑡ℎ𝑟𝑒𝑎𝑑𝑠 𝑝𝑒𝑟 𝑆𝑀∗(𝑛_(𝑆𝑀,𝑇)^𝑙𝑑+</a:t>
              </a:r>
              <a:r>
                <a:rPr lang="en-US" sz="1400" b="0" i="0">
                  <a:solidFill>
                    <a:schemeClr val="tx1"/>
                  </a:solidFill>
                  <a:effectLst/>
                  <a:latin typeface="Cambria Math" panose="02040503050406030204" pitchFamily="18" charset="0"/>
                  <a:ea typeface="+mn-ea"/>
                  <a:cs typeface="+mn-cs"/>
                </a:rPr>
                <a:t>𝑛_(𝑆𝑀,𝑇)^𝑠𝑡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4</xdr:col>
      <xdr:colOff>695325</xdr:colOff>
      <xdr:row>24</xdr:row>
      <xdr:rowOff>142875</xdr:rowOff>
    </xdr:from>
    <xdr:ext cx="4171950" cy="409576"/>
    <mc:AlternateContent xmlns:mc="http://schemas.openxmlformats.org/markup-compatibility/2006" xmlns:a14="http://schemas.microsoft.com/office/drawing/2010/main">
      <mc:Choice Requires="a14">
        <xdr:sp macro="" textlink="">
          <xdr:nvSpPr>
            <xdr:cNvPr id="4" name="TextBox 76">
              <a:extLst>
                <a:ext uri="{FF2B5EF4-FFF2-40B4-BE49-F238E27FC236}">
                  <a16:creationId xmlns:a16="http://schemas.microsoft.com/office/drawing/2014/main" id="{98EB1E27-4B50-4433-B1D5-FAB3CF39C570}"/>
                </a:ext>
              </a:extLst>
            </xdr:cNvPr>
            <xdr:cNvSpPr txBox="1"/>
          </xdr:nvSpPr>
          <xdr:spPr>
            <a:xfrm>
              <a:off x="7086600" y="7115175"/>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#aligned</a:t>
              </a:r>
              <a:r>
                <a:rPr lang="en-GB" sz="1400" i="1" baseline="0"/>
                <a:t> loads (T) + 2 x #miss-aligned loads(T) </a:t>
              </a:r>
              <a:endParaRPr lang="en-GB" sz="1400" i="1"/>
            </a:p>
          </xdr:txBody>
        </xdr:sp>
      </mc:Choice>
      <mc:Fallback xmlns="">
        <xdr:sp macro="" textlink="">
          <xdr:nvSpPr>
            <xdr:cNvPr id="4" name="TextBox 76">
              <a:extLst>
                <a:ext uri="{FF2B5EF4-FFF2-40B4-BE49-F238E27FC236}">
                  <a16:creationId xmlns:a16="http://schemas.microsoft.com/office/drawing/2014/main" id="{98EB1E27-4B50-4433-B1D5-FAB3CF39C570}"/>
                </a:ext>
              </a:extLst>
            </xdr:cNvPr>
            <xdr:cNvSpPr txBox="1"/>
          </xdr:nvSpPr>
          <xdr:spPr>
            <a:xfrm>
              <a:off x="7086600" y="7115175"/>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𝑛_(𝑆𝑀,𝑇)^𝑙𝑑</a:t>
              </a:r>
              <a:r>
                <a:rPr lang="en-GB" sz="1400" i="1"/>
                <a:t> = #aligned</a:t>
              </a:r>
              <a:r>
                <a:rPr lang="en-GB" sz="1400" i="1" baseline="0"/>
                <a:t> loads (T) + 2 x #miss-aligned loads(T) </a:t>
              </a:r>
              <a:endParaRPr lang="en-GB" sz="1400" i="1"/>
            </a:p>
          </xdr:txBody>
        </xdr:sp>
      </mc:Fallback>
    </mc:AlternateContent>
    <xdr:clientData/>
  </xdr:oneCellAnchor>
  <xdr:oneCellAnchor>
    <xdr:from>
      <xdr:col>1</xdr:col>
      <xdr:colOff>0</xdr:colOff>
      <xdr:row>33</xdr:row>
      <xdr:rowOff>95251</xdr:rowOff>
    </xdr:from>
    <xdr:ext cx="4362450" cy="381000"/>
    <mc:AlternateContent xmlns:mc="http://schemas.openxmlformats.org/markup-compatibility/2006" xmlns:a14="http://schemas.microsoft.com/office/drawing/2010/main">
      <mc:Choice Requires="a14">
        <xdr:sp macro="" textlink="">
          <xdr:nvSpPr>
            <xdr:cNvPr id="5" name="TextBox 76">
              <a:extLst>
                <a:ext uri="{FF2B5EF4-FFF2-40B4-BE49-F238E27FC236}">
                  <a16:creationId xmlns:a16="http://schemas.microsoft.com/office/drawing/2014/main" id="{0B64871D-BFF7-4BD3-8F6C-8B9AB0F5795C}"/>
                </a:ext>
              </a:extLst>
            </xdr:cNvPr>
            <xdr:cNvSpPr txBox="1"/>
          </xdr:nvSpPr>
          <xdr:spPr>
            <a:xfrm>
              <a:off x="2276475" y="10067926"/>
              <a:ext cx="4362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r>
                            <a:rPr lang="en-US" sz="1400" b="0" i="1">
                              <a:solidFill>
                                <a:sysClr val="windowText" lastClr="000000"/>
                              </a:solidFill>
                              <a:latin typeface="Cambria Math" panose="02040503050406030204" pitchFamily="18" charset="0"/>
                            </a:rPr>
                            <m:t>𝐵</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5" name="TextBox 76">
              <a:extLst>
                <a:ext uri="{FF2B5EF4-FFF2-40B4-BE49-F238E27FC236}">
                  <a16:creationId xmlns:a16="http://schemas.microsoft.com/office/drawing/2014/main" id="{0B64871D-BFF7-4BD3-8F6C-8B9AB0F5795C}"/>
                </a:ext>
              </a:extLst>
            </xdr:cNvPr>
            <xdr:cNvSpPr txBox="1"/>
          </xdr:nvSpPr>
          <xdr:spPr>
            <a:xfrm>
              <a:off x="2276475" y="10067926"/>
              <a:ext cx="4362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𝑉_𝐿2 (GB)=#𝑡ℎ𝑟𝑒𝑎𝑑 𝑏𝑙𝑜𝑐𝑘𝑠∗(𝑛_(𝐿2,𝐵)^𝑙𝑑+</a:t>
              </a:r>
              <a:r>
                <a:rPr lang="en-US" sz="1400" b="0" i="0">
                  <a:solidFill>
                    <a:schemeClr val="tx1"/>
                  </a:solidFill>
                  <a:effectLst/>
                  <a:latin typeface="Cambria Math" panose="02040503050406030204" pitchFamily="18" charset="0"/>
                  <a:ea typeface="+mn-ea"/>
                  <a:cs typeface="+mn-cs"/>
                </a:rPr>
                <a:t>𝑛_(𝐿2,𝐵)^𝑠𝑡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4</xdr:col>
      <xdr:colOff>57151</xdr:colOff>
      <xdr:row>33</xdr:row>
      <xdr:rowOff>104775</xdr:rowOff>
    </xdr:from>
    <xdr:ext cx="2762250" cy="409576"/>
    <mc:AlternateContent xmlns:mc="http://schemas.openxmlformats.org/markup-compatibility/2006" xmlns:a14="http://schemas.microsoft.com/office/drawing/2010/main">
      <mc:Choice Requires="a14">
        <xdr:sp macro="" textlink="">
          <xdr:nvSpPr>
            <xdr:cNvPr id="6" name="TextBox 76">
              <a:extLst>
                <a:ext uri="{FF2B5EF4-FFF2-40B4-BE49-F238E27FC236}">
                  <a16:creationId xmlns:a16="http://schemas.microsoft.com/office/drawing/2014/main" id="{BD1F71C7-70C6-4163-8082-DCB7740E7C3D}"/>
                </a:ext>
              </a:extLst>
            </xdr:cNvPr>
            <xdr:cNvSpPr txBox="1"/>
          </xdr:nvSpPr>
          <xdr:spPr>
            <a:xfrm>
              <a:off x="6448426" y="10077450"/>
              <a:ext cx="27622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(1+</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oMath>
              </a14:m>
              <a:endParaRPr lang="en-GB" sz="1400" i="1"/>
            </a:p>
          </xdr:txBody>
        </xdr:sp>
      </mc:Choice>
      <mc:Fallback xmlns="">
        <xdr:sp macro="" textlink="">
          <xdr:nvSpPr>
            <xdr:cNvPr id="6" name="TextBox 76">
              <a:extLst>
                <a:ext uri="{FF2B5EF4-FFF2-40B4-BE49-F238E27FC236}">
                  <a16:creationId xmlns:a16="http://schemas.microsoft.com/office/drawing/2014/main" id="{BD1F71C7-70C6-4163-8082-DCB7740E7C3D}"/>
                </a:ext>
              </a:extLst>
            </xdr:cNvPr>
            <xdr:cNvSpPr txBox="1"/>
          </xdr:nvSpPr>
          <xdr:spPr>
            <a:xfrm>
              <a:off x="6448426" y="10077450"/>
              <a:ext cx="27622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𝑛_(𝐿2,𝐵)^𝑙𝑑</a:t>
              </a:r>
              <a:r>
                <a:rPr lang="en-GB" sz="1400" i="1"/>
                <a:t> = </a:t>
              </a:r>
              <a:r>
                <a:rPr lang="en-US" sz="1400" b="0" i="0">
                  <a:solidFill>
                    <a:schemeClr val="tx1"/>
                  </a:solidFill>
                  <a:effectLst/>
                  <a:latin typeface="Cambria Math" panose="02040503050406030204" pitchFamily="18" charset="0"/>
                  <a:ea typeface="+mn-ea"/>
                  <a:cs typeface="+mn-cs"/>
                </a:rPr>
                <a:t>𝑛_(𝐿2,𝐵)^(𝑙𝑑,𝑛𝑒𝑡 ) (1+𝑆𝑀 𝑚𝑖𝑠𝑠 𝑟𝑎𝑡𝑖𝑜)</a:t>
              </a:r>
              <a:endParaRPr lang="en-GB" sz="1400" i="1"/>
            </a:p>
          </xdr:txBody>
        </xdr:sp>
      </mc:Fallback>
    </mc:AlternateContent>
    <xdr:clientData/>
  </xdr:oneCellAnchor>
  <xdr:oneCellAnchor>
    <xdr:from>
      <xdr:col>6</xdr:col>
      <xdr:colOff>161925</xdr:colOff>
      <xdr:row>33</xdr:row>
      <xdr:rowOff>66675</xdr:rowOff>
    </xdr:from>
    <xdr:ext cx="4810125" cy="514350"/>
    <mc:AlternateContent xmlns:mc="http://schemas.openxmlformats.org/markup-compatibility/2006" xmlns:a14="http://schemas.microsoft.com/office/drawing/2010/main">
      <mc:Choice Requires="a14">
        <xdr:sp macro="" textlink="">
          <xdr:nvSpPr>
            <xdr:cNvPr id="7" name="TextBox 76">
              <a:extLst>
                <a:ext uri="{FF2B5EF4-FFF2-40B4-BE49-F238E27FC236}">
                  <a16:creationId xmlns:a16="http://schemas.microsoft.com/office/drawing/2014/main" id="{E505AFCB-4E60-460A-8C57-B5955CE787E8}"/>
                </a:ext>
              </a:extLst>
            </xdr:cNvPr>
            <xdr:cNvSpPr txBox="1"/>
          </xdr:nvSpPr>
          <xdr:spPr>
            <a:xfrm>
              <a:off x="9248775" y="10039350"/>
              <a:ext cx="481012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SM</a:t>
              </a:r>
              <a14:m>
                <m:oMath xmlns:m="http://schemas.openxmlformats.org/officeDocument/2006/math">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r>
                        <a:rPr lang="en-US" sz="1400" b="0" i="1">
                          <a:solidFill>
                            <a:schemeClr val="tx1"/>
                          </a:solidFill>
                          <a:effectLst/>
                          <a:latin typeface="Cambria Math" panose="02040503050406030204" pitchFamily="18" charset="0"/>
                          <a:ea typeface="+mn-ea"/>
                          <a:cs typeface="+mn-cs"/>
                        </a:rPr>
                        <m:t>𝑜𝑐𝑐</m:t>
                      </m:r>
                      <m:r>
                        <a:rPr lang="en-US" sz="1400" b="0" i="1">
                          <a:solidFill>
                            <a:schemeClr val="tx1"/>
                          </a:solidFill>
                          <a:effectLst/>
                          <a:latin typeface="Cambria Math" panose="02040503050406030204" pitchFamily="18" charset="0"/>
                          <a:ea typeface="+mn-ea"/>
                          <a:cs typeface="+mn-cs"/>
                        </a:rPr>
                        <m:t> ∗#</m:t>
                      </m:r>
                      <m:func>
                        <m:funcPr>
                          <m:ctrlPr>
                            <a:rPr lang="en-US" sz="1400" b="0" i="1">
                              <a:solidFill>
                                <a:schemeClr val="tx1"/>
                              </a:solidFill>
                              <a:effectLst/>
                              <a:latin typeface="Cambria Math" panose="02040503050406030204" pitchFamily="18" charset="0"/>
                              <a:ea typeface="+mn-ea"/>
                              <a:cs typeface="+mn-cs"/>
                            </a:rPr>
                          </m:ctrlPr>
                        </m:funcPr>
                        <m:fName>
                          <m:r>
                            <a:rPr lang="en-US" sz="1400" b="0" i="1">
                              <a:solidFill>
                                <a:schemeClr val="tx1"/>
                              </a:solidFill>
                              <a:effectLst/>
                              <a:latin typeface="Cambria Math" panose="02040503050406030204" pitchFamily="18" charset="0"/>
                              <a:ea typeface="+mn-ea"/>
                              <a:cs typeface="+mn-cs"/>
                            </a:rPr>
                            <m:t>𝑚𝑎𝑥</m:t>
                          </m:r>
                        </m:fName>
                        <m:e>
                          <m:r>
                            <a:rPr lang="en-US" sz="1400" b="0" i="1">
                              <a:solidFill>
                                <a:schemeClr val="tx1"/>
                              </a:solidFill>
                              <a:effectLst/>
                              <a:latin typeface="Cambria Math" panose="02040503050406030204" pitchFamily="18" charset="0"/>
                              <a:ea typeface="+mn-ea"/>
                              <a:cs typeface="+mn-cs"/>
                            </a:rPr>
                            <m:t>𝑡h𝑟𝑒𝑎𝑑𝑠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𝑝𝑒𝑟</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 ∗ </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 </m:t>
                          </m:r>
                        </m:e>
                      </m:func>
                    </m:num>
                    <m:den>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𝑡h𝑟𝑒𝑎𝑑𝑠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𝑝𝑒𝑟</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𝑏𝑙𝑜𝑐𝑘</m:t>
                      </m:r>
                      <m:r>
                        <a:rPr lang="en-US" sz="1400" b="0" i="1">
                          <a:solidFill>
                            <a:schemeClr val="tx1"/>
                          </a:solidFill>
                          <a:effectLst/>
                          <a:latin typeface="Cambria Math" panose="02040503050406030204" pitchFamily="18" charset="0"/>
                          <a:ea typeface="+mn-ea"/>
                          <a:cs typeface="+mn-cs"/>
                        </a:rPr>
                        <m:t> ∗ </m:t>
                      </m:r>
                      <m:f>
                        <m:fPr>
                          <m:ctrlPr>
                            <a:rPr lang="en-US" sz="1400" b="0" i="1">
                              <a:solidFill>
                                <a:schemeClr val="tx1"/>
                              </a:solidFill>
                              <a:effectLst/>
                              <a:latin typeface="Cambria Math" panose="02040503050406030204" pitchFamily="18" charset="0"/>
                              <a:ea typeface="+mn-ea"/>
                              <a:cs typeface="+mn-cs"/>
                            </a:rPr>
                          </m:ctrlPr>
                        </m:fPr>
                        <m:num>
                          <m:r>
                            <a:rPr lang="en-US" sz="1400" b="0" i="1">
                              <a:solidFill>
                                <a:schemeClr val="tx1"/>
                              </a:solidFill>
                              <a:effectLst/>
                              <a:latin typeface="Cambria Math" panose="02040503050406030204" pitchFamily="18" charset="0"/>
                              <a:ea typeface="+mn-ea"/>
                              <a:cs typeface="+mn-cs"/>
                            </a:rPr>
                            <m:t>𝑜𝑛</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𝑠𝑡𝑜𝑟𝑎𝑔𝑒</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𝑠𝑖𝑧𝑒</m:t>
                          </m:r>
                        </m:num>
                        <m:den>
                          <m:r>
                            <a:rPr lang="en-US" sz="1400" b="0" i="1">
                              <a:solidFill>
                                <a:schemeClr val="tx1"/>
                              </a:solidFill>
                              <a:effectLst/>
                              <a:latin typeface="Cambria Math" panose="02040503050406030204" pitchFamily="18" charset="0"/>
                              <a:ea typeface="+mn-ea"/>
                              <a:cs typeface="+mn-cs"/>
                            </a:rPr>
                            <m:t>𝑝𝑟𝑒𝑐𝑖𝑠𝑖𝑜𝑛</m:t>
                          </m:r>
                        </m:den>
                      </m:f>
                      <m:r>
                        <a:rPr lang="en-US" sz="1400" b="0" i="1">
                          <a:solidFill>
                            <a:schemeClr val="tx1"/>
                          </a:solidFill>
                          <a:effectLst/>
                          <a:latin typeface="Cambria Math" panose="02040503050406030204" pitchFamily="18" charset="0"/>
                          <a:ea typeface="+mn-ea"/>
                          <a:cs typeface="+mn-cs"/>
                        </a:rPr>
                        <m:t> </m:t>
                      </m:r>
                    </m:den>
                  </m:f>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𝑑𝑒𝑙𝑡𝑎</m:t>
                  </m:r>
                </m:oMath>
              </a14:m>
              <a:endParaRPr lang="en-GB" sz="1400" i="1"/>
            </a:p>
          </xdr:txBody>
        </xdr:sp>
      </mc:Choice>
      <mc:Fallback xmlns="">
        <xdr:sp macro="" textlink="">
          <xdr:nvSpPr>
            <xdr:cNvPr id="7" name="TextBox 76">
              <a:extLst>
                <a:ext uri="{FF2B5EF4-FFF2-40B4-BE49-F238E27FC236}">
                  <a16:creationId xmlns:a16="http://schemas.microsoft.com/office/drawing/2014/main" id="{E505AFCB-4E60-460A-8C57-B5955CE787E8}"/>
                </a:ext>
              </a:extLst>
            </xdr:cNvPr>
            <xdr:cNvSpPr txBox="1"/>
          </xdr:nvSpPr>
          <xdr:spPr>
            <a:xfrm>
              <a:off x="9248775" y="10039350"/>
              <a:ext cx="481012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SM</a:t>
              </a:r>
              <a:r>
                <a:rPr lang="en-US" sz="1400" b="0" i="0">
                  <a:solidFill>
                    <a:schemeClr val="tx1"/>
                  </a:solidFill>
                  <a:effectLst/>
                  <a:latin typeface="Cambria Math" panose="02040503050406030204" pitchFamily="18" charset="0"/>
                  <a:ea typeface="+mn-ea"/>
                  <a:cs typeface="+mn-cs"/>
                </a:rPr>
                <a:t> 𝑚𝑖𝑠𝑠 𝑟𝑎𝑡𝑖𝑜=(𝑜𝑐𝑐 ∗#𝑚𝑎𝑥⁡〖𝑡ℎ𝑟𝑒𝑎𝑑𝑠 𝑝𝑒𝑟 𝑆𝑀 ∗ 𝑛_(𝐿2,𝐵)^(𝑙𝑑,𝑛𝑒𝑡 )  〗)/(# 𝑡ℎ𝑟𝑒𝑎𝑑𝑠 𝑝𝑒𝑟 𝑏𝑙𝑜𝑐𝑘 ∗ (𝑜𝑛−𝑆𝑀−𝑠𝑡𝑜𝑟𝑎𝑔𝑒−𝑠𝑖𝑧𝑒)/𝑝𝑟𝑒𝑐𝑖𝑠𝑖𝑜𝑛  )  ∗𝑑𝑒𝑙𝑡𝑎</a:t>
              </a:r>
              <a:endParaRPr lang="en-GB" sz="1400" i="1"/>
            </a:p>
          </xdr:txBody>
        </xdr:sp>
      </mc:Fallback>
    </mc:AlternateContent>
    <xdr:clientData/>
  </xdr:oneCellAnchor>
  <xdr:oneCellAnchor>
    <xdr:from>
      <xdr:col>1</xdr:col>
      <xdr:colOff>9525</xdr:colOff>
      <xdr:row>42</xdr:row>
      <xdr:rowOff>85725</xdr:rowOff>
    </xdr:from>
    <xdr:ext cx="3981450" cy="381000"/>
    <mc:AlternateContent xmlns:mc="http://schemas.openxmlformats.org/markup-compatibility/2006" xmlns:a14="http://schemas.microsoft.com/office/drawing/2010/main">
      <mc:Choice Requires="a14">
        <xdr:sp macro="" textlink="">
          <xdr:nvSpPr>
            <xdr:cNvPr id="8" name="TextBox 76">
              <a:extLst>
                <a:ext uri="{FF2B5EF4-FFF2-40B4-BE49-F238E27FC236}">
                  <a16:creationId xmlns:a16="http://schemas.microsoft.com/office/drawing/2014/main" id="{FDAB1FC5-5CB3-40C3-B3B7-76FF27AA2246}"/>
                </a:ext>
              </a:extLst>
            </xdr:cNvPr>
            <xdr:cNvSpPr txBox="1"/>
          </xdr:nvSpPr>
          <xdr:spPr>
            <a:xfrm>
              <a:off x="2286000" y="13058775"/>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𝐺𝑀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𝑔𝑟𝑜𝑢𝑝𝑠</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𝐺𝑀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𝐺</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8" name="TextBox 76">
              <a:extLst>
                <a:ext uri="{FF2B5EF4-FFF2-40B4-BE49-F238E27FC236}">
                  <a16:creationId xmlns:a16="http://schemas.microsoft.com/office/drawing/2014/main" id="{FDAB1FC5-5CB3-40C3-B3B7-76FF27AA2246}"/>
                </a:ext>
              </a:extLst>
            </xdr:cNvPr>
            <xdr:cNvSpPr txBox="1"/>
          </xdr:nvSpPr>
          <xdr:spPr>
            <a:xfrm>
              <a:off x="2286000" y="13058775"/>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𝑉_𝐺𝑀 (GB)=#𝑔𝑟𝑜𝑢𝑝𝑠∗(𝑛_(𝐺𝑀,𝐺)^𝑙𝑑+</a:t>
              </a:r>
              <a:r>
                <a:rPr lang="en-US" sz="1400" b="0" i="0">
                  <a:solidFill>
                    <a:schemeClr val="tx1"/>
                  </a:solidFill>
                  <a:effectLst/>
                  <a:latin typeface="Cambria Math" panose="02040503050406030204" pitchFamily="18" charset="0"/>
                  <a:ea typeface="+mn-ea"/>
                  <a:cs typeface="+mn-cs"/>
                </a:rPr>
                <a:t>𝑛_(𝐺𝑀,𝐺)^𝑠𝑡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3</xdr:col>
      <xdr:colOff>1038225</xdr:colOff>
      <xdr:row>42</xdr:row>
      <xdr:rowOff>66675</xdr:rowOff>
    </xdr:from>
    <xdr:ext cx="2724150" cy="409576"/>
    <mc:AlternateContent xmlns:mc="http://schemas.openxmlformats.org/markup-compatibility/2006" xmlns:a14="http://schemas.microsoft.com/office/drawing/2010/main">
      <mc:Choice Requires="a14">
        <xdr:sp macro="" textlink="">
          <xdr:nvSpPr>
            <xdr:cNvPr id="9" name="TextBox 76">
              <a:extLst>
                <a:ext uri="{FF2B5EF4-FFF2-40B4-BE49-F238E27FC236}">
                  <a16:creationId xmlns:a16="http://schemas.microsoft.com/office/drawing/2014/main" id="{A6B44A81-C88C-480D-8C95-119A99717CE2}"/>
                </a:ext>
              </a:extLst>
            </xdr:cNvPr>
            <xdr:cNvSpPr txBox="1"/>
          </xdr:nvSpPr>
          <xdr:spPr>
            <a:xfrm>
              <a:off x="6105525" y="13039725"/>
              <a:ext cx="27241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(1+</m:t>
                  </m:r>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oMath>
              </a14:m>
              <a:endParaRPr lang="en-GB" sz="1400" i="1"/>
            </a:p>
          </xdr:txBody>
        </xdr:sp>
      </mc:Choice>
      <mc:Fallback xmlns="">
        <xdr:sp macro="" textlink="">
          <xdr:nvSpPr>
            <xdr:cNvPr id="9" name="TextBox 76">
              <a:extLst>
                <a:ext uri="{FF2B5EF4-FFF2-40B4-BE49-F238E27FC236}">
                  <a16:creationId xmlns:a16="http://schemas.microsoft.com/office/drawing/2014/main" id="{A6B44A81-C88C-480D-8C95-119A99717CE2}"/>
                </a:ext>
              </a:extLst>
            </xdr:cNvPr>
            <xdr:cNvSpPr txBox="1"/>
          </xdr:nvSpPr>
          <xdr:spPr>
            <a:xfrm>
              <a:off x="6105525" y="13039725"/>
              <a:ext cx="27241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𝑛_(𝐺𝑀,𝐺)^𝑙𝑑</a:t>
              </a:r>
              <a:r>
                <a:rPr lang="en-GB" sz="1400" i="1"/>
                <a:t> = </a:t>
              </a:r>
              <a:r>
                <a:rPr lang="en-US" sz="1400" b="0" i="0">
                  <a:solidFill>
                    <a:schemeClr val="tx1"/>
                  </a:solidFill>
                  <a:effectLst/>
                  <a:latin typeface="Cambria Math" panose="02040503050406030204" pitchFamily="18" charset="0"/>
                  <a:ea typeface="+mn-ea"/>
                  <a:cs typeface="+mn-cs"/>
                </a:rPr>
                <a:t>𝑛_(𝐺𝑀,𝐺)^(𝑙𝑑,𝑛𝑒𝑡 ) (1+𝐿2 𝑚𝑖𝑠𝑠 𝑟𝑎𝑡𝑖𝑜)</a:t>
              </a:r>
              <a:endParaRPr lang="en-GB" sz="1400" i="1"/>
            </a:p>
          </xdr:txBody>
        </xdr:sp>
      </mc:Fallback>
    </mc:AlternateContent>
    <xdr:clientData/>
  </xdr:oneCellAnchor>
  <xdr:oneCellAnchor>
    <xdr:from>
      <xdr:col>6</xdr:col>
      <xdr:colOff>95250</xdr:colOff>
      <xdr:row>42</xdr:row>
      <xdr:rowOff>38100</xdr:rowOff>
    </xdr:from>
    <xdr:ext cx="3333750" cy="514350"/>
    <mc:AlternateContent xmlns:mc="http://schemas.openxmlformats.org/markup-compatibility/2006" xmlns:a14="http://schemas.microsoft.com/office/drawing/2010/main">
      <mc:Choice Requires="a14">
        <xdr:sp macro="" textlink="">
          <xdr:nvSpPr>
            <xdr:cNvPr id="10" name="TextBox 76">
              <a:extLst>
                <a:ext uri="{FF2B5EF4-FFF2-40B4-BE49-F238E27FC236}">
                  <a16:creationId xmlns:a16="http://schemas.microsoft.com/office/drawing/2014/main" id="{1A20D1DF-8126-43CA-BF7A-785432E6F416}"/>
                </a:ext>
              </a:extLst>
            </xdr:cNvPr>
            <xdr:cNvSpPr txBox="1"/>
          </xdr:nvSpPr>
          <xdr:spPr>
            <a:xfrm>
              <a:off x="9182100" y="13011150"/>
              <a:ext cx="3333750"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 ∗ </m:t>
                      </m:r>
                      <m:r>
                        <a:rPr lang="en-US" sz="1400" b="0" i="1">
                          <a:solidFill>
                            <a:schemeClr val="tx1"/>
                          </a:solidFill>
                          <a:effectLst/>
                          <a:latin typeface="Cambria Math" panose="02040503050406030204" pitchFamily="18" charset="0"/>
                          <a:ea typeface="+mn-ea"/>
                          <a:cs typeface="+mn-cs"/>
                        </a:rPr>
                        <m:t>𝑝𝑟𝑒𝑐𝑖𝑠𝑖𝑜𝑛</m:t>
                      </m:r>
                    </m:num>
                    <m:den>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𝑐𝑎𝑐h𝑒</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𝑠𝑖𝑧𝑒</m:t>
                      </m:r>
                    </m:den>
                  </m:f>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𝑒𝑝𝑠𝑖𝑙𝑜𝑛</m:t>
                  </m:r>
                </m:oMath>
              </a14:m>
              <a:endParaRPr lang="en-GB" sz="1400" i="1"/>
            </a:p>
          </xdr:txBody>
        </xdr:sp>
      </mc:Choice>
      <mc:Fallback xmlns="">
        <xdr:sp macro="" textlink="">
          <xdr:nvSpPr>
            <xdr:cNvPr id="10" name="TextBox 76">
              <a:extLst>
                <a:ext uri="{FF2B5EF4-FFF2-40B4-BE49-F238E27FC236}">
                  <a16:creationId xmlns:a16="http://schemas.microsoft.com/office/drawing/2014/main" id="{1A20D1DF-8126-43CA-BF7A-785432E6F416}"/>
                </a:ext>
              </a:extLst>
            </xdr:cNvPr>
            <xdr:cNvSpPr txBox="1"/>
          </xdr:nvSpPr>
          <xdr:spPr>
            <a:xfrm>
              <a:off x="9182100" y="13011150"/>
              <a:ext cx="3333750"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𝐿2 𝑚𝑖𝑠𝑠 𝑟𝑎𝑡𝑖𝑜=(𝑛_(𝐺𝑀,𝐺)^(𝑙𝑑,𝑛𝑒𝑡 )  ∗ 𝑝𝑟𝑒𝑐𝑖𝑠𝑖𝑜𝑛)/(𝐿2 𝑐𝑎𝑐ℎ𝑒 𝑠𝑖𝑧𝑒)  ∗𝑒𝑝𝑠𝑖𝑙𝑜𝑛</a:t>
              </a:r>
              <a:endParaRPr lang="en-GB" sz="1400" i="1"/>
            </a:p>
          </xdr:txBody>
        </xdr:sp>
      </mc:Fallback>
    </mc:AlternateContent>
    <xdr:clientData/>
  </xdr:oneCellAnchor>
  <xdr:oneCellAnchor>
    <xdr:from>
      <xdr:col>8</xdr:col>
      <xdr:colOff>1181101</xdr:colOff>
      <xdr:row>42</xdr:row>
      <xdr:rowOff>66675</xdr:rowOff>
    </xdr:from>
    <xdr:ext cx="2724150" cy="489857"/>
    <mc:AlternateContent xmlns:mc="http://schemas.openxmlformats.org/markup-compatibility/2006" xmlns:a14="http://schemas.microsoft.com/office/drawing/2010/main">
      <mc:Choice Requires="a14">
        <xdr:sp macro="" textlink="">
          <xdr:nvSpPr>
            <xdr:cNvPr id="11" name="TextBox 76">
              <a:extLst>
                <a:ext uri="{FF2B5EF4-FFF2-40B4-BE49-F238E27FC236}">
                  <a16:creationId xmlns:a16="http://schemas.microsoft.com/office/drawing/2014/main" id="{72C74E5E-C5B4-4C12-8A63-FAA2979009AA}"/>
                </a:ext>
              </a:extLst>
            </xdr:cNvPr>
            <xdr:cNvSpPr txBox="1"/>
          </xdr:nvSpPr>
          <xdr:spPr>
            <a:xfrm>
              <a:off x="12734926" y="13039725"/>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num>
                    <m:den>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𝑔𝑟𝑜𝑢𝑝</m:t>
                      </m:r>
                    </m:den>
                  </m:f>
                </m:oMath>
              </a14:m>
              <a:r>
                <a:rPr lang="en-GB" sz="1400" i="1">
                  <a:latin typeface="Gill Sans MT" panose="020B0502020104020203" pitchFamily="34" charset="0"/>
                </a:rPr>
                <a:t> </a:t>
              </a:r>
            </a:p>
          </xdr:txBody>
        </xdr:sp>
      </mc:Choice>
      <mc:Fallback xmlns="">
        <xdr:sp macro="" textlink="">
          <xdr:nvSpPr>
            <xdr:cNvPr id="11" name="TextBox 76">
              <a:extLst>
                <a:ext uri="{FF2B5EF4-FFF2-40B4-BE49-F238E27FC236}">
                  <a16:creationId xmlns:a16="http://schemas.microsoft.com/office/drawing/2014/main" id="{72C74E5E-C5B4-4C12-8A63-FAA2979009AA}"/>
                </a:ext>
              </a:extLst>
            </xdr:cNvPr>
            <xdr:cNvSpPr txBox="1"/>
          </xdr:nvSpPr>
          <xdr:spPr>
            <a:xfrm>
              <a:off x="12734926" y="13039725"/>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r>
                <a:rPr lang="en-US" sz="1400" b="0" i="0">
                  <a:solidFill>
                    <a:sysClr val="windowText" lastClr="000000"/>
                  </a:solidFill>
                  <a:latin typeface="Cambria Math" panose="02040503050406030204" pitchFamily="18" charset="0"/>
                </a:rPr>
                <a:t>(# 𝑡ℎ𝑟𝑒𝑎𝑑 𝑏𝑙𝑜𝑐𝑘𝑠)/(# 𝑡ℎ𝑟𝑒𝑎𝑑 𝑏𝑙𝑜𝑐𝑘𝑠 𝑝𝑒𝑟 𝑔𝑟𝑜𝑢𝑝)</a:t>
              </a:r>
              <a:r>
                <a:rPr lang="en-GB" sz="1400" i="1">
                  <a:latin typeface="Gill Sans MT" panose="020B0502020104020203" pitchFamily="34" charset="0"/>
                </a:rPr>
                <a:t> </a:t>
              </a:r>
            </a:p>
          </xdr:txBody>
        </xdr:sp>
      </mc:Fallback>
    </mc:AlternateContent>
    <xdr:clientData/>
  </xdr:oneCellAnchor>
  <xdr:oneCellAnchor>
    <xdr:from>
      <xdr:col>10</xdr:col>
      <xdr:colOff>1076325</xdr:colOff>
      <xdr:row>42</xdr:row>
      <xdr:rowOff>85725</xdr:rowOff>
    </xdr:from>
    <xdr:ext cx="4733924" cy="489857"/>
    <mc:AlternateContent xmlns:mc="http://schemas.openxmlformats.org/markup-compatibility/2006" xmlns:a14="http://schemas.microsoft.com/office/drawing/2010/main">
      <mc:Choice Requires="a14">
        <xdr:sp macro="" textlink="">
          <xdr:nvSpPr>
            <xdr:cNvPr id="12" name="TextBox 76">
              <a:extLst>
                <a:ext uri="{FF2B5EF4-FFF2-40B4-BE49-F238E27FC236}">
                  <a16:creationId xmlns:a16="http://schemas.microsoft.com/office/drawing/2014/main" id="{DE1FF233-A2FD-43DD-98C5-32F8525CA543}"/>
                </a:ext>
              </a:extLst>
            </xdr:cNvPr>
            <xdr:cNvSpPr txBox="1"/>
          </xdr:nvSpPr>
          <xdr:spPr>
            <a:xfrm>
              <a:off x="15659100" y="13058775"/>
              <a:ext cx="4733924"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14:m>
                <m:oMath xmlns:m="http://schemas.openxmlformats.org/officeDocument/2006/math">
                  <m:sSubSup>
                    <m:sSubSupPr>
                      <m:ctrlPr>
                        <a:rPr lang="en-US" sz="1100" b="0" i="1">
                          <a:solidFill>
                            <a:schemeClr val="tx1"/>
                          </a:solidFill>
                          <a:effectLst/>
                          <a:latin typeface="Cambria Math" panose="02040503050406030204" pitchFamily="18" charset="0"/>
                          <a:ea typeface="+mn-ea"/>
                          <a:cs typeface="+mn-cs"/>
                        </a:rPr>
                      </m:ctrlPr>
                    </m:sSubSupPr>
                    <m:e>
                      <m:r>
                        <a:rPr lang="en-US" sz="1100" b="0" i="1">
                          <a:solidFill>
                            <a:schemeClr val="tx1"/>
                          </a:solidFill>
                          <a:effectLst/>
                          <a:latin typeface="Cambria Math" panose="02040503050406030204" pitchFamily="18" charset="0"/>
                          <a:ea typeface="+mn-ea"/>
                          <a:cs typeface="+mn-cs"/>
                        </a:rPr>
                        <m:t>𝑛</m:t>
                      </m:r>
                    </m:e>
                    <m:sub>
                      <m:r>
                        <a:rPr lang="en-US" sz="1100" b="0" i="1">
                          <a:solidFill>
                            <a:schemeClr val="tx1"/>
                          </a:solidFill>
                          <a:effectLst/>
                          <a:latin typeface="Cambria Math" panose="02040503050406030204" pitchFamily="18" charset="0"/>
                          <a:ea typeface="+mn-ea"/>
                          <a:cs typeface="+mn-cs"/>
                        </a:rPr>
                        <m:t>𝐺𝑀</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𝐺</m:t>
                      </m:r>
                    </m:sub>
                    <m:sup>
                      <m:r>
                        <a:rPr lang="en-US" sz="1100" b="0" i="1">
                          <a:solidFill>
                            <a:schemeClr val="tx1"/>
                          </a:solidFill>
                          <a:effectLst/>
                          <a:latin typeface="Cambria Math" panose="02040503050406030204" pitchFamily="18" charset="0"/>
                          <a:ea typeface="+mn-ea"/>
                          <a:cs typeface="+mn-cs"/>
                        </a:rPr>
                        <m:t>𝑙𝑑</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𝑛𝑒𝑡</m:t>
                      </m:r>
                      <m:r>
                        <a:rPr lang="en-US" sz="1100" b="0" i="1">
                          <a:solidFill>
                            <a:schemeClr val="tx1"/>
                          </a:solidFill>
                          <a:effectLst/>
                          <a:latin typeface="Cambria Math" panose="02040503050406030204" pitchFamily="18" charset="0"/>
                          <a:ea typeface="+mn-ea"/>
                          <a:cs typeface="+mn-cs"/>
                        </a:rPr>
                        <m:t> </m:t>
                      </m:r>
                    </m:sup>
                  </m:sSubSup>
                </m:oMath>
              </a14:m>
              <a:r>
                <a:rPr lang="en-US" sz="1400" b="0" baseline="0">
                  <a:solidFill>
                    <a:sysClr val="windowText" lastClr="000000"/>
                  </a:solidFill>
                  <a:latin typeface="Gill Sans MT" panose="020B0502020104020203" pitchFamily="34" charset="0"/>
                </a:rPr>
                <a:t> = (</a:t>
              </a:r>
              <a:r>
                <a:rPr lang="en-US" sz="1400" b="0" i="1" baseline="0">
                  <a:solidFill>
                    <a:sysClr val="windowText" lastClr="000000"/>
                  </a:solidFill>
                  <a:latin typeface="+mj-lt"/>
                </a:rPr>
                <a:t>N_x+</a:t>
              </a:r>
              <a:r>
                <a:rPr lang="en-US" sz="1400" b="0" baseline="0">
                  <a:solidFill>
                    <a:sysClr val="windowText" lastClr="000000"/>
                  </a:solidFill>
                  <a:latin typeface="Gill Sans MT" panose="020B0502020104020203" pitchFamily="34" charset="0"/>
                </a:rPr>
                <a:t>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r>
                        <a:rPr lang="en-US" sz="1400" b="0" i="1">
                          <a:solidFill>
                            <a:sysClr val="windowText" lastClr="000000"/>
                          </a:solidFill>
                          <a:latin typeface="Cambria Math" panose="02040503050406030204" pitchFamily="18" charset="0"/>
                        </a:rPr>
                        <m:t>𝑐𝑎𝑐h𝑒</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𝑙𝑖𝑛𝑒</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𝑠𝑖𝑧𝑒</m:t>
                      </m:r>
                    </m:num>
                    <m:den>
                      <m:r>
                        <a:rPr lang="en-US" sz="1400" b="0" i="1">
                          <a:solidFill>
                            <a:sysClr val="windowText" lastClr="000000"/>
                          </a:solidFill>
                          <a:latin typeface="Cambria Math" panose="02040503050406030204" pitchFamily="18" charset="0"/>
                        </a:rPr>
                        <m:t>𝑝𝑟𝑒𝑐𝑒𝑠𝑖𝑜𝑛</m:t>
                      </m:r>
                    </m:den>
                  </m:f>
                </m:oMath>
              </a14:m>
              <a:r>
                <a:rPr lang="en-GB" sz="1400" i="1">
                  <a:latin typeface="Gill Sans MT" panose="020B0502020104020203" pitchFamily="34" charset="0"/>
                </a:rPr>
                <a:t> * </a:t>
              </a:r>
              <a:r>
                <a:rPr lang="en-GB" sz="1400" i="0">
                  <a:latin typeface="+mj-lt"/>
                </a:rPr>
                <a:t>2) x width_y x height_z</a:t>
              </a:r>
            </a:p>
          </xdr:txBody>
        </xdr:sp>
      </mc:Choice>
      <mc:Fallback xmlns="">
        <xdr:sp macro="" textlink="">
          <xdr:nvSpPr>
            <xdr:cNvPr id="12" name="TextBox 76">
              <a:extLst>
                <a:ext uri="{FF2B5EF4-FFF2-40B4-BE49-F238E27FC236}">
                  <a16:creationId xmlns:a16="http://schemas.microsoft.com/office/drawing/2014/main" id="{DE1FF233-A2FD-43DD-98C5-32F8525CA543}"/>
                </a:ext>
              </a:extLst>
            </xdr:cNvPr>
            <xdr:cNvSpPr txBox="1"/>
          </xdr:nvSpPr>
          <xdr:spPr>
            <a:xfrm>
              <a:off x="15659100" y="13058775"/>
              <a:ext cx="4733924"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100" b="0" i="0">
                  <a:solidFill>
                    <a:schemeClr val="tx1"/>
                  </a:solidFill>
                  <a:effectLst/>
                  <a:latin typeface="Cambria Math" panose="02040503050406030204" pitchFamily="18" charset="0"/>
                  <a:ea typeface="+mn-ea"/>
                  <a:cs typeface="+mn-cs"/>
                </a:rPr>
                <a:t>𝑛_(𝐺𝑀,𝐺)^(𝑙𝑑,𝑛𝑒𝑡 )</a:t>
              </a:r>
              <a:r>
                <a:rPr lang="en-US" sz="1400" b="0" baseline="0">
                  <a:solidFill>
                    <a:sysClr val="windowText" lastClr="000000"/>
                  </a:solidFill>
                  <a:latin typeface="Gill Sans MT" panose="020B0502020104020203" pitchFamily="34" charset="0"/>
                </a:rPr>
                <a:t> = (</a:t>
              </a:r>
              <a:r>
                <a:rPr lang="en-US" sz="1400" b="0" i="1" baseline="0">
                  <a:solidFill>
                    <a:sysClr val="windowText" lastClr="000000"/>
                  </a:solidFill>
                  <a:latin typeface="+mj-lt"/>
                </a:rPr>
                <a:t>N_x+</a:t>
              </a:r>
              <a:r>
                <a:rPr lang="en-US" sz="1400" b="0" baseline="0">
                  <a:solidFill>
                    <a:sysClr val="windowText" lastClr="000000"/>
                  </a:solidFill>
                  <a:latin typeface="Gill Sans MT" panose="020B0502020104020203" pitchFamily="34" charset="0"/>
                </a:rPr>
                <a:t> </a:t>
              </a:r>
              <a:r>
                <a:rPr lang="en-US" sz="1400" b="0" i="0">
                  <a:solidFill>
                    <a:sysClr val="windowText" lastClr="000000"/>
                  </a:solidFill>
                  <a:latin typeface="Cambria Math" panose="02040503050406030204" pitchFamily="18" charset="0"/>
                </a:rPr>
                <a:t>(# 𝐿2−𝑐𝑎𝑐ℎ𝑒−𝑙𝑖𝑛𝑒−𝑠𝑖𝑧𝑒)/𝑝𝑟𝑒𝑐𝑒𝑠𝑖𝑜𝑛</a:t>
              </a:r>
              <a:r>
                <a:rPr lang="en-GB" sz="1400" i="1">
                  <a:latin typeface="Gill Sans MT" panose="020B0502020104020203" pitchFamily="34" charset="0"/>
                </a:rPr>
                <a:t> * </a:t>
              </a:r>
              <a:r>
                <a:rPr lang="en-GB" sz="1400" i="0">
                  <a:latin typeface="+mj-lt"/>
                </a:rPr>
                <a:t>2) x width_y x height_z</a:t>
              </a:r>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1</xdr:col>
      <xdr:colOff>57150</xdr:colOff>
      <xdr:row>1</xdr:row>
      <xdr:rowOff>85725</xdr:rowOff>
    </xdr:from>
    <xdr:ext cx="4018643" cy="489857"/>
    <mc:AlternateContent xmlns:mc="http://schemas.openxmlformats.org/markup-compatibility/2006" xmlns:a14="http://schemas.microsoft.com/office/drawing/2010/main">
      <mc:Choice Requires="a14">
        <xdr:sp macro="" textlink="">
          <xdr:nvSpPr>
            <xdr:cNvPr id="2" name="TextBox 76">
              <a:extLst>
                <a:ext uri="{FF2B5EF4-FFF2-40B4-BE49-F238E27FC236}">
                  <a16:creationId xmlns:a16="http://schemas.microsoft.com/office/drawing/2014/main" id="{19AB34D2-367D-4FB0-AB12-B01D1F214EB8}"/>
                </a:ext>
              </a:extLst>
            </xdr:cNvPr>
            <xdr:cNvSpPr txBox="1"/>
          </xdr:nvSpPr>
          <xdr:spPr>
            <a:xfrm>
              <a:off x="2333625" y="3276600"/>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𝑇</m:t>
                      </m:r>
                    </m:e>
                    <m:sub>
                      <m:r>
                        <m:rPr>
                          <m:sty m:val="p"/>
                        </m:rPr>
                        <a:rPr lang="en-US" sz="1400" b="0" i="0">
                          <a:solidFill>
                            <a:sysClr val="windowText" lastClr="000000"/>
                          </a:solidFill>
                          <a:latin typeface="Cambria Math" panose="02040503050406030204" pitchFamily="18" charset="0"/>
                        </a:rPr>
                        <m:t>mem</m:t>
                      </m:r>
                    </m:sub>
                  </m:sSub>
                  <m:r>
                    <a:rPr lang="en-US" sz="1400" b="0" i="1">
                      <a:solidFill>
                        <a:sysClr val="windowText" lastClr="000000"/>
                      </a:solidFill>
                      <a:latin typeface="Cambria Math" panose="02040503050406030204" pitchFamily="18" charset="0"/>
                    </a:rPr>
                    <m:t>(</m:t>
                  </m:r>
                  <m:r>
                    <m:rPr>
                      <m:sty m:val="p"/>
                    </m:rPr>
                    <a:rPr lang="en-US" sz="1400" b="0" i="0">
                      <a:solidFill>
                        <a:sysClr val="windowText" lastClr="000000"/>
                      </a:solidFill>
                      <a:latin typeface="Cambria Math" panose="02040503050406030204" pitchFamily="18" charset="0"/>
                    </a:rPr>
                    <m:t>sec</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𝑀𝐴𝑋</m:t>
                  </m:r>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𝐺𝑀</m:t>
                          </m:r>
                        </m:sub>
                      </m:sSub>
                    </m:num>
                    <m:den>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𝐵𝑊</m:t>
                          </m:r>
                        </m:e>
                        <m:sub>
                          <m:r>
                            <a:rPr lang="en-US" sz="1400" b="0" i="1">
                              <a:solidFill>
                                <a:sysClr val="windowText" lastClr="000000"/>
                              </a:solidFill>
                              <a:latin typeface="Cambria Math" panose="02040503050406030204" pitchFamily="18" charset="0"/>
                            </a:rPr>
                            <m:t>𝐺𝑀</m:t>
                          </m:r>
                        </m:sub>
                      </m:sSub>
                    </m:den>
                  </m:f>
                  <m:r>
                    <a:rPr lang="en-US" sz="1400" b="0" i="1">
                      <a:solidFill>
                        <a:sysClr val="windowText" lastClr="000000"/>
                      </a:solidFill>
                      <a:latin typeface="Cambria Math" panose="02040503050406030204" pitchFamily="18" charset="0"/>
                    </a:rPr>
                    <m:t>,</m:t>
                  </m:r>
                  <m:f>
                    <m:fPr>
                      <m:ctrlPr>
                        <a:rPr lang="en-US" sz="1400" b="0" i="1">
                          <a:solidFill>
                            <a:schemeClr val="tx1"/>
                          </a:solidFill>
                          <a:effectLst/>
                          <a:latin typeface="Cambria Math" panose="02040503050406030204" pitchFamily="18" charset="0"/>
                          <a:ea typeface="+mn-ea"/>
                          <a:cs typeface="+mn-cs"/>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sub>
                      </m:sSub>
                    </m:num>
                    <m:den>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𝐵𝑊</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sub>
                      </m:sSub>
                    </m:den>
                  </m:f>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𝑆𝑀</m:t>
                          </m:r>
                        </m:sub>
                      </m:sSub>
                    </m:num>
                    <m:den>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𝐵𝑊</m:t>
                          </m:r>
                        </m:e>
                        <m:sub>
                          <m:r>
                            <a:rPr lang="en-US" sz="1400" b="0" i="1">
                              <a:solidFill>
                                <a:schemeClr val="tx1"/>
                              </a:solidFill>
                              <a:effectLst/>
                              <a:latin typeface="Cambria Math" panose="02040503050406030204" pitchFamily="18" charset="0"/>
                              <a:ea typeface="+mn-ea"/>
                              <a:cs typeface="+mn-cs"/>
                            </a:rPr>
                            <m:t>𝑆𝑀</m:t>
                          </m:r>
                        </m:sub>
                      </m:sSub>
                    </m:den>
                  </m:f>
                  <m:r>
                    <a:rPr lang="en-US" sz="1400" b="0" i="1">
                      <a:solidFill>
                        <a:sysClr val="windowText" lastClr="000000"/>
                      </a:solidFill>
                      <a:latin typeface="Cambria Math" panose="02040503050406030204" pitchFamily="18" charset="0"/>
                    </a:rPr>
                    <m:t>)</m:t>
                  </m:r>
                </m:oMath>
              </a14:m>
              <a:r>
                <a:rPr lang="en-GB" sz="1400" i="1"/>
                <a:t>  </a:t>
              </a:r>
            </a:p>
          </xdr:txBody>
        </xdr:sp>
      </mc:Choice>
      <mc:Fallback xmlns="">
        <xdr:sp macro="" textlink="">
          <xdr:nvSpPr>
            <xdr:cNvPr id="2" name="TextBox 76">
              <a:extLst>
                <a:ext uri="{FF2B5EF4-FFF2-40B4-BE49-F238E27FC236}">
                  <a16:creationId xmlns:a16="http://schemas.microsoft.com/office/drawing/2014/main" id="{19AB34D2-367D-4FB0-AB12-B01D1F214EB8}"/>
                </a:ext>
              </a:extLst>
            </xdr:cNvPr>
            <xdr:cNvSpPr txBox="1"/>
          </xdr:nvSpPr>
          <xdr:spPr>
            <a:xfrm>
              <a:off x="2333625" y="3276600"/>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𝑇_mem (sec)=𝑀𝐴𝑋(</a:t>
              </a:r>
              <a:r>
                <a:rPr lang="en-US" sz="1400" b="0" i="0">
                  <a:solidFill>
                    <a:schemeClr val="tx1"/>
                  </a:solidFill>
                  <a:effectLst/>
                  <a:latin typeface="Cambria Math" panose="02040503050406030204" pitchFamily="18" charset="0"/>
                  <a:ea typeface="+mn-ea"/>
                  <a:cs typeface="+mn-cs"/>
                </a:rPr>
                <a:t>𝑉_𝐺𝑀</a:t>
              </a:r>
              <a:r>
                <a:rPr lang="en-US" sz="1400" b="0" i="0">
                  <a:solidFill>
                    <a:sysClr val="windowText" lastClr="000000"/>
                  </a:solidFill>
                  <a:effectLst/>
                  <a:latin typeface="Cambria Math" panose="02040503050406030204" pitchFamily="18" charset="0"/>
                  <a:ea typeface="+mn-ea"/>
                  <a:cs typeface="+mn-cs"/>
                </a:rPr>
                <a:t>/〖</a:t>
              </a:r>
              <a:r>
                <a:rPr lang="en-US" sz="1400" b="0" i="0">
                  <a:solidFill>
                    <a:sysClr val="windowText" lastClr="000000"/>
                  </a:solidFill>
                  <a:latin typeface="Cambria Math" panose="02040503050406030204" pitchFamily="18" charset="0"/>
                </a:rPr>
                <a:t>𝐵𝑊〗_𝐺𝑀 ,</a:t>
              </a:r>
              <a:r>
                <a:rPr lang="en-US" sz="1400" b="0" i="0">
                  <a:solidFill>
                    <a:schemeClr val="tx1"/>
                  </a:solidFill>
                  <a:effectLst/>
                  <a:latin typeface="Cambria Math" panose="02040503050406030204" pitchFamily="18" charset="0"/>
                  <a:ea typeface="+mn-ea"/>
                  <a:cs typeface="+mn-cs"/>
                </a:rPr>
                <a:t>𝑉_𝐿2/〖𝐵𝑊〗_𝐿2 ,𝑉_𝑆𝑀/〖𝐵𝑊〗_𝑆𝑀 </a:t>
              </a:r>
              <a:r>
                <a:rPr lang="en-US" sz="1400" b="0" i="0">
                  <a:solidFill>
                    <a:sysClr val="windowText" lastClr="000000"/>
                  </a:solidFill>
                  <a:latin typeface="Cambria Math" panose="02040503050406030204" pitchFamily="18" charset="0"/>
                </a:rPr>
                <a:t>)</a:t>
              </a:r>
              <a:r>
                <a:rPr lang="en-GB" sz="1400" i="1"/>
                <a:t>  </a:t>
              </a:r>
            </a:p>
          </xdr:txBody>
        </xdr:sp>
      </mc:Fallback>
    </mc:AlternateContent>
    <xdr:clientData/>
  </xdr:oneCellAnchor>
  <xdr:oneCellAnchor>
    <xdr:from>
      <xdr:col>1</xdr:col>
      <xdr:colOff>0</xdr:colOff>
      <xdr:row>24</xdr:row>
      <xdr:rowOff>95250</xdr:rowOff>
    </xdr:from>
    <xdr:ext cx="4686300" cy="489857"/>
    <mc:AlternateContent xmlns:mc="http://schemas.openxmlformats.org/markup-compatibility/2006" xmlns:a14="http://schemas.microsoft.com/office/drawing/2010/main">
      <mc:Choice Requires="a14">
        <xdr:sp macro="" textlink="">
          <xdr:nvSpPr>
            <xdr:cNvPr id="3" name="TextBox 76">
              <a:extLst>
                <a:ext uri="{FF2B5EF4-FFF2-40B4-BE49-F238E27FC236}">
                  <a16:creationId xmlns:a16="http://schemas.microsoft.com/office/drawing/2014/main" id="{829976BF-1ED1-4304-9F8D-C8F916B071AE}"/>
                </a:ext>
              </a:extLst>
            </xdr:cNvPr>
            <xdr:cNvSpPr txBox="1"/>
          </xdr:nvSpPr>
          <xdr:spPr>
            <a:xfrm>
              <a:off x="2276475" y="10067925"/>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𝑆𝑀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𝑡h𝑟𝑒𝑎𝑑𝑠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𝑇</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3" name="TextBox 76">
              <a:extLst>
                <a:ext uri="{FF2B5EF4-FFF2-40B4-BE49-F238E27FC236}">
                  <a16:creationId xmlns:a16="http://schemas.microsoft.com/office/drawing/2014/main" id="{829976BF-1ED1-4304-9F8D-C8F916B071AE}"/>
                </a:ext>
              </a:extLst>
            </xdr:cNvPr>
            <xdr:cNvSpPr txBox="1"/>
          </xdr:nvSpPr>
          <xdr:spPr>
            <a:xfrm>
              <a:off x="2276475" y="10067925"/>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𝑉_𝑆𝑀 (GB)=#𝑡ℎ𝑟𝑒𝑎𝑑𝑠 𝑝𝑒𝑟 𝑆𝑀∗(𝑛_(𝑆𝑀,𝑇)^𝑙𝑑+</a:t>
              </a:r>
              <a:r>
                <a:rPr lang="en-US" sz="1400" b="0" i="0">
                  <a:solidFill>
                    <a:schemeClr val="tx1"/>
                  </a:solidFill>
                  <a:effectLst/>
                  <a:latin typeface="Cambria Math" panose="02040503050406030204" pitchFamily="18" charset="0"/>
                  <a:ea typeface="+mn-ea"/>
                  <a:cs typeface="+mn-cs"/>
                </a:rPr>
                <a:t>𝑛_(𝑆𝑀,𝑇)^𝑠𝑡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4</xdr:col>
      <xdr:colOff>695325</xdr:colOff>
      <xdr:row>24</xdr:row>
      <xdr:rowOff>142875</xdr:rowOff>
    </xdr:from>
    <xdr:ext cx="4171950" cy="409576"/>
    <mc:AlternateContent xmlns:mc="http://schemas.openxmlformats.org/markup-compatibility/2006" xmlns:a14="http://schemas.microsoft.com/office/drawing/2010/main">
      <mc:Choice Requires="a14">
        <xdr:sp macro="" textlink="">
          <xdr:nvSpPr>
            <xdr:cNvPr id="4" name="TextBox 76">
              <a:extLst>
                <a:ext uri="{FF2B5EF4-FFF2-40B4-BE49-F238E27FC236}">
                  <a16:creationId xmlns:a16="http://schemas.microsoft.com/office/drawing/2014/main" id="{714CB2C4-EB47-49BF-8F1F-34AF14D0BD2C}"/>
                </a:ext>
              </a:extLst>
            </xdr:cNvPr>
            <xdr:cNvSpPr txBox="1"/>
          </xdr:nvSpPr>
          <xdr:spPr>
            <a:xfrm>
              <a:off x="7086600" y="10115550"/>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#aligned</a:t>
              </a:r>
              <a:r>
                <a:rPr lang="en-GB" sz="1400" i="1" baseline="0"/>
                <a:t> loads (T) + 2 x #miss-aligned loads(T) </a:t>
              </a:r>
              <a:endParaRPr lang="en-GB" sz="1400" i="1"/>
            </a:p>
          </xdr:txBody>
        </xdr:sp>
      </mc:Choice>
      <mc:Fallback xmlns="">
        <xdr:sp macro="" textlink="">
          <xdr:nvSpPr>
            <xdr:cNvPr id="4" name="TextBox 76">
              <a:extLst>
                <a:ext uri="{FF2B5EF4-FFF2-40B4-BE49-F238E27FC236}">
                  <a16:creationId xmlns:a16="http://schemas.microsoft.com/office/drawing/2014/main" id="{714CB2C4-EB47-49BF-8F1F-34AF14D0BD2C}"/>
                </a:ext>
              </a:extLst>
            </xdr:cNvPr>
            <xdr:cNvSpPr txBox="1"/>
          </xdr:nvSpPr>
          <xdr:spPr>
            <a:xfrm>
              <a:off x="7086600" y="10115550"/>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𝑛_(𝑆𝑀,𝑇)^𝑙𝑑</a:t>
              </a:r>
              <a:r>
                <a:rPr lang="en-GB" sz="1400" i="1"/>
                <a:t> = #aligned</a:t>
              </a:r>
              <a:r>
                <a:rPr lang="en-GB" sz="1400" i="1" baseline="0"/>
                <a:t> loads (T) + 2 x #miss-aligned loads(T) </a:t>
              </a:r>
              <a:endParaRPr lang="en-GB" sz="1400" i="1"/>
            </a:p>
          </xdr:txBody>
        </xdr:sp>
      </mc:Fallback>
    </mc:AlternateContent>
    <xdr:clientData/>
  </xdr:oneCellAnchor>
  <xdr:oneCellAnchor>
    <xdr:from>
      <xdr:col>1</xdr:col>
      <xdr:colOff>0</xdr:colOff>
      <xdr:row>33</xdr:row>
      <xdr:rowOff>95251</xdr:rowOff>
    </xdr:from>
    <xdr:ext cx="4362450" cy="381000"/>
    <mc:AlternateContent xmlns:mc="http://schemas.openxmlformats.org/markup-compatibility/2006" xmlns:a14="http://schemas.microsoft.com/office/drawing/2010/main">
      <mc:Choice Requires="a14">
        <xdr:sp macro="" textlink="">
          <xdr:nvSpPr>
            <xdr:cNvPr id="5" name="TextBox 76">
              <a:extLst>
                <a:ext uri="{FF2B5EF4-FFF2-40B4-BE49-F238E27FC236}">
                  <a16:creationId xmlns:a16="http://schemas.microsoft.com/office/drawing/2014/main" id="{05DE3B94-8AEF-4991-B7D9-1E4E6A36C4D7}"/>
                </a:ext>
              </a:extLst>
            </xdr:cNvPr>
            <xdr:cNvSpPr txBox="1"/>
          </xdr:nvSpPr>
          <xdr:spPr>
            <a:xfrm>
              <a:off x="2276475" y="13068301"/>
              <a:ext cx="4362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r>
                            <a:rPr lang="en-US" sz="1400" b="0" i="1">
                              <a:solidFill>
                                <a:sysClr val="windowText" lastClr="000000"/>
                              </a:solidFill>
                              <a:latin typeface="Cambria Math" panose="02040503050406030204" pitchFamily="18" charset="0"/>
                            </a:rPr>
                            <m:t>𝐵</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5" name="TextBox 76">
              <a:extLst>
                <a:ext uri="{FF2B5EF4-FFF2-40B4-BE49-F238E27FC236}">
                  <a16:creationId xmlns:a16="http://schemas.microsoft.com/office/drawing/2014/main" id="{05DE3B94-8AEF-4991-B7D9-1E4E6A36C4D7}"/>
                </a:ext>
              </a:extLst>
            </xdr:cNvPr>
            <xdr:cNvSpPr txBox="1"/>
          </xdr:nvSpPr>
          <xdr:spPr>
            <a:xfrm>
              <a:off x="2276475" y="13068301"/>
              <a:ext cx="4362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𝑉_𝐿2 (GB)=#𝑡ℎ𝑟𝑒𝑎𝑑 𝑏𝑙𝑜𝑐𝑘𝑠∗(𝑛_(𝐿2,𝐵)^𝑙𝑑+</a:t>
              </a:r>
              <a:r>
                <a:rPr lang="en-US" sz="1400" b="0" i="0">
                  <a:solidFill>
                    <a:schemeClr val="tx1"/>
                  </a:solidFill>
                  <a:effectLst/>
                  <a:latin typeface="Cambria Math" panose="02040503050406030204" pitchFamily="18" charset="0"/>
                  <a:ea typeface="+mn-ea"/>
                  <a:cs typeface="+mn-cs"/>
                </a:rPr>
                <a:t>𝑛_(𝐿2,𝐵)^𝑠𝑡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4</xdr:col>
      <xdr:colOff>57151</xdr:colOff>
      <xdr:row>33</xdr:row>
      <xdr:rowOff>104775</xdr:rowOff>
    </xdr:from>
    <xdr:ext cx="2762250" cy="409576"/>
    <mc:AlternateContent xmlns:mc="http://schemas.openxmlformats.org/markup-compatibility/2006" xmlns:a14="http://schemas.microsoft.com/office/drawing/2010/main">
      <mc:Choice Requires="a14">
        <xdr:sp macro="" textlink="">
          <xdr:nvSpPr>
            <xdr:cNvPr id="6" name="TextBox 76">
              <a:extLst>
                <a:ext uri="{FF2B5EF4-FFF2-40B4-BE49-F238E27FC236}">
                  <a16:creationId xmlns:a16="http://schemas.microsoft.com/office/drawing/2014/main" id="{5F64E6B8-16BB-440C-A1FB-BCA6B83F1FAF}"/>
                </a:ext>
              </a:extLst>
            </xdr:cNvPr>
            <xdr:cNvSpPr txBox="1"/>
          </xdr:nvSpPr>
          <xdr:spPr>
            <a:xfrm>
              <a:off x="6448426" y="13077825"/>
              <a:ext cx="27622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(1+</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oMath>
              </a14:m>
              <a:endParaRPr lang="en-GB" sz="1400" i="1"/>
            </a:p>
          </xdr:txBody>
        </xdr:sp>
      </mc:Choice>
      <mc:Fallback xmlns="">
        <xdr:sp macro="" textlink="">
          <xdr:nvSpPr>
            <xdr:cNvPr id="6" name="TextBox 76">
              <a:extLst>
                <a:ext uri="{FF2B5EF4-FFF2-40B4-BE49-F238E27FC236}">
                  <a16:creationId xmlns:a16="http://schemas.microsoft.com/office/drawing/2014/main" id="{5F64E6B8-16BB-440C-A1FB-BCA6B83F1FAF}"/>
                </a:ext>
              </a:extLst>
            </xdr:cNvPr>
            <xdr:cNvSpPr txBox="1"/>
          </xdr:nvSpPr>
          <xdr:spPr>
            <a:xfrm>
              <a:off x="6448426" y="13077825"/>
              <a:ext cx="27622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𝑛_(𝐿2,𝐵)^𝑙𝑑</a:t>
              </a:r>
              <a:r>
                <a:rPr lang="en-GB" sz="1400" i="1"/>
                <a:t> = </a:t>
              </a:r>
              <a:r>
                <a:rPr lang="en-US" sz="1400" b="0" i="0">
                  <a:solidFill>
                    <a:schemeClr val="tx1"/>
                  </a:solidFill>
                  <a:effectLst/>
                  <a:latin typeface="Cambria Math" panose="02040503050406030204" pitchFamily="18" charset="0"/>
                  <a:ea typeface="+mn-ea"/>
                  <a:cs typeface="+mn-cs"/>
                </a:rPr>
                <a:t>𝑛_(𝐿2,𝐵)^(𝑙𝑑,𝑛𝑒𝑡 ) (1+𝑆𝑀 𝑚𝑖𝑠𝑠 𝑟𝑎𝑡𝑖𝑜)</a:t>
              </a:r>
              <a:endParaRPr lang="en-GB" sz="1400" i="1"/>
            </a:p>
          </xdr:txBody>
        </xdr:sp>
      </mc:Fallback>
    </mc:AlternateContent>
    <xdr:clientData/>
  </xdr:oneCellAnchor>
  <xdr:oneCellAnchor>
    <xdr:from>
      <xdr:col>5</xdr:col>
      <xdr:colOff>1238250</xdr:colOff>
      <xdr:row>33</xdr:row>
      <xdr:rowOff>95250</xdr:rowOff>
    </xdr:from>
    <xdr:ext cx="4810125" cy="514350"/>
    <mc:AlternateContent xmlns:mc="http://schemas.openxmlformats.org/markup-compatibility/2006" xmlns:a14="http://schemas.microsoft.com/office/drawing/2010/main">
      <mc:Choice Requires="a14">
        <xdr:sp macro="" textlink="">
          <xdr:nvSpPr>
            <xdr:cNvPr id="7" name="TextBox 76">
              <a:extLst>
                <a:ext uri="{FF2B5EF4-FFF2-40B4-BE49-F238E27FC236}">
                  <a16:creationId xmlns:a16="http://schemas.microsoft.com/office/drawing/2014/main" id="{E81A9131-9D71-43F8-A8B4-EFDEF8C40705}"/>
                </a:ext>
              </a:extLst>
            </xdr:cNvPr>
            <xdr:cNvSpPr txBox="1"/>
          </xdr:nvSpPr>
          <xdr:spPr>
            <a:xfrm>
              <a:off x="9267825" y="13068300"/>
              <a:ext cx="481012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SM</a:t>
              </a:r>
              <a14:m>
                <m:oMath xmlns:m="http://schemas.openxmlformats.org/officeDocument/2006/math">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r>
                        <a:rPr lang="en-US" sz="1400" b="0" i="1">
                          <a:solidFill>
                            <a:schemeClr val="tx1"/>
                          </a:solidFill>
                          <a:effectLst/>
                          <a:latin typeface="Cambria Math" panose="02040503050406030204" pitchFamily="18" charset="0"/>
                          <a:ea typeface="+mn-ea"/>
                          <a:cs typeface="+mn-cs"/>
                        </a:rPr>
                        <m:t>𝑜𝑐𝑐</m:t>
                      </m:r>
                      <m:r>
                        <a:rPr lang="en-US" sz="1400" b="0" i="1">
                          <a:solidFill>
                            <a:schemeClr val="tx1"/>
                          </a:solidFill>
                          <a:effectLst/>
                          <a:latin typeface="Cambria Math" panose="02040503050406030204" pitchFamily="18" charset="0"/>
                          <a:ea typeface="+mn-ea"/>
                          <a:cs typeface="+mn-cs"/>
                        </a:rPr>
                        <m:t> ∗#</m:t>
                      </m:r>
                      <m:func>
                        <m:funcPr>
                          <m:ctrlPr>
                            <a:rPr lang="en-US" sz="1400" b="0" i="1">
                              <a:solidFill>
                                <a:schemeClr val="tx1"/>
                              </a:solidFill>
                              <a:effectLst/>
                              <a:latin typeface="Cambria Math" panose="02040503050406030204" pitchFamily="18" charset="0"/>
                              <a:ea typeface="+mn-ea"/>
                              <a:cs typeface="+mn-cs"/>
                            </a:rPr>
                          </m:ctrlPr>
                        </m:funcPr>
                        <m:fName>
                          <m:r>
                            <a:rPr lang="en-US" sz="1400" b="0" i="1">
                              <a:solidFill>
                                <a:schemeClr val="tx1"/>
                              </a:solidFill>
                              <a:effectLst/>
                              <a:latin typeface="Cambria Math" panose="02040503050406030204" pitchFamily="18" charset="0"/>
                              <a:ea typeface="+mn-ea"/>
                              <a:cs typeface="+mn-cs"/>
                            </a:rPr>
                            <m:t>𝑚𝑎𝑥</m:t>
                          </m:r>
                        </m:fName>
                        <m:e>
                          <m:r>
                            <a:rPr lang="en-US" sz="1400" b="0" i="1">
                              <a:solidFill>
                                <a:schemeClr val="tx1"/>
                              </a:solidFill>
                              <a:effectLst/>
                              <a:latin typeface="Cambria Math" panose="02040503050406030204" pitchFamily="18" charset="0"/>
                              <a:ea typeface="+mn-ea"/>
                              <a:cs typeface="+mn-cs"/>
                            </a:rPr>
                            <m:t>𝑡h𝑟𝑒𝑎𝑑𝑠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𝑝𝑒𝑟</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 ∗ </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 </m:t>
                          </m:r>
                        </m:e>
                      </m:func>
                    </m:num>
                    <m:den>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𝑡h𝑟𝑒𝑎𝑑𝑠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𝑝𝑒𝑟</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𝑏𝑙𝑜𝑐𝑘</m:t>
                      </m:r>
                      <m:r>
                        <a:rPr lang="en-US" sz="1400" b="0" i="1">
                          <a:solidFill>
                            <a:schemeClr val="tx1"/>
                          </a:solidFill>
                          <a:effectLst/>
                          <a:latin typeface="Cambria Math" panose="02040503050406030204" pitchFamily="18" charset="0"/>
                          <a:ea typeface="+mn-ea"/>
                          <a:cs typeface="+mn-cs"/>
                        </a:rPr>
                        <m:t> ∗ </m:t>
                      </m:r>
                      <m:f>
                        <m:fPr>
                          <m:ctrlPr>
                            <a:rPr lang="en-US" sz="1400" b="0" i="1">
                              <a:solidFill>
                                <a:schemeClr val="tx1"/>
                              </a:solidFill>
                              <a:effectLst/>
                              <a:latin typeface="Cambria Math" panose="02040503050406030204" pitchFamily="18" charset="0"/>
                              <a:ea typeface="+mn-ea"/>
                              <a:cs typeface="+mn-cs"/>
                            </a:rPr>
                          </m:ctrlPr>
                        </m:fPr>
                        <m:num>
                          <m:r>
                            <a:rPr lang="en-US" sz="1400" b="0" i="1">
                              <a:solidFill>
                                <a:schemeClr val="tx1"/>
                              </a:solidFill>
                              <a:effectLst/>
                              <a:latin typeface="Cambria Math" panose="02040503050406030204" pitchFamily="18" charset="0"/>
                              <a:ea typeface="+mn-ea"/>
                              <a:cs typeface="+mn-cs"/>
                            </a:rPr>
                            <m:t>𝑜𝑛</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𝑠𝑡𝑜𝑟𝑎𝑔𝑒</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𝑠𝑖𝑧𝑒</m:t>
                          </m:r>
                        </m:num>
                        <m:den>
                          <m:r>
                            <a:rPr lang="en-US" sz="1400" b="0" i="1">
                              <a:solidFill>
                                <a:schemeClr val="tx1"/>
                              </a:solidFill>
                              <a:effectLst/>
                              <a:latin typeface="Cambria Math" panose="02040503050406030204" pitchFamily="18" charset="0"/>
                              <a:ea typeface="+mn-ea"/>
                              <a:cs typeface="+mn-cs"/>
                            </a:rPr>
                            <m:t>𝑝𝑟𝑒𝑐𝑖𝑠𝑖𝑜𝑛</m:t>
                          </m:r>
                        </m:den>
                      </m:f>
                      <m:r>
                        <a:rPr lang="en-US" sz="1400" b="0" i="1">
                          <a:solidFill>
                            <a:schemeClr val="tx1"/>
                          </a:solidFill>
                          <a:effectLst/>
                          <a:latin typeface="Cambria Math" panose="02040503050406030204" pitchFamily="18" charset="0"/>
                          <a:ea typeface="+mn-ea"/>
                          <a:cs typeface="+mn-cs"/>
                        </a:rPr>
                        <m:t> </m:t>
                      </m:r>
                    </m:den>
                  </m:f>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𝑑𝑒𝑙𝑡𝑎</m:t>
                  </m:r>
                </m:oMath>
              </a14:m>
              <a:endParaRPr lang="en-GB" sz="1400" i="1"/>
            </a:p>
          </xdr:txBody>
        </xdr:sp>
      </mc:Choice>
      <mc:Fallback xmlns="">
        <xdr:sp macro="" textlink="">
          <xdr:nvSpPr>
            <xdr:cNvPr id="7" name="TextBox 76">
              <a:extLst>
                <a:ext uri="{FF2B5EF4-FFF2-40B4-BE49-F238E27FC236}">
                  <a16:creationId xmlns:a16="http://schemas.microsoft.com/office/drawing/2014/main" id="{E81A9131-9D71-43F8-A8B4-EFDEF8C40705}"/>
                </a:ext>
              </a:extLst>
            </xdr:cNvPr>
            <xdr:cNvSpPr txBox="1"/>
          </xdr:nvSpPr>
          <xdr:spPr>
            <a:xfrm>
              <a:off x="9267825" y="13068300"/>
              <a:ext cx="481012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SM</a:t>
              </a:r>
              <a:r>
                <a:rPr lang="en-US" sz="1400" b="0" i="0">
                  <a:solidFill>
                    <a:schemeClr val="tx1"/>
                  </a:solidFill>
                  <a:effectLst/>
                  <a:latin typeface="Cambria Math" panose="02040503050406030204" pitchFamily="18" charset="0"/>
                  <a:ea typeface="+mn-ea"/>
                  <a:cs typeface="+mn-cs"/>
                </a:rPr>
                <a:t> 𝑚𝑖𝑠𝑠 𝑟𝑎𝑡𝑖𝑜=(𝑜𝑐𝑐 ∗#𝑚𝑎𝑥⁡〖𝑡ℎ𝑟𝑒𝑎𝑑𝑠 𝑝𝑒𝑟 𝑆𝑀 ∗ 𝑛_(𝐿2,𝐵)^(𝑙𝑑,𝑛𝑒𝑡 )  〗)/(# 𝑡ℎ𝑟𝑒𝑎𝑑𝑠 𝑝𝑒𝑟 𝑏𝑙𝑜𝑐𝑘 ∗ (𝑜𝑛−𝑆𝑀−𝑠𝑡𝑜𝑟𝑎𝑔𝑒−𝑠𝑖𝑧𝑒)/𝑝𝑟𝑒𝑐𝑖𝑠𝑖𝑜𝑛  )  ∗𝑑𝑒𝑙𝑡𝑎</a:t>
              </a:r>
              <a:endParaRPr lang="en-GB" sz="1400" i="1"/>
            </a:p>
          </xdr:txBody>
        </xdr:sp>
      </mc:Fallback>
    </mc:AlternateContent>
    <xdr:clientData/>
  </xdr:oneCellAnchor>
  <xdr:oneCellAnchor>
    <xdr:from>
      <xdr:col>1</xdr:col>
      <xdr:colOff>9525</xdr:colOff>
      <xdr:row>42</xdr:row>
      <xdr:rowOff>85725</xdr:rowOff>
    </xdr:from>
    <xdr:ext cx="3981450" cy="381000"/>
    <mc:AlternateContent xmlns:mc="http://schemas.openxmlformats.org/markup-compatibility/2006" xmlns:a14="http://schemas.microsoft.com/office/drawing/2010/main">
      <mc:Choice Requires="a14">
        <xdr:sp macro="" textlink="">
          <xdr:nvSpPr>
            <xdr:cNvPr id="8" name="TextBox 76">
              <a:extLst>
                <a:ext uri="{FF2B5EF4-FFF2-40B4-BE49-F238E27FC236}">
                  <a16:creationId xmlns:a16="http://schemas.microsoft.com/office/drawing/2014/main" id="{916B1E36-7CFE-4927-822D-88557D39C78C}"/>
                </a:ext>
              </a:extLst>
            </xdr:cNvPr>
            <xdr:cNvSpPr txBox="1"/>
          </xdr:nvSpPr>
          <xdr:spPr>
            <a:xfrm>
              <a:off x="2286000" y="16059150"/>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𝐺𝑀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𝑔𝑟𝑜𝑢𝑝𝑠</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𝐺𝑀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𝐺</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8" name="TextBox 76">
              <a:extLst>
                <a:ext uri="{FF2B5EF4-FFF2-40B4-BE49-F238E27FC236}">
                  <a16:creationId xmlns:a16="http://schemas.microsoft.com/office/drawing/2014/main" id="{916B1E36-7CFE-4927-822D-88557D39C78C}"/>
                </a:ext>
              </a:extLst>
            </xdr:cNvPr>
            <xdr:cNvSpPr txBox="1"/>
          </xdr:nvSpPr>
          <xdr:spPr>
            <a:xfrm>
              <a:off x="2286000" y="16059150"/>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𝑉_𝐺𝑀 (GB)=#𝑔𝑟𝑜𝑢𝑝𝑠∗(𝑛_(𝐺𝑀,𝐺)^𝑙𝑑+</a:t>
              </a:r>
              <a:r>
                <a:rPr lang="en-US" sz="1400" b="0" i="0">
                  <a:solidFill>
                    <a:schemeClr val="tx1"/>
                  </a:solidFill>
                  <a:effectLst/>
                  <a:latin typeface="Cambria Math" panose="02040503050406030204" pitchFamily="18" charset="0"/>
                  <a:ea typeface="+mn-ea"/>
                  <a:cs typeface="+mn-cs"/>
                </a:rPr>
                <a:t>𝑛_(𝐺𝑀,𝐺)^𝑠𝑡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3</xdr:col>
      <xdr:colOff>1038225</xdr:colOff>
      <xdr:row>42</xdr:row>
      <xdr:rowOff>66675</xdr:rowOff>
    </xdr:from>
    <xdr:ext cx="2724150" cy="409576"/>
    <mc:AlternateContent xmlns:mc="http://schemas.openxmlformats.org/markup-compatibility/2006" xmlns:a14="http://schemas.microsoft.com/office/drawing/2010/main">
      <mc:Choice Requires="a14">
        <xdr:sp macro="" textlink="">
          <xdr:nvSpPr>
            <xdr:cNvPr id="9" name="TextBox 76">
              <a:extLst>
                <a:ext uri="{FF2B5EF4-FFF2-40B4-BE49-F238E27FC236}">
                  <a16:creationId xmlns:a16="http://schemas.microsoft.com/office/drawing/2014/main" id="{5C86EB2F-4E64-485C-B73B-396EE10AAD66}"/>
                </a:ext>
              </a:extLst>
            </xdr:cNvPr>
            <xdr:cNvSpPr txBox="1"/>
          </xdr:nvSpPr>
          <xdr:spPr>
            <a:xfrm>
              <a:off x="6105525" y="16040100"/>
              <a:ext cx="27241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(1+</m:t>
                  </m:r>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oMath>
              </a14:m>
              <a:endParaRPr lang="en-GB" sz="1400" i="1"/>
            </a:p>
          </xdr:txBody>
        </xdr:sp>
      </mc:Choice>
      <mc:Fallback xmlns="">
        <xdr:sp macro="" textlink="">
          <xdr:nvSpPr>
            <xdr:cNvPr id="9" name="TextBox 76">
              <a:extLst>
                <a:ext uri="{FF2B5EF4-FFF2-40B4-BE49-F238E27FC236}">
                  <a16:creationId xmlns:a16="http://schemas.microsoft.com/office/drawing/2014/main" id="{5C86EB2F-4E64-485C-B73B-396EE10AAD66}"/>
                </a:ext>
              </a:extLst>
            </xdr:cNvPr>
            <xdr:cNvSpPr txBox="1"/>
          </xdr:nvSpPr>
          <xdr:spPr>
            <a:xfrm>
              <a:off x="6105525" y="16040100"/>
              <a:ext cx="27241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𝑛_(𝐺𝑀,𝐺)^𝑙𝑑</a:t>
              </a:r>
              <a:r>
                <a:rPr lang="en-GB" sz="1400" i="1"/>
                <a:t> = </a:t>
              </a:r>
              <a:r>
                <a:rPr lang="en-US" sz="1400" b="0" i="0">
                  <a:solidFill>
                    <a:schemeClr val="tx1"/>
                  </a:solidFill>
                  <a:effectLst/>
                  <a:latin typeface="Cambria Math" panose="02040503050406030204" pitchFamily="18" charset="0"/>
                  <a:ea typeface="+mn-ea"/>
                  <a:cs typeface="+mn-cs"/>
                </a:rPr>
                <a:t>𝑛_(𝐺𝑀,𝐺)^(𝑙𝑑,𝑛𝑒𝑡 ) (1+𝐿2 𝑚𝑖𝑠𝑠 𝑟𝑎𝑡𝑖𝑜)</a:t>
              </a:r>
              <a:endParaRPr lang="en-GB" sz="1400" i="1"/>
            </a:p>
          </xdr:txBody>
        </xdr:sp>
      </mc:Fallback>
    </mc:AlternateContent>
    <xdr:clientData/>
  </xdr:oneCellAnchor>
  <xdr:oneCellAnchor>
    <xdr:from>
      <xdr:col>5</xdr:col>
      <xdr:colOff>771525</xdr:colOff>
      <xdr:row>42</xdr:row>
      <xdr:rowOff>28575</xdr:rowOff>
    </xdr:from>
    <xdr:ext cx="3333750" cy="514350"/>
    <mc:AlternateContent xmlns:mc="http://schemas.openxmlformats.org/markup-compatibility/2006" xmlns:a14="http://schemas.microsoft.com/office/drawing/2010/main">
      <mc:Choice Requires="a14">
        <xdr:sp macro="" textlink="">
          <xdr:nvSpPr>
            <xdr:cNvPr id="10" name="TextBox 76">
              <a:extLst>
                <a:ext uri="{FF2B5EF4-FFF2-40B4-BE49-F238E27FC236}">
                  <a16:creationId xmlns:a16="http://schemas.microsoft.com/office/drawing/2014/main" id="{573DE8D3-C266-460A-9023-36D806DEF652}"/>
                </a:ext>
              </a:extLst>
            </xdr:cNvPr>
            <xdr:cNvSpPr txBox="1"/>
          </xdr:nvSpPr>
          <xdr:spPr>
            <a:xfrm>
              <a:off x="8801100" y="16002000"/>
              <a:ext cx="3333750"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 ∗ </m:t>
                      </m:r>
                      <m:r>
                        <a:rPr lang="en-US" sz="1400" b="0" i="1">
                          <a:solidFill>
                            <a:schemeClr val="tx1"/>
                          </a:solidFill>
                          <a:effectLst/>
                          <a:latin typeface="Cambria Math" panose="02040503050406030204" pitchFamily="18" charset="0"/>
                          <a:ea typeface="+mn-ea"/>
                          <a:cs typeface="+mn-cs"/>
                        </a:rPr>
                        <m:t>𝑝𝑟𝑒𝑐𝑖𝑠𝑖𝑜𝑛</m:t>
                      </m:r>
                    </m:num>
                    <m:den>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𝑐𝑎𝑐h𝑒</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𝑠𝑖𝑧𝑒</m:t>
                      </m:r>
                    </m:den>
                  </m:f>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𝑒𝑝𝑠𝑖𝑙𝑜𝑛</m:t>
                  </m:r>
                </m:oMath>
              </a14:m>
              <a:endParaRPr lang="en-GB" sz="1400" i="1"/>
            </a:p>
          </xdr:txBody>
        </xdr:sp>
      </mc:Choice>
      <mc:Fallback xmlns="">
        <xdr:sp macro="" textlink="">
          <xdr:nvSpPr>
            <xdr:cNvPr id="10" name="TextBox 76">
              <a:extLst>
                <a:ext uri="{FF2B5EF4-FFF2-40B4-BE49-F238E27FC236}">
                  <a16:creationId xmlns:a16="http://schemas.microsoft.com/office/drawing/2014/main" id="{573DE8D3-C266-460A-9023-36D806DEF652}"/>
                </a:ext>
              </a:extLst>
            </xdr:cNvPr>
            <xdr:cNvSpPr txBox="1"/>
          </xdr:nvSpPr>
          <xdr:spPr>
            <a:xfrm>
              <a:off x="8801100" y="16002000"/>
              <a:ext cx="3333750"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𝐿2 𝑚𝑖𝑠𝑠 𝑟𝑎𝑡𝑖𝑜=(𝑛_(𝐺𝑀,𝐺)^(𝑙𝑑,𝑛𝑒𝑡 )  ∗ 𝑝𝑟𝑒𝑐𝑖𝑠𝑖𝑜𝑛)/(𝐿2 𝑐𝑎𝑐ℎ𝑒 𝑠𝑖𝑧𝑒)  ∗𝑒𝑝𝑠𝑖𝑙𝑜𝑛</a:t>
              </a:r>
              <a:endParaRPr lang="en-GB" sz="1400" i="1"/>
            </a:p>
          </xdr:txBody>
        </xdr:sp>
      </mc:Fallback>
    </mc:AlternateContent>
    <xdr:clientData/>
  </xdr:oneCellAnchor>
  <xdr:oneCellAnchor>
    <xdr:from>
      <xdr:col>7</xdr:col>
      <xdr:colOff>1285876</xdr:colOff>
      <xdr:row>42</xdr:row>
      <xdr:rowOff>57150</xdr:rowOff>
    </xdr:from>
    <xdr:ext cx="2724150" cy="489857"/>
    <mc:AlternateContent xmlns:mc="http://schemas.openxmlformats.org/markup-compatibility/2006" xmlns:a14="http://schemas.microsoft.com/office/drawing/2010/main">
      <mc:Choice Requires="a14">
        <xdr:sp macro="" textlink="">
          <xdr:nvSpPr>
            <xdr:cNvPr id="11" name="TextBox 76">
              <a:extLst>
                <a:ext uri="{FF2B5EF4-FFF2-40B4-BE49-F238E27FC236}">
                  <a16:creationId xmlns:a16="http://schemas.microsoft.com/office/drawing/2014/main" id="{37F57416-5F09-47E4-AB56-02D61C64D5B9}"/>
                </a:ext>
              </a:extLst>
            </xdr:cNvPr>
            <xdr:cNvSpPr txBox="1"/>
          </xdr:nvSpPr>
          <xdr:spPr>
            <a:xfrm>
              <a:off x="12153901" y="16030575"/>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num>
                    <m:den>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𝑔𝑟𝑜𝑢𝑝</m:t>
                      </m:r>
                    </m:den>
                  </m:f>
                </m:oMath>
              </a14:m>
              <a:r>
                <a:rPr lang="en-GB" sz="1400" i="1">
                  <a:latin typeface="Gill Sans MT" panose="020B0502020104020203" pitchFamily="34" charset="0"/>
                </a:rPr>
                <a:t> </a:t>
              </a:r>
            </a:p>
          </xdr:txBody>
        </xdr:sp>
      </mc:Choice>
      <mc:Fallback xmlns="">
        <xdr:sp macro="" textlink="">
          <xdr:nvSpPr>
            <xdr:cNvPr id="11" name="TextBox 76">
              <a:extLst>
                <a:ext uri="{FF2B5EF4-FFF2-40B4-BE49-F238E27FC236}">
                  <a16:creationId xmlns:a16="http://schemas.microsoft.com/office/drawing/2014/main" id="{37F57416-5F09-47E4-AB56-02D61C64D5B9}"/>
                </a:ext>
              </a:extLst>
            </xdr:cNvPr>
            <xdr:cNvSpPr txBox="1"/>
          </xdr:nvSpPr>
          <xdr:spPr>
            <a:xfrm>
              <a:off x="12153901" y="16030575"/>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r>
                <a:rPr lang="en-US" sz="1400" b="0" i="0">
                  <a:solidFill>
                    <a:sysClr val="windowText" lastClr="000000"/>
                  </a:solidFill>
                  <a:latin typeface="Cambria Math" panose="02040503050406030204" pitchFamily="18" charset="0"/>
                </a:rPr>
                <a:t>(# 𝑡ℎ𝑟𝑒𝑎𝑑 𝑏𝑙𝑜𝑐𝑘𝑠)/(# 𝑡ℎ𝑟𝑒𝑎𝑑 𝑏𝑙𝑜𝑐𝑘𝑠 𝑝𝑒𝑟 𝑔𝑟𝑜𝑢𝑝)</a:t>
              </a:r>
              <a:r>
                <a:rPr lang="en-GB" sz="1400" i="1">
                  <a:latin typeface="Gill Sans MT" panose="020B0502020104020203" pitchFamily="34" charset="0"/>
                </a:rPr>
                <a:t> </a:t>
              </a:r>
            </a:p>
          </xdr:txBody>
        </xdr:sp>
      </mc:Fallback>
    </mc:AlternateContent>
    <xdr:clientData/>
  </xdr:oneCellAnchor>
  <xdr:oneCellAnchor>
    <xdr:from>
      <xdr:col>9</xdr:col>
      <xdr:colOff>676275</xdr:colOff>
      <xdr:row>42</xdr:row>
      <xdr:rowOff>57150</xdr:rowOff>
    </xdr:from>
    <xdr:ext cx="4733924" cy="489857"/>
    <mc:AlternateContent xmlns:mc="http://schemas.openxmlformats.org/markup-compatibility/2006" xmlns:a14="http://schemas.microsoft.com/office/drawing/2010/main">
      <mc:Choice Requires="a14">
        <xdr:sp macro="" textlink="">
          <xdr:nvSpPr>
            <xdr:cNvPr id="18" name="TextBox 76">
              <a:extLst>
                <a:ext uri="{FF2B5EF4-FFF2-40B4-BE49-F238E27FC236}">
                  <a16:creationId xmlns:a16="http://schemas.microsoft.com/office/drawing/2014/main" id="{5CAD0F77-EB5B-437E-A7C7-2FCA365F07D2}"/>
                </a:ext>
              </a:extLst>
            </xdr:cNvPr>
            <xdr:cNvSpPr txBox="1"/>
          </xdr:nvSpPr>
          <xdr:spPr>
            <a:xfrm>
              <a:off x="14820900" y="13030200"/>
              <a:ext cx="4733924"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14:m>
                <m:oMath xmlns:m="http://schemas.openxmlformats.org/officeDocument/2006/math">
                  <m:sSubSup>
                    <m:sSubSupPr>
                      <m:ctrlPr>
                        <a:rPr lang="en-US" sz="1100" b="0" i="1">
                          <a:solidFill>
                            <a:schemeClr val="tx1"/>
                          </a:solidFill>
                          <a:effectLst/>
                          <a:latin typeface="Cambria Math" panose="02040503050406030204" pitchFamily="18" charset="0"/>
                          <a:ea typeface="+mn-ea"/>
                          <a:cs typeface="+mn-cs"/>
                        </a:rPr>
                      </m:ctrlPr>
                    </m:sSubSupPr>
                    <m:e>
                      <m:r>
                        <a:rPr lang="en-US" sz="1100" b="0" i="1">
                          <a:solidFill>
                            <a:schemeClr val="tx1"/>
                          </a:solidFill>
                          <a:effectLst/>
                          <a:latin typeface="Cambria Math" panose="02040503050406030204" pitchFamily="18" charset="0"/>
                          <a:ea typeface="+mn-ea"/>
                          <a:cs typeface="+mn-cs"/>
                        </a:rPr>
                        <m:t>𝑛</m:t>
                      </m:r>
                    </m:e>
                    <m:sub>
                      <m:r>
                        <a:rPr lang="en-US" sz="1100" b="0" i="1">
                          <a:solidFill>
                            <a:schemeClr val="tx1"/>
                          </a:solidFill>
                          <a:effectLst/>
                          <a:latin typeface="Cambria Math" panose="02040503050406030204" pitchFamily="18" charset="0"/>
                          <a:ea typeface="+mn-ea"/>
                          <a:cs typeface="+mn-cs"/>
                        </a:rPr>
                        <m:t>𝐺𝑀</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𝐺</m:t>
                      </m:r>
                    </m:sub>
                    <m:sup>
                      <m:r>
                        <a:rPr lang="en-US" sz="1100" b="0" i="1">
                          <a:solidFill>
                            <a:schemeClr val="tx1"/>
                          </a:solidFill>
                          <a:effectLst/>
                          <a:latin typeface="Cambria Math" panose="02040503050406030204" pitchFamily="18" charset="0"/>
                          <a:ea typeface="+mn-ea"/>
                          <a:cs typeface="+mn-cs"/>
                        </a:rPr>
                        <m:t>𝑙𝑑</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𝑛𝑒𝑡</m:t>
                      </m:r>
                      <m:r>
                        <a:rPr lang="en-US" sz="1100" b="0" i="1">
                          <a:solidFill>
                            <a:schemeClr val="tx1"/>
                          </a:solidFill>
                          <a:effectLst/>
                          <a:latin typeface="Cambria Math" panose="02040503050406030204" pitchFamily="18" charset="0"/>
                          <a:ea typeface="+mn-ea"/>
                          <a:cs typeface="+mn-cs"/>
                        </a:rPr>
                        <m:t> </m:t>
                      </m:r>
                    </m:sup>
                  </m:sSubSup>
                </m:oMath>
              </a14:m>
              <a:r>
                <a:rPr lang="en-US" sz="1400" b="0" baseline="0">
                  <a:solidFill>
                    <a:sysClr val="windowText" lastClr="000000"/>
                  </a:solidFill>
                  <a:latin typeface="Gill Sans MT" panose="020B0502020104020203" pitchFamily="34" charset="0"/>
                </a:rPr>
                <a:t> = (</a:t>
              </a:r>
              <a:r>
                <a:rPr lang="en-US" sz="1400" b="0" i="1" baseline="0">
                  <a:solidFill>
                    <a:sysClr val="windowText" lastClr="000000"/>
                  </a:solidFill>
                  <a:latin typeface="+mj-lt"/>
                </a:rPr>
                <a:t>N_x+</a:t>
              </a:r>
              <a:r>
                <a:rPr lang="en-US" sz="1400" b="0" baseline="0">
                  <a:solidFill>
                    <a:sysClr val="windowText" lastClr="000000"/>
                  </a:solidFill>
                  <a:latin typeface="Gill Sans MT" panose="020B0502020104020203" pitchFamily="34" charset="0"/>
                </a:rPr>
                <a:t>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r>
                        <a:rPr lang="en-US" sz="1400" b="0" i="1">
                          <a:solidFill>
                            <a:sysClr val="windowText" lastClr="000000"/>
                          </a:solidFill>
                          <a:latin typeface="Cambria Math" panose="02040503050406030204" pitchFamily="18" charset="0"/>
                        </a:rPr>
                        <m:t>𝑐𝑎𝑐h𝑒</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𝑙𝑖𝑛𝑒</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𝑠𝑖𝑧𝑒</m:t>
                      </m:r>
                    </m:num>
                    <m:den>
                      <m:r>
                        <a:rPr lang="en-US" sz="1400" b="0" i="1">
                          <a:solidFill>
                            <a:sysClr val="windowText" lastClr="000000"/>
                          </a:solidFill>
                          <a:latin typeface="Cambria Math" panose="02040503050406030204" pitchFamily="18" charset="0"/>
                        </a:rPr>
                        <m:t>𝑝𝑟𝑒𝑐𝑒𝑠𝑖𝑜𝑛</m:t>
                      </m:r>
                    </m:den>
                  </m:f>
                </m:oMath>
              </a14:m>
              <a:r>
                <a:rPr lang="en-GB" sz="1400" i="1">
                  <a:latin typeface="Gill Sans MT" panose="020B0502020104020203" pitchFamily="34" charset="0"/>
                </a:rPr>
                <a:t> * </a:t>
              </a:r>
              <a:r>
                <a:rPr lang="en-GB" sz="1400" i="0">
                  <a:latin typeface="+mj-lt"/>
                </a:rPr>
                <a:t>2) x width_y x height_z</a:t>
              </a:r>
            </a:p>
          </xdr:txBody>
        </xdr:sp>
      </mc:Choice>
      <mc:Fallback xmlns="">
        <xdr:sp macro="" textlink="">
          <xdr:nvSpPr>
            <xdr:cNvPr id="18" name="TextBox 76">
              <a:extLst>
                <a:ext uri="{FF2B5EF4-FFF2-40B4-BE49-F238E27FC236}">
                  <a16:creationId xmlns:a16="http://schemas.microsoft.com/office/drawing/2014/main" id="{5CAD0F77-EB5B-437E-A7C7-2FCA365F07D2}"/>
                </a:ext>
              </a:extLst>
            </xdr:cNvPr>
            <xdr:cNvSpPr txBox="1"/>
          </xdr:nvSpPr>
          <xdr:spPr>
            <a:xfrm>
              <a:off x="14820900" y="13030200"/>
              <a:ext cx="4733924"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100" b="0" i="0">
                  <a:solidFill>
                    <a:schemeClr val="tx1"/>
                  </a:solidFill>
                  <a:effectLst/>
                  <a:latin typeface="Cambria Math" panose="02040503050406030204" pitchFamily="18" charset="0"/>
                  <a:ea typeface="+mn-ea"/>
                  <a:cs typeface="+mn-cs"/>
                </a:rPr>
                <a:t>𝑛_(𝐺𝑀,𝐺)^(𝑙𝑑,𝑛𝑒𝑡 )</a:t>
              </a:r>
              <a:r>
                <a:rPr lang="en-US" sz="1400" b="0" baseline="0">
                  <a:solidFill>
                    <a:sysClr val="windowText" lastClr="000000"/>
                  </a:solidFill>
                  <a:latin typeface="Gill Sans MT" panose="020B0502020104020203" pitchFamily="34" charset="0"/>
                </a:rPr>
                <a:t> = (</a:t>
              </a:r>
              <a:r>
                <a:rPr lang="en-US" sz="1400" b="0" i="1" baseline="0">
                  <a:solidFill>
                    <a:sysClr val="windowText" lastClr="000000"/>
                  </a:solidFill>
                  <a:latin typeface="+mj-lt"/>
                </a:rPr>
                <a:t>N_x+</a:t>
              </a:r>
              <a:r>
                <a:rPr lang="en-US" sz="1400" b="0" baseline="0">
                  <a:solidFill>
                    <a:sysClr val="windowText" lastClr="000000"/>
                  </a:solidFill>
                  <a:latin typeface="Gill Sans MT" panose="020B0502020104020203" pitchFamily="34" charset="0"/>
                </a:rPr>
                <a:t> </a:t>
              </a:r>
              <a:r>
                <a:rPr lang="en-US" sz="1400" b="0" i="0">
                  <a:solidFill>
                    <a:sysClr val="windowText" lastClr="000000"/>
                  </a:solidFill>
                  <a:latin typeface="Cambria Math" panose="02040503050406030204" pitchFamily="18" charset="0"/>
                </a:rPr>
                <a:t>(# 𝐿2−𝑐𝑎𝑐ℎ𝑒−𝑙𝑖𝑛𝑒−𝑠𝑖𝑧𝑒)/𝑝𝑟𝑒𝑐𝑒𝑠𝑖𝑜𝑛</a:t>
              </a:r>
              <a:r>
                <a:rPr lang="en-GB" sz="1400" i="1">
                  <a:latin typeface="Gill Sans MT" panose="020B0502020104020203" pitchFamily="34" charset="0"/>
                </a:rPr>
                <a:t> * </a:t>
              </a:r>
              <a:r>
                <a:rPr lang="en-GB" sz="1400" i="0">
                  <a:latin typeface="+mj-lt"/>
                </a:rPr>
                <a:t>2) x width_y x height_z</a:t>
              </a:r>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1</xdr:col>
      <xdr:colOff>57150</xdr:colOff>
      <xdr:row>10</xdr:row>
      <xdr:rowOff>85725</xdr:rowOff>
    </xdr:from>
    <xdr:ext cx="4018643" cy="489857"/>
    <mc:AlternateContent xmlns:mc="http://schemas.openxmlformats.org/markup-compatibility/2006" xmlns:a14="http://schemas.microsoft.com/office/drawing/2010/main">
      <mc:Choice Requires="a14">
        <xdr:sp macro="" textlink="">
          <xdr:nvSpPr>
            <xdr:cNvPr id="2" name="TextBox 76">
              <a:extLst>
                <a:ext uri="{FF2B5EF4-FFF2-40B4-BE49-F238E27FC236}">
                  <a16:creationId xmlns:a16="http://schemas.microsoft.com/office/drawing/2014/main" id="{2F45F42E-3B6A-428F-9E7A-705B857372AD}"/>
                </a:ext>
              </a:extLst>
            </xdr:cNvPr>
            <xdr:cNvSpPr txBox="1"/>
          </xdr:nvSpPr>
          <xdr:spPr>
            <a:xfrm>
              <a:off x="2333625" y="3276600"/>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𝑇</m:t>
                      </m:r>
                    </m:e>
                    <m:sub>
                      <m:r>
                        <m:rPr>
                          <m:sty m:val="p"/>
                        </m:rPr>
                        <a:rPr lang="en-US" sz="1400" b="0" i="0">
                          <a:solidFill>
                            <a:sysClr val="windowText" lastClr="000000"/>
                          </a:solidFill>
                          <a:latin typeface="Cambria Math" panose="02040503050406030204" pitchFamily="18" charset="0"/>
                        </a:rPr>
                        <m:t>mem</m:t>
                      </m:r>
                    </m:sub>
                  </m:sSub>
                  <m:r>
                    <a:rPr lang="en-US" sz="1400" b="0" i="1">
                      <a:solidFill>
                        <a:sysClr val="windowText" lastClr="000000"/>
                      </a:solidFill>
                      <a:latin typeface="Cambria Math" panose="02040503050406030204" pitchFamily="18" charset="0"/>
                    </a:rPr>
                    <m:t>(</m:t>
                  </m:r>
                  <m:r>
                    <m:rPr>
                      <m:sty m:val="p"/>
                    </m:rPr>
                    <a:rPr lang="en-US" sz="1400" b="0" i="0">
                      <a:solidFill>
                        <a:sysClr val="windowText" lastClr="000000"/>
                      </a:solidFill>
                      <a:latin typeface="Cambria Math" panose="02040503050406030204" pitchFamily="18" charset="0"/>
                    </a:rPr>
                    <m:t>sec</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𝑀𝐴𝑋</m:t>
                  </m:r>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𝐺𝑀</m:t>
                          </m:r>
                        </m:sub>
                      </m:sSub>
                    </m:num>
                    <m:den>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𝐵𝑊</m:t>
                          </m:r>
                        </m:e>
                        <m:sub>
                          <m:r>
                            <a:rPr lang="en-US" sz="1400" b="0" i="1">
                              <a:solidFill>
                                <a:sysClr val="windowText" lastClr="000000"/>
                              </a:solidFill>
                              <a:latin typeface="Cambria Math" panose="02040503050406030204" pitchFamily="18" charset="0"/>
                            </a:rPr>
                            <m:t>𝐺𝑀</m:t>
                          </m:r>
                        </m:sub>
                      </m:sSub>
                    </m:den>
                  </m:f>
                  <m:r>
                    <a:rPr lang="en-US" sz="1400" b="0" i="1">
                      <a:solidFill>
                        <a:sysClr val="windowText" lastClr="000000"/>
                      </a:solidFill>
                      <a:latin typeface="Cambria Math" panose="02040503050406030204" pitchFamily="18" charset="0"/>
                    </a:rPr>
                    <m:t>,</m:t>
                  </m:r>
                  <m:f>
                    <m:fPr>
                      <m:ctrlPr>
                        <a:rPr lang="en-US" sz="1400" b="0" i="1">
                          <a:solidFill>
                            <a:schemeClr val="tx1"/>
                          </a:solidFill>
                          <a:effectLst/>
                          <a:latin typeface="Cambria Math" panose="02040503050406030204" pitchFamily="18" charset="0"/>
                          <a:ea typeface="+mn-ea"/>
                          <a:cs typeface="+mn-cs"/>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sub>
                      </m:sSub>
                    </m:num>
                    <m:den>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𝐵𝑊</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sub>
                      </m:sSub>
                    </m:den>
                  </m:f>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𝑉</m:t>
                          </m:r>
                        </m:e>
                        <m:sub>
                          <m:r>
                            <a:rPr lang="en-US" sz="1400" b="0" i="1">
                              <a:solidFill>
                                <a:schemeClr val="tx1"/>
                              </a:solidFill>
                              <a:effectLst/>
                              <a:latin typeface="Cambria Math" panose="02040503050406030204" pitchFamily="18" charset="0"/>
                              <a:ea typeface="+mn-ea"/>
                              <a:cs typeface="+mn-cs"/>
                            </a:rPr>
                            <m:t>𝑆𝑀</m:t>
                          </m:r>
                        </m:sub>
                      </m:sSub>
                    </m:num>
                    <m:den>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𝐵𝑊</m:t>
                          </m:r>
                        </m:e>
                        <m:sub>
                          <m:r>
                            <a:rPr lang="en-US" sz="1400" b="0" i="1">
                              <a:solidFill>
                                <a:schemeClr val="tx1"/>
                              </a:solidFill>
                              <a:effectLst/>
                              <a:latin typeface="Cambria Math" panose="02040503050406030204" pitchFamily="18" charset="0"/>
                              <a:ea typeface="+mn-ea"/>
                              <a:cs typeface="+mn-cs"/>
                            </a:rPr>
                            <m:t>𝑆𝑀</m:t>
                          </m:r>
                        </m:sub>
                      </m:sSub>
                    </m:den>
                  </m:f>
                  <m:r>
                    <a:rPr lang="en-US" sz="1400" b="0" i="1">
                      <a:solidFill>
                        <a:sysClr val="windowText" lastClr="000000"/>
                      </a:solidFill>
                      <a:latin typeface="Cambria Math" panose="02040503050406030204" pitchFamily="18" charset="0"/>
                    </a:rPr>
                    <m:t>)</m:t>
                  </m:r>
                </m:oMath>
              </a14:m>
              <a:r>
                <a:rPr lang="en-GB" sz="1400" i="1"/>
                <a:t>  </a:t>
              </a:r>
            </a:p>
          </xdr:txBody>
        </xdr:sp>
      </mc:Choice>
      <mc:Fallback xmlns="">
        <xdr:sp macro="" textlink="">
          <xdr:nvSpPr>
            <xdr:cNvPr id="2" name="TextBox 76">
              <a:extLst>
                <a:ext uri="{FF2B5EF4-FFF2-40B4-BE49-F238E27FC236}">
                  <a16:creationId xmlns:a16="http://schemas.microsoft.com/office/drawing/2014/main" id="{2F45F42E-3B6A-428F-9E7A-705B857372AD}"/>
                </a:ext>
              </a:extLst>
            </xdr:cNvPr>
            <xdr:cNvSpPr txBox="1"/>
          </xdr:nvSpPr>
          <xdr:spPr>
            <a:xfrm>
              <a:off x="2333625" y="3276600"/>
              <a:ext cx="4018643"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𝑇_mem (sec)=𝑀𝐴𝑋(</a:t>
              </a:r>
              <a:r>
                <a:rPr lang="en-US" sz="1400" b="0" i="0">
                  <a:solidFill>
                    <a:schemeClr val="tx1"/>
                  </a:solidFill>
                  <a:effectLst/>
                  <a:latin typeface="Cambria Math" panose="02040503050406030204" pitchFamily="18" charset="0"/>
                  <a:ea typeface="+mn-ea"/>
                  <a:cs typeface="+mn-cs"/>
                </a:rPr>
                <a:t>𝑉_𝐺𝑀</a:t>
              </a:r>
              <a:r>
                <a:rPr lang="en-US" sz="1400" b="0" i="0">
                  <a:solidFill>
                    <a:sysClr val="windowText" lastClr="000000"/>
                  </a:solidFill>
                  <a:effectLst/>
                  <a:latin typeface="Cambria Math" panose="02040503050406030204" pitchFamily="18" charset="0"/>
                  <a:ea typeface="+mn-ea"/>
                  <a:cs typeface="+mn-cs"/>
                </a:rPr>
                <a:t>/〖</a:t>
              </a:r>
              <a:r>
                <a:rPr lang="en-US" sz="1400" b="0" i="0">
                  <a:solidFill>
                    <a:sysClr val="windowText" lastClr="000000"/>
                  </a:solidFill>
                  <a:latin typeface="Cambria Math" panose="02040503050406030204" pitchFamily="18" charset="0"/>
                </a:rPr>
                <a:t>𝐵𝑊〗_𝐺𝑀 ,</a:t>
              </a:r>
              <a:r>
                <a:rPr lang="en-US" sz="1400" b="0" i="0">
                  <a:solidFill>
                    <a:schemeClr val="tx1"/>
                  </a:solidFill>
                  <a:effectLst/>
                  <a:latin typeface="Cambria Math" panose="02040503050406030204" pitchFamily="18" charset="0"/>
                  <a:ea typeface="+mn-ea"/>
                  <a:cs typeface="+mn-cs"/>
                </a:rPr>
                <a:t>𝑉_𝐿2/〖𝐵𝑊〗_𝐿2 ,𝑉_𝑆𝑀/〖𝐵𝑊〗_𝑆𝑀 </a:t>
              </a:r>
              <a:r>
                <a:rPr lang="en-US" sz="1400" b="0" i="0">
                  <a:solidFill>
                    <a:sysClr val="windowText" lastClr="000000"/>
                  </a:solidFill>
                  <a:latin typeface="Cambria Math" panose="02040503050406030204" pitchFamily="18" charset="0"/>
                </a:rPr>
                <a:t>)</a:t>
              </a:r>
              <a:r>
                <a:rPr lang="en-GB" sz="1400" i="1"/>
                <a:t>  </a:t>
              </a:r>
            </a:p>
          </xdr:txBody>
        </xdr:sp>
      </mc:Fallback>
    </mc:AlternateContent>
    <xdr:clientData/>
  </xdr:oneCellAnchor>
  <xdr:oneCellAnchor>
    <xdr:from>
      <xdr:col>1</xdr:col>
      <xdr:colOff>0</xdr:colOff>
      <xdr:row>33</xdr:row>
      <xdr:rowOff>95250</xdr:rowOff>
    </xdr:from>
    <xdr:ext cx="4686300" cy="489857"/>
    <mc:AlternateContent xmlns:mc="http://schemas.openxmlformats.org/markup-compatibility/2006" xmlns:a14="http://schemas.microsoft.com/office/drawing/2010/main">
      <mc:Choice Requires="a14">
        <xdr:sp macro="" textlink="">
          <xdr:nvSpPr>
            <xdr:cNvPr id="3" name="TextBox 76">
              <a:extLst>
                <a:ext uri="{FF2B5EF4-FFF2-40B4-BE49-F238E27FC236}">
                  <a16:creationId xmlns:a16="http://schemas.microsoft.com/office/drawing/2014/main" id="{213A6B4E-5514-4554-A5C3-F20456D81850}"/>
                </a:ext>
              </a:extLst>
            </xdr:cNvPr>
            <xdr:cNvSpPr txBox="1"/>
          </xdr:nvSpPr>
          <xdr:spPr>
            <a:xfrm>
              <a:off x="2276475" y="10067925"/>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𝑆𝑀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𝑡h𝑟𝑒𝑎𝑑𝑠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𝑆𝑀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𝑇</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3" name="TextBox 76">
              <a:extLst>
                <a:ext uri="{FF2B5EF4-FFF2-40B4-BE49-F238E27FC236}">
                  <a16:creationId xmlns:a16="http://schemas.microsoft.com/office/drawing/2014/main" id="{213A6B4E-5514-4554-A5C3-F20456D81850}"/>
                </a:ext>
              </a:extLst>
            </xdr:cNvPr>
            <xdr:cNvSpPr txBox="1"/>
          </xdr:nvSpPr>
          <xdr:spPr>
            <a:xfrm>
              <a:off x="2276475" y="10067925"/>
              <a:ext cx="468630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𝑉_𝑆𝑀 (GB)=#𝑡ℎ𝑟𝑒𝑎𝑑𝑠 𝑝𝑒𝑟 𝑆𝑀∗(𝑛_(𝑆𝑀,𝑇)^𝑙𝑑+</a:t>
              </a:r>
              <a:r>
                <a:rPr lang="en-US" sz="1400" b="0" i="0">
                  <a:solidFill>
                    <a:schemeClr val="tx1"/>
                  </a:solidFill>
                  <a:effectLst/>
                  <a:latin typeface="+mn-lt"/>
                  <a:ea typeface="+mn-ea"/>
                  <a:cs typeface="+mn-cs"/>
                </a:rPr>
                <a:t>𝑛_(𝑆𝑀,𝑇)^</a:t>
              </a:r>
              <a:r>
                <a:rPr lang="en-US" sz="1400" b="0" i="0">
                  <a:solidFill>
                    <a:schemeClr val="tx1"/>
                  </a:solidFill>
                  <a:effectLst/>
                  <a:latin typeface="Cambria Math" panose="02040503050406030204" pitchFamily="18" charset="0"/>
                  <a:ea typeface="+mn-ea"/>
                  <a:cs typeface="+mn-cs"/>
                </a:rPr>
                <a:t>𝑠𝑡</a:t>
              </a:r>
              <a:r>
                <a:rPr lang="en-US" sz="1400" b="0" i="0">
                  <a:solidFill>
                    <a:sysClr val="windowText" lastClr="000000"/>
                  </a:solidFill>
                  <a:effectLst/>
                  <a:latin typeface="Cambria Math" panose="02040503050406030204" pitchFamily="18" charset="0"/>
                  <a:ea typeface="+mn-ea"/>
                  <a:cs typeface="+mn-cs"/>
                </a:rPr>
                <a:t> )∗𝑝𝑟𝑒𝑐𝑒𝑠𝑖𝑜𝑛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4</xdr:col>
      <xdr:colOff>695325</xdr:colOff>
      <xdr:row>33</xdr:row>
      <xdr:rowOff>142875</xdr:rowOff>
    </xdr:from>
    <xdr:ext cx="4171950" cy="409576"/>
    <mc:AlternateContent xmlns:mc="http://schemas.openxmlformats.org/markup-compatibility/2006" xmlns:a14="http://schemas.microsoft.com/office/drawing/2010/main">
      <mc:Choice Requires="a14">
        <xdr:sp macro="" textlink="">
          <xdr:nvSpPr>
            <xdr:cNvPr id="4" name="TextBox 76">
              <a:extLst>
                <a:ext uri="{FF2B5EF4-FFF2-40B4-BE49-F238E27FC236}">
                  <a16:creationId xmlns:a16="http://schemas.microsoft.com/office/drawing/2014/main" id="{DE52B62C-4EE0-45A3-91BB-F38F1A55C31E}"/>
                </a:ext>
              </a:extLst>
            </xdr:cNvPr>
            <xdr:cNvSpPr txBox="1"/>
          </xdr:nvSpPr>
          <xdr:spPr>
            <a:xfrm>
              <a:off x="7315200" y="10115550"/>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𝑇</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#aligned</a:t>
              </a:r>
              <a:r>
                <a:rPr lang="en-GB" sz="1400" i="1" baseline="0"/>
                <a:t> loads (T) + 2 x #miss-aligned loads(T) </a:t>
              </a:r>
              <a:endParaRPr lang="en-GB" sz="1400" i="1"/>
            </a:p>
          </xdr:txBody>
        </xdr:sp>
      </mc:Choice>
      <mc:Fallback xmlns="">
        <xdr:sp macro="" textlink="">
          <xdr:nvSpPr>
            <xdr:cNvPr id="4" name="TextBox 76">
              <a:extLst>
                <a:ext uri="{FF2B5EF4-FFF2-40B4-BE49-F238E27FC236}">
                  <a16:creationId xmlns:a16="http://schemas.microsoft.com/office/drawing/2014/main" id="{DE52B62C-4EE0-45A3-91BB-F38F1A55C31E}"/>
                </a:ext>
              </a:extLst>
            </xdr:cNvPr>
            <xdr:cNvSpPr txBox="1"/>
          </xdr:nvSpPr>
          <xdr:spPr>
            <a:xfrm>
              <a:off x="7315200" y="10115550"/>
              <a:ext cx="41719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mn-lt"/>
                  <a:ea typeface="+mn-ea"/>
                  <a:cs typeface="+mn-cs"/>
                </a:rPr>
                <a:t>𝑛_(𝑆𝑀,𝑇)^𝑙𝑑</a:t>
              </a:r>
              <a:r>
                <a:rPr lang="en-GB" sz="1400" i="1"/>
                <a:t> = #aligned</a:t>
              </a:r>
              <a:r>
                <a:rPr lang="en-GB" sz="1400" i="1" baseline="0"/>
                <a:t> loads (T) + 2 x #miss-aligned loads(T) </a:t>
              </a:r>
              <a:endParaRPr lang="en-GB" sz="1400" i="1"/>
            </a:p>
          </xdr:txBody>
        </xdr:sp>
      </mc:Fallback>
    </mc:AlternateContent>
    <xdr:clientData/>
  </xdr:oneCellAnchor>
  <xdr:oneCellAnchor>
    <xdr:from>
      <xdr:col>1</xdr:col>
      <xdr:colOff>0</xdr:colOff>
      <xdr:row>42</xdr:row>
      <xdr:rowOff>95251</xdr:rowOff>
    </xdr:from>
    <xdr:ext cx="4362450" cy="381000"/>
    <mc:AlternateContent xmlns:mc="http://schemas.openxmlformats.org/markup-compatibility/2006" xmlns:a14="http://schemas.microsoft.com/office/drawing/2010/main">
      <mc:Choice Requires="a14">
        <xdr:sp macro="" textlink="">
          <xdr:nvSpPr>
            <xdr:cNvPr id="5" name="TextBox 76">
              <a:extLst>
                <a:ext uri="{FF2B5EF4-FFF2-40B4-BE49-F238E27FC236}">
                  <a16:creationId xmlns:a16="http://schemas.microsoft.com/office/drawing/2014/main" id="{38DFDFAD-53DB-47EF-82F1-00C151B48B06}"/>
                </a:ext>
              </a:extLst>
            </xdr:cNvPr>
            <xdr:cNvSpPr txBox="1"/>
          </xdr:nvSpPr>
          <xdr:spPr>
            <a:xfrm>
              <a:off x="2276475" y="13068301"/>
              <a:ext cx="4362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2,</m:t>
                          </m:r>
                          <m:r>
                            <a:rPr lang="en-US" sz="1400" b="0" i="1">
                              <a:solidFill>
                                <a:sysClr val="windowText" lastClr="000000"/>
                              </a:solidFill>
                              <a:latin typeface="Cambria Math" panose="02040503050406030204" pitchFamily="18" charset="0"/>
                            </a:rPr>
                            <m:t>𝐵</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5" name="TextBox 76">
              <a:extLst>
                <a:ext uri="{FF2B5EF4-FFF2-40B4-BE49-F238E27FC236}">
                  <a16:creationId xmlns:a16="http://schemas.microsoft.com/office/drawing/2014/main" id="{38DFDFAD-53DB-47EF-82F1-00C151B48B06}"/>
                </a:ext>
              </a:extLst>
            </xdr:cNvPr>
            <xdr:cNvSpPr txBox="1"/>
          </xdr:nvSpPr>
          <xdr:spPr>
            <a:xfrm>
              <a:off x="2276475" y="13068301"/>
              <a:ext cx="4362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𝑉_𝐿2 (GB)=#𝑡ℎ𝑟𝑒𝑎𝑑 𝑏𝑙𝑜𝑐𝑘𝑠∗(𝑛_(𝐿2,𝐵)^𝑙𝑑+</a:t>
              </a:r>
              <a:r>
                <a:rPr lang="en-US" sz="1400" b="0" i="0">
                  <a:solidFill>
                    <a:schemeClr val="tx1"/>
                  </a:solidFill>
                  <a:effectLst/>
                  <a:latin typeface="+mn-lt"/>
                  <a:ea typeface="+mn-ea"/>
                  <a:cs typeface="+mn-cs"/>
                </a:rPr>
                <a:t>𝑛_(</a:t>
              </a:r>
              <a:r>
                <a:rPr lang="en-US" sz="1400" b="0" i="0">
                  <a:solidFill>
                    <a:schemeClr val="tx1"/>
                  </a:solidFill>
                  <a:effectLst/>
                  <a:latin typeface="Cambria Math" panose="02040503050406030204" pitchFamily="18" charset="0"/>
                  <a:ea typeface="+mn-ea"/>
                  <a:cs typeface="+mn-cs"/>
                </a:rPr>
                <a:t>𝐿2</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𝐵</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𝑠𝑡</a:t>
              </a:r>
              <a:r>
                <a:rPr lang="en-US" sz="1400" b="0" i="0">
                  <a:solidFill>
                    <a:sysClr val="windowText" lastClr="000000"/>
                  </a:solidFill>
                  <a:effectLst/>
                  <a:latin typeface="Cambria Math" panose="02040503050406030204" pitchFamily="18" charset="0"/>
                  <a:ea typeface="+mn-ea"/>
                  <a:cs typeface="+mn-cs"/>
                </a:rPr>
                <a:t> )∗𝑝𝑟𝑒𝑐𝑒𝑠𝑖𝑜𝑛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4</xdr:col>
      <xdr:colOff>57151</xdr:colOff>
      <xdr:row>42</xdr:row>
      <xdr:rowOff>104775</xdr:rowOff>
    </xdr:from>
    <xdr:ext cx="2762250" cy="409576"/>
    <mc:AlternateContent xmlns:mc="http://schemas.openxmlformats.org/markup-compatibility/2006" xmlns:a14="http://schemas.microsoft.com/office/drawing/2010/main">
      <mc:Choice Requires="a14">
        <xdr:sp macro="" textlink="">
          <xdr:nvSpPr>
            <xdr:cNvPr id="6" name="TextBox 76">
              <a:extLst>
                <a:ext uri="{FF2B5EF4-FFF2-40B4-BE49-F238E27FC236}">
                  <a16:creationId xmlns:a16="http://schemas.microsoft.com/office/drawing/2014/main" id="{7F584D0D-D3C8-4318-AD3A-492F88C9DB57}"/>
                </a:ext>
              </a:extLst>
            </xdr:cNvPr>
            <xdr:cNvSpPr txBox="1"/>
          </xdr:nvSpPr>
          <xdr:spPr>
            <a:xfrm>
              <a:off x="6677026" y="13077825"/>
              <a:ext cx="27622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(1+</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oMath>
              </a14:m>
              <a:endParaRPr lang="en-GB" sz="1400" i="1"/>
            </a:p>
          </xdr:txBody>
        </xdr:sp>
      </mc:Choice>
      <mc:Fallback xmlns="">
        <xdr:sp macro="" textlink="">
          <xdr:nvSpPr>
            <xdr:cNvPr id="6" name="TextBox 76">
              <a:extLst>
                <a:ext uri="{FF2B5EF4-FFF2-40B4-BE49-F238E27FC236}">
                  <a16:creationId xmlns:a16="http://schemas.microsoft.com/office/drawing/2014/main" id="{7F584D0D-D3C8-4318-AD3A-492F88C9DB57}"/>
                </a:ext>
              </a:extLst>
            </xdr:cNvPr>
            <xdr:cNvSpPr txBox="1"/>
          </xdr:nvSpPr>
          <xdr:spPr>
            <a:xfrm>
              <a:off x="6677026" y="13077825"/>
              <a:ext cx="27622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mn-lt"/>
                  <a:ea typeface="+mn-ea"/>
                  <a:cs typeface="+mn-cs"/>
                </a:rPr>
                <a:t>𝑛_(</a:t>
              </a:r>
              <a:r>
                <a:rPr lang="en-US" sz="1400" b="0" i="0">
                  <a:solidFill>
                    <a:schemeClr val="tx1"/>
                  </a:solidFill>
                  <a:effectLst/>
                  <a:latin typeface="Cambria Math" panose="02040503050406030204" pitchFamily="18" charset="0"/>
                  <a:ea typeface="+mn-ea"/>
                  <a:cs typeface="+mn-cs"/>
                </a:rPr>
                <a:t>𝐿2</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𝐵</a:t>
              </a:r>
              <a:r>
                <a:rPr lang="en-US" sz="1400" b="0" i="0">
                  <a:solidFill>
                    <a:schemeClr val="tx1"/>
                  </a:solidFill>
                  <a:effectLst/>
                  <a:latin typeface="+mn-lt"/>
                  <a:ea typeface="+mn-ea"/>
                  <a:cs typeface="+mn-cs"/>
                </a:rPr>
                <a:t>)^𝑙𝑑</a:t>
              </a:r>
              <a:r>
                <a:rPr lang="en-GB" sz="1400" i="1"/>
                <a:t> = </a:t>
              </a:r>
              <a:r>
                <a:rPr lang="en-US" sz="1400" b="0" i="0">
                  <a:solidFill>
                    <a:schemeClr val="tx1"/>
                  </a:solidFill>
                  <a:effectLst/>
                  <a:latin typeface="+mn-lt"/>
                  <a:ea typeface="+mn-ea"/>
                  <a:cs typeface="+mn-cs"/>
                </a:rPr>
                <a:t>𝑛_(𝐿2,𝐵)^(𝑙𝑑</a:t>
              </a:r>
              <a:r>
                <a:rPr lang="en-US" sz="1400" b="0" i="0">
                  <a:solidFill>
                    <a:schemeClr val="tx1"/>
                  </a:solidFill>
                  <a:effectLst/>
                  <a:latin typeface="Cambria Math" panose="02040503050406030204" pitchFamily="18" charset="0"/>
                  <a:ea typeface="+mn-ea"/>
                  <a:cs typeface="+mn-cs"/>
                </a:rPr>
                <a:t>,𝑛𝑒𝑡 </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 (1+𝑆𝑀 𝑚𝑖𝑠𝑠 𝑟𝑎𝑡𝑖𝑜)</a:t>
              </a:r>
              <a:endParaRPr lang="en-GB" sz="1400" i="1"/>
            </a:p>
          </xdr:txBody>
        </xdr:sp>
      </mc:Fallback>
    </mc:AlternateContent>
    <xdr:clientData/>
  </xdr:oneCellAnchor>
  <xdr:oneCellAnchor>
    <xdr:from>
      <xdr:col>5</xdr:col>
      <xdr:colOff>1238250</xdr:colOff>
      <xdr:row>42</xdr:row>
      <xdr:rowOff>95250</xdr:rowOff>
    </xdr:from>
    <xdr:ext cx="4810125" cy="514350"/>
    <mc:AlternateContent xmlns:mc="http://schemas.openxmlformats.org/markup-compatibility/2006" xmlns:a14="http://schemas.microsoft.com/office/drawing/2010/main">
      <mc:Choice Requires="a14">
        <xdr:sp macro="" textlink="">
          <xdr:nvSpPr>
            <xdr:cNvPr id="7" name="TextBox 76">
              <a:extLst>
                <a:ext uri="{FF2B5EF4-FFF2-40B4-BE49-F238E27FC236}">
                  <a16:creationId xmlns:a16="http://schemas.microsoft.com/office/drawing/2014/main" id="{372D7088-7B85-4FBF-A260-6482643C09E3}"/>
                </a:ext>
              </a:extLst>
            </xdr:cNvPr>
            <xdr:cNvSpPr txBox="1"/>
          </xdr:nvSpPr>
          <xdr:spPr>
            <a:xfrm>
              <a:off x="9496425" y="13068300"/>
              <a:ext cx="481012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SM</a:t>
              </a:r>
              <a14:m>
                <m:oMath xmlns:m="http://schemas.openxmlformats.org/officeDocument/2006/math">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r>
                        <a:rPr lang="en-US" sz="1400" b="0" i="1">
                          <a:solidFill>
                            <a:schemeClr val="tx1"/>
                          </a:solidFill>
                          <a:effectLst/>
                          <a:latin typeface="Cambria Math" panose="02040503050406030204" pitchFamily="18" charset="0"/>
                          <a:ea typeface="+mn-ea"/>
                          <a:cs typeface="+mn-cs"/>
                        </a:rPr>
                        <m:t>𝑜𝑐𝑐</m:t>
                      </m:r>
                      <m:r>
                        <a:rPr lang="en-US" sz="1400" b="0" i="1">
                          <a:solidFill>
                            <a:schemeClr val="tx1"/>
                          </a:solidFill>
                          <a:effectLst/>
                          <a:latin typeface="Cambria Math" panose="02040503050406030204" pitchFamily="18" charset="0"/>
                          <a:ea typeface="+mn-ea"/>
                          <a:cs typeface="+mn-cs"/>
                        </a:rPr>
                        <m:t> ∗#</m:t>
                      </m:r>
                      <m:func>
                        <m:funcPr>
                          <m:ctrlPr>
                            <a:rPr lang="en-US" sz="1400" b="0" i="1">
                              <a:solidFill>
                                <a:schemeClr val="tx1"/>
                              </a:solidFill>
                              <a:effectLst/>
                              <a:latin typeface="Cambria Math" panose="02040503050406030204" pitchFamily="18" charset="0"/>
                              <a:ea typeface="+mn-ea"/>
                              <a:cs typeface="+mn-cs"/>
                            </a:rPr>
                          </m:ctrlPr>
                        </m:funcPr>
                        <m:fName>
                          <m:r>
                            <a:rPr lang="en-US" sz="1400" b="0" i="1">
                              <a:solidFill>
                                <a:schemeClr val="tx1"/>
                              </a:solidFill>
                              <a:effectLst/>
                              <a:latin typeface="Cambria Math" panose="02040503050406030204" pitchFamily="18" charset="0"/>
                              <a:ea typeface="+mn-ea"/>
                              <a:cs typeface="+mn-cs"/>
                            </a:rPr>
                            <m:t>𝑚𝑎𝑥</m:t>
                          </m:r>
                        </m:fName>
                        <m:e>
                          <m:r>
                            <a:rPr lang="en-US" sz="1400" b="0" i="1">
                              <a:solidFill>
                                <a:schemeClr val="tx1"/>
                              </a:solidFill>
                              <a:effectLst/>
                              <a:latin typeface="Cambria Math" panose="02040503050406030204" pitchFamily="18" charset="0"/>
                              <a:ea typeface="+mn-ea"/>
                              <a:cs typeface="+mn-cs"/>
                            </a:rPr>
                            <m:t>𝑡h𝑟𝑒𝑎𝑑𝑠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𝑝𝑒𝑟</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 ∗ </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m:t>
                              </m:r>
                              <m:r>
                                <a:rPr lang="en-US" sz="1400" b="0" i="1">
                                  <a:solidFill>
                                    <a:schemeClr val="tx1"/>
                                  </a:solidFill>
                                  <a:effectLst/>
                                  <a:latin typeface="Cambria Math" panose="02040503050406030204" pitchFamily="18" charset="0"/>
                                  <a:ea typeface="+mn-ea"/>
                                  <a:cs typeface="+mn-cs"/>
                                </a:rPr>
                                <m:t>𝐵</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 </m:t>
                          </m:r>
                        </m:e>
                      </m:func>
                    </m:num>
                    <m:den>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𝑡h𝑟𝑒𝑎𝑑𝑠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𝑝𝑒𝑟</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𝑏𝑙𝑜𝑐𝑘</m:t>
                      </m:r>
                      <m:r>
                        <a:rPr lang="en-US" sz="1400" b="0" i="1">
                          <a:solidFill>
                            <a:schemeClr val="tx1"/>
                          </a:solidFill>
                          <a:effectLst/>
                          <a:latin typeface="Cambria Math" panose="02040503050406030204" pitchFamily="18" charset="0"/>
                          <a:ea typeface="+mn-ea"/>
                          <a:cs typeface="+mn-cs"/>
                        </a:rPr>
                        <m:t> ∗ </m:t>
                      </m:r>
                      <m:f>
                        <m:fPr>
                          <m:ctrlPr>
                            <a:rPr lang="en-US" sz="1400" b="0" i="1">
                              <a:solidFill>
                                <a:schemeClr val="tx1"/>
                              </a:solidFill>
                              <a:effectLst/>
                              <a:latin typeface="Cambria Math" panose="02040503050406030204" pitchFamily="18" charset="0"/>
                              <a:ea typeface="+mn-ea"/>
                              <a:cs typeface="+mn-cs"/>
                            </a:rPr>
                          </m:ctrlPr>
                        </m:fPr>
                        <m:num>
                          <m:r>
                            <a:rPr lang="en-US" sz="1400" b="0" i="1">
                              <a:solidFill>
                                <a:schemeClr val="tx1"/>
                              </a:solidFill>
                              <a:effectLst/>
                              <a:latin typeface="Cambria Math" panose="02040503050406030204" pitchFamily="18" charset="0"/>
                              <a:ea typeface="+mn-ea"/>
                              <a:cs typeface="+mn-cs"/>
                            </a:rPr>
                            <m:t>𝑜𝑛</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𝑆𝑀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𝑠𝑡𝑜𝑟𝑎𝑔𝑒</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𝑠𝑖𝑧𝑒</m:t>
                          </m:r>
                        </m:num>
                        <m:den>
                          <m:r>
                            <a:rPr lang="en-US" sz="1400" b="0" i="1">
                              <a:solidFill>
                                <a:schemeClr val="tx1"/>
                              </a:solidFill>
                              <a:effectLst/>
                              <a:latin typeface="Cambria Math" panose="02040503050406030204" pitchFamily="18" charset="0"/>
                              <a:ea typeface="+mn-ea"/>
                              <a:cs typeface="+mn-cs"/>
                            </a:rPr>
                            <m:t>𝑝𝑟𝑒𝑐𝑖𝑠𝑖𝑜𝑛</m:t>
                          </m:r>
                        </m:den>
                      </m:f>
                      <m:r>
                        <a:rPr lang="en-US" sz="1400" b="0" i="1">
                          <a:solidFill>
                            <a:schemeClr val="tx1"/>
                          </a:solidFill>
                          <a:effectLst/>
                          <a:latin typeface="Cambria Math" panose="02040503050406030204" pitchFamily="18" charset="0"/>
                          <a:ea typeface="+mn-ea"/>
                          <a:cs typeface="+mn-cs"/>
                        </a:rPr>
                        <m:t> </m:t>
                      </m:r>
                    </m:den>
                  </m:f>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𝑑𝑒𝑙𝑡𝑎</m:t>
                  </m:r>
                </m:oMath>
              </a14:m>
              <a:endParaRPr lang="en-GB" sz="1400" i="1"/>
            </a:p>
          </xdr:txBody>
        </xdr:sp>
      </mc:Choice>
      <mc:Fallback xmlns="">
        <xdr:sp macro="" textlink="">
          <xdr:nvSpPr>
            <xdr:cNvPr id="7" name="TextBox 76">
              <a:extLst>
                <a:ext uri="{FF2B5EF4-FFF2-40B4-BE49-F238E27FC236}">
                  <a16:creationId xmlns:a16="http://schemas.microsoft.com/office/drawing/2014/main" id="{372D7088-7B85-4FBF-A260-6482643C09E3}"/>
                </a:ext>
              </a:extLst>
            </xdr:cNvPr>
            <xdr:cNvSpPr txBox="1"/>
          </xdr:nvSpPr>
          <xdr:spPr>
            <a:xfrm>
              <a:off x="9496425" y="13068300"/>
              <a:ext cx="4810125"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SM</a:t>
              </a:r>
              <a:r>
                <a:rPr lang="en-US" sz="1400" b="0" i="0">
                  <a:solidFill>
                    <a:schemeClr val="tx1"/>
                  </a:solidFill>
                  <a:effectLst/>
                  <a:latin typeface="Cambria Math" panose="02040503050406030204" pitchFamily="18" charset="0"/>
                  <a:ea typeface="+mn-ea"/>
                  <a:cs typeface="+mn-cs"/>
                </a:rPr>
                <a:t> 𝑚𝑖𝑠𝑠 𝑟𝑎𝑡𝑖𝑜=</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𝑜𝑐𝑐 ∗#𝑚𝑎𝑥⁡〖𝑡ℎ𝑟𝑒𝑎𝑑𝑠 𝑝𝑒𝑟 𝑆𝑀 ∗ </a:t>
              </a:r>
              <a:r>
                <a:rPr lang="en-US" sz="1400" b="0" i="0">
                  <a:solidFill>
                    <a:schemeClr val="tx1"/>
                  </a:solidFill>
                  <a:effectLst/>
                  <a:latin typeface="+mn-lt"/>
                  <a:ea typeface="+mn-ea"/>
                  <a:cs typeface="+mn-cs"/>
                </a:rPr>
                <a:t>𝑛_(𝐿2,𝐵)^(𝑙𝑑,𝑛𝑒𝑡 )</a:t>
              </a:r>
              <a:r>
                <a:rPr lang="en-US" sz="1400" b="0" i="0">
                  <a:solidFill>
                    <a:schemeClr val="tx1"/>
                  </a:solidFill>
                  <a:effectLst/>
                  <a:latin typeface="Cambria Math" panose="02040503050406030204" pitchFamily="18" charset="0"/>
                  <a:ea typeface="+mn-ea"/>
                  <a:cs typeface="+mn-cs"/>
                </a:rPr>
                <a:t>  〗</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 𝑡ℎ𝑟𝑒𝑎𝑑𝑠 𝑝𝑒𝑟 𝑏𝑙𝑜𝑐𝑘 ∗ </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𝑜𝑛−𝑆𝑀−𝑠𝑡𝑜𝑟𝑎𝑔𝑒−𝑠𝑖𝑧𝑒</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𝑝𝑟𝑒𝑐𝑖𝑠𝑖𝑜𝑛  </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  ∗𝑑𝑒𝑙𝑡𝑎</a:t>
              </a:r>
              <a:endParaRPr lang="en-GB" sz="1400" i="1"/>
            </a:p>
          </xdr:txBody>
        </xdr:sp>
      </mc:Fallback>
    </mc:AlternateContent>
    <xdr:clientData/>
  </xdr:oneCellAnchor>
  <xdr:oneCellAnchor>
    <xdr:from>
      <xdr:col>1</xdr:col>
      <xdr:colOff>9525</xdr:colOff>
      <xdr:row>51</xdr:row>
      <xdr:rowOff>85725</xdr:rowOff>
    </xdr:from>
    <xdr:ext cx="3981450" cy="381000"/>
    <mc:AlternateContent xmlns:mc="http://schemas.openxmlformats.org/markup-compatibility/2006" xmlns:a14="http://schemas.microsoft.com/office/drawing/2010/main">
      <mc:Choice Requires="a14">
        <xdr:sp macro="" textlink="">
          <xdr:nvSpPr>
            <xdr:cNvPr id="8" name="TextBox 76">
              <a:extLst>
                <a:ext uri="{FF2B5EF4-FFF2-40B4-BE49-F238E27FC236}">
                  <a16:creationId xmlns:a16="http://schemas.microsoft.com/office/drawing/2014/main" id="{12F1C0AD-1039-4EC6-9FA1-AB5F2B42752B}"/>
                </a:ext>
              </a:extLst>
            </xdr:cNvPr>
            <xdr:cNvSpPr txBox="1"/>
          </xdr:nvSpPr>
          <xdr:spPr>
            <a:xfrm>
              <a:off x="2286000" y="16059150"/>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𝑉</m:t>
                      </m:r>
                    </m:e>
                    <m:sub>
                      <m:r>
                        <a:rPr lang="en-US" sz="1400" b="0" i="1">
                          <a:solidFill>
                            <a:sysClr val="windowText" lastClr="000000"/>
                          </a:solidFill>
                          <a:latin typeface="Cambria Math" panose="02040503050406030204" pitchFamily="18" charset="0"/>
                        </a:rPr>
                        <m:t>𝐺𝑀</m:t>
                      </m:r>
                    </m:sub>
                  </m:sSub>
                  <m:d>
                    <m:dPr>
                      <m:ctrlPr>
                        <a:rPr lang="en-US" sz="1400" b="0" i="1">
                          <a:solidFill>
                            <a:sysClr val="windowText" lastClr="000000"/>
                          </a:solidFill>
                          <a:latin typeface="Cambria Math" panose="02040503050406030204" pitchFamily="18" charset="0"/>
                        </a:rPr>
                      </m:ctrlPr>
                    </m:dPr>
                    <m:e>
                      <m:r>
                        <m:rPr>
                          <m:sty m:val="p"/>
                        </m:rPr>
                        <a:rPr lang="en-US" sz="1400" b="0" i="0">
                          <a:solidFill>
                            <a:sysClr val="windowText" lastClr="000000"/>
                          </a:solidFill>
                          <a:latin typeface="Cambria Math" panose="02040503050406030204" pitchFamily="18" charset="0"/>
                        </a:rPr>
                        <m:t>GB</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𝑔𝑟𝑜𝑢𝑝𝑠</m:t>
                  </m:r>
                  <m:r>
                    <a:rPr lang="en-US" sz="1400" b="0" i="1">
                      <a:solidFill>
                        <a:sysClr val="windowText" lastClr="000000"/>
                      </a:solidFill>
                      <a:latin typeface="Cambria Math" panose="02040503050406030204" pitchFamily="18" charset="0"/>
                    </a:rPr>
                    <m:t>∗</m:t>
                  </m:r>
                  <m:d>
                    <m:dPr>
                      <m:ctrlPr>
                        <a:rPr lang="en-US" sz="1400" b="0" i="1">
                          <a:solidFill>
                            <a:sysClr val="windowText" lastClr="000000"/>
                          </a:solidFill>
                          <a:latin typeface="Cambria Math" panose="02040503050406030204" pitchFamily="18" charset="0"/>
                        </a:rPr>
                      </m:ctrlPr>
                    </m:dPr>
                    <m:e>
                      <m:sSubSup>
                        <m:sSubSupPr>
                          <m:ctrlPr>
                            <a:rPr lang="en-US" sz="1400" b="0" i="1">
                              <a:solidFill>
                                <a:sysClr val="windowText" lastClr="000000"/>
                              </a:solidFill>
                              <a:latin typeface="Cambria Math" panose="02040503050406030204" pitchFamily="18" charset="0"/>
                            </a:rPr>
                          </m:ctrlPr>
                        </m:sSubSupPr>
                        <m:e>
                          <m:r>
                            <a:rPr lang="en-US" sz="1400" b="0" i="1">
                              <a:solidFill>
                                <a:sysClr val="windowText" lastClr="000000"/>
                              </a:solidFill>
                              <a:latin typeface="Cambria Math" panose="02040503050406030204" pitchFamily="18" charset="0"/>
                            </a:rPr>
                            <m:t>𝑛</m:t>
                          </m:r>
                        </m:e>
                        <m:sub>
                          <m:r>
                            <a:rPr lang="en-US" sz="1400" b="0" i="1">
                              <a:solidFill>
                                <a:sysClr val="windowText" lastClr="000000"/>
                              </a:solidFill>
                              <a:latin typeface="Cambria Math" panose="02040503050406030204" pitchFamily="18" charset="0"/>
                            </a:rPr>
                            <m:t>𝐺𝑀</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𝐺</m:t>
                          </m:r>
                        </m:sub>
                        <m:sup>
                          <m:r>
                            <a:rPr lang="en-US" sz="1400" b="0" i="1">
                              <a:solidFill>
                                <a:sysClr val="windowText" lastClr="000000"/>
                              </a:solidFill>
                              <a:latin typeface="Cambria Math" panose="02040503050406030204" pitchFamily="18" charset="0"/>
                            </a:rPr>
                            <m:t>𝑙𝑑</m:t>
                          </m:r>
                        </m:sup>
                      </m:sSubSup>
                      <m:r>
                        <a:rPr lang="en-US" sz="1400" b="0" i="1">
                          <a:solidFill>
                            <a:sysClr val="windowText" lastClr="000000"/>
                          </a:solidFill>
                          <a:latin typeface="Cambria Math" panose="02040503050406030204" pitchFamily="18" charset="0"/>
                        </a:rPr>
                        <m:t>+</m:t>
                      </m:r>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𝑠𝑡</m:t>
                          </m:r>
                        </m:sup>
                      </m:sSubSup>
                    </m:e>
                  </m:d>
                  <m:r>
                    <a:rPr lang="en-US" sz="1400" b="0" i="1">
                      <a:solidFill>
                        <a:sysClr val="windowText" lastClr="000000"/>
                      </a:solidFill>
                      <a:effectLst/>
                      <a:latin typeface="Cambria Math" panose="02040503050406030204" pitchFamily="18" charset="0"/>
                      <a:ea typeface="+mn-ea"/>
                      <a:cs typeface="+mn-cs"/>
                    </a:rPr>
                    <m:t>∗</m:t>
                  </m:r>
                  <m:r>
                    <a:rPr lang="en-US" sz="1400" b="0" i="1">
                      <a:solidFill>
                        <a:sysClr val="windowText" lastClr="000000"/>
                      </a:solidFill>
                      <a:effectLst/>
                      <a:latin typeface="Cambria Math" panose="02040503050406030204" pitchFamily="18" charset="0"/>
                      <a:ea typeface="+mn-ea"/>
                      <a:cs typeface="+mn-cs"/>
                    </a:rPr>
                    <m:t>𝑝𝑟𝑒𝑐𝑒𝑠𝑖𝑜𝑛</m:t>
                  </m:r>
                  <m:r>
                    <a:rPr lang="en-US" sz="1400" b="0" i="1">
                      <a:solidFill>
                        <a:sysClr val="windowText" lastClr="000000"/>
                      </a:solidFill>
                      <a:latin typeface="Cambria Math" panose="02040503050406030204" pitchFamily="18" charset="0"/>
                    </a:rPr>
                    <m:t> </m:t>
                  </m:r>
                </m:oMath>
              </a14:m>
              <a:r>
                <a:rPr lang="en-GB" sz="1400" i="1"/>
                <a:t> </a:t>
              </a:r>
            </a:p>
          </xdr:txBody>
        </xdr:sp>
      </mc:Choice>
      <mc:Fallback xmlns="">
        <xdr:sp macro="" textlink="">
          <xdr:nvSpPr>
            <xdr:cNvPr id="8" name="TextBox 76">
              <a:extLst>
                <a:ext uri="{FF2B5EF4-FFF2-40B4-BE49-F238E27FC236}">
                  <a16:creationId xmlns:a16="http://schemas.microsoft.com/office/drawing/2014/main" id="{12F1C0AD-1039-4EC6-9FA1-AB5F2B42752B}"/>
                </a:ext>
              </a:extLst>
            </xdr:cNvPr>
            <xdr:cNvSpPr txBox="1"/>
          </xdr:nvSpPr>
          <xdr:spPr>
            <a:xfrm>
              <a:off x="2286000" y="16059150"/>
              <a:ext cx="3981450" cy="381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ysClr val="windowText" lastClr="000000"/>
                  </a:solidFill>
                  <a:latin typeface="Cambria Math" panose="02040503050406030204" pitchFamily="18" charset="0"/>
                </a:rPr>
                <a:t>𝑉_𝐺𝑀 (GB)=#𝑔𝑟𝑜𝑢𝑝𝑠∗(𝑛_(𝐺𝑀,𝐺)^𝑙𝑑+</a:t>
              </a:r>
              <a:r>
                <a:rPr lang="en-US" sz="1400" b="0" i="0">
                  <a:solidFill>
                    <a:schemeClr val="tx1"/>
                  </a:solidFill>
                  <a:effectLst/>
                  <a:latin typeface="Cambria Math" panose="02040503050406030204" pitchFamily="18" charset="0"/>
                  <a:ea typeface="+mn-ea"/>
                  <a:cs typeface="+mn-cs"/>
                </a:rPr>
                <a:t>𝑛_(𝐺𝑀,𝐺)^𝑠𝑡 )</a:t>
              </a:r>
              <a:r>
                <a:rPr lang="en-US" sz="1400" b="0" i="0">
                  <a:solidFill>
                    <a:sysClr val="windowText" lastClr="000000"/>
                  </a:solidFill>
                  <a:effectLst/>
                  <a:latin typeface="Cambria Math" panose="02040503050406030204" pitchFamily="18" charset="0"/>
                  <a:ea typeface="+mn-ea"/>
                  <a:cs typeface="+mn-cs"/>
                </a:rPr>
                <a:t>∗𝑝𝑟𝑒𝑐𝑒𝑠𝑖𝑜𝑛</a:t>
              </a:r>
              <a:r>
                <a:rPr lang="en-US" sz="1400" b="0" i="0">
                  <a:solidFill>
                    <a:sysClr val="windowText" lastClr="000000"/>
                  </a:solidFill>
                  <a:latin typeface="Cambria Math" panose="02040503050406030204" pitchFamily="18" charset="0"/>
                </a:rPr>
                <a:t> </a:t>
              </a:r>
              <a:r>
                <a:rPr lang="en-GB" sz="1400" i="1"/>
                <a:t> </a:t>
              </a:r>
            </a:p>
          </xdr:txBody>
        </xdr:sp>
      </mc:Fallback>
    </mc:AlternateContent>
    <xdr:clientData/>
  </xdr:oneCellAnchor>
  <xdr:oneCellAnchor>
    <xdr:from>
      <xdr:col>3</xdr:col>
      <xdr:colOff>1038225</xdr:colOff>
      <xdr:row>51</xdr:row>
      <xdr:rowOff>66675</xdr:rowOff>
    </xdr:from>
    <xdr:ext cx="2724150" cy="409576"/>
    <mc:AlternateContent xmlns:mc="http://schemas.openxmlformats.org/markup-compatibility/2006" xmlns:a14="http://schemas.microsoft.com/office/drawing/2010/main">
      <mc:Choice Requires="a14">
        <xdr:sp macro="" textlink="">
          <xdr:nvSpPr>
            <xdr:cNvPr id="9" name="TextBox 76">
              <a:extLst>
                <a:ext uri="{FF2B5EF4-FFF2-40B4-BE49-F238E27FC236}">
                  <a16:creationId xmlns:a16="http://schemas.microsoft.com/office/drawing/2014/main" id="{E66B4672-93E5-4828-989E-363D8882A6BB}"/>
                </a:ext>
              </a:extLst>
            </xdr:cNvPr>
            <xdr:cNvSpPr txBox="1"/>
          </xdr:nvSpPr>
          <xdr:spPr>
            <a:xfrm>
              <a:off x="6105525" y="16040100"/>
              <a:ext cx="27241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sup>
                  </m:sSubSup>
                </m:oMath>
              </a14:m>
              <a:r>
                <a:rPr lang="en-GB" sz="1400" i="1"/>
                <a:t> = </a:t>
              </a:r>
              <a14:m>
                <m:oMath xmlns:m="http://schemas.openxmlformats.org/officeDocument/2006/math">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(1+</m:t>
                  </m:r>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oMath>
              </a14:m>
              <a:endParaRPr lang="en-GB" sz="1400" i="1"/>
            </a:p>
          </xdr:txBody>
        </xdr:sp>
      </mc:Choice>
      <mc:Fallback xmlns="">
        <xdr:sp macro="" textlink="">
          <xdr:nvSpPr>
            <xdr:cNvPr id="9" name="TextBox 76">
              <a:extLst>
                <a:ext uri="{FF2B5EF4-FFF2-40B4-BE49-F238E27FC236}">
                  <a16:creationId xmlns:a16="http://schemas.microsoft.com/office/drawing/2014/main" id="{E66B4672-93E5-4828-989E-363D8882A6BB}"/>
                </a:ext>
              </a:extLst>
            </xdr:cNvPr>
            <xdr:cNvSpPr txBox="1"/>
          </xdr:nvSpPr>
          <xdr:spPr>
            <a:xfrm>
              <a:off x="6105525" y="16040100"/>
              <a:ext cx="2724150" cy="40957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𝑛_(𝐺𝑀,𝐺)^𝑙𝑑</a:t>
              </a:r>
              <a:r>
                <a:rPr lang="en-GB" sz="1400" i="1"/>
                <a:t> = </a:t>
              </a:r>
              <a:r>
                <a:rPr lang="en-US" sz="1400" b="0" i="0">
                  <a:solidFill>
                    <a:schemeClr val="tx1"/>
                  </a:solidFill>
                  <a:effectLst/>
                  <a:latin typeface="Cambria Math" panose="02040503050406030204" pitchFamily="18" charset="0"/>
                  <a:ea typeface="+mn-ea"/>
                  <a:cs typeface="+mn-cs"/>
                </a:rPr>
                <a:t>𝑛_(𝐺𝑀,𝐺)^(𝑙𝑑,𝑛𝑒𝑡 ) (1+𝐿2 𝑚𝑖𝑠𝑠 𝑟𝑎𝑡𝑖𝑜)</a:t>
              </a:r>
              <a:endParaRPr lang="en-GB" sz="1400" i="1"/>
            </a:p>
          </xdr:txBody>
        </xdr:sp>
      </mc:Fallback>
    </mc:AlternateContent>
    <xdr:clientData/>
  </xdr:oneCellAnchor>
  <xdr:oneCellAnchor>
    <xdr:from>
      <xdr:col>5</xdr:col>
      <xdr:colOff>771525</xdr:colOff>
      <xdr:row>51</xdr:row>
      <xdr:rowOff>28575</xdr:rowOff>
    </xdr:from>
    <xdr:ext cx="3333750" cy="514350"/>
    <mc:AlternateContent xmlns:mc="http://schemas.openxmlformats.org/markup-compatibility/2006" xmlns:a14="http://schemas.microsoft.com/office/drawing/2010/main">
      <mc:Choice Requires="a14">
        <xdr:sp macro="" textlink="">
          <xdr:nvSpPr>
            <xdr:cNvPr id="10" name="TextBox 76">
              <a:extLst>
                <a:ext uri="{FF2B5EF4-FFF2-40B4-BE49-F238E27FC236}">
                  <a16:creationId xmlns:a16="http://schemas.microsoft.com/office/drawing/2014/main" id="{2E77B4E5-47B2-45D5-A687-C5D8DE34AA57}"/>
                </a:ext>
              </a:extLst>
            </xdr:cNvPr>
            <xdr:cNvSpPr txBox="1"/>
          </xdr:nvSpPr>
          <xdr:spPr>
            <a:xfrm>
              <a:off x="9029700" y="16002000"/>
              <a:ext cx="3333750"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14:m>
                <m:oMath xmlns:m="http://schemas.openxmlformats.org/officeDocument/2006/math">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𝑚𝑖𝑠𝑠</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𝑟𝑎𝑡𝑖𝑜</m:t>
                  </m:r>
                  <m:r>
                    <a:rPr lang="en-US" sz="1400" b="0" i="1">
                      <a:solidFill>
                        <a:schemeClr val="tx1"/>
                      </a:solidFill>
                      <a:effectLst/>
                      <a:latin typeface="Cambria Math" panose="02040503050406030204" pitchFamily="18" charset="0"/>
                      <a:ea typeface="+mn-ea"/>
                      <a:cs typeface="+mn-cs"/>
                    </a:rPr>
                    <m:t>=</m:t>
                  </m:r>
                  <m:f>
                    <m:fPr>
                      <m:ctrlPr>
                        <a:rPr lang="en-US" sz="1400" b="0" i="1">
                          <a:solidFill>
                            <a:schemeClr val="tx1"/>
                          </a:solidFill>
                          <a:effectLst/>
                          <a:latin typeface="Cambria Math" panose="02040503050406030204" pitchFamily="18" charset="0"/>
                          <a:ea typeface="+mn-ea"/>
                          <a:cs typeface="+mn-cs"/>
                        </a:rPr>
                      </m:ctrlPr>
                    </m:fPr>
                    <m:num>
                      <m:sSubSup>
                        <m:sSubSupPr>
                          <m:ctrlPr>
                            <a:rPr lang="en-US" sz="1400" b="0" i="1">
                              <a:solidFill>
                                <a:schemeClr val="tx1"/>
                              </a:solidFill>
                              <a:effectLst/>
                              <a:latin typeface="Cambria Math" panose="02040503050406030204" pitchFamily="18" charset="0"/>
                              <a:ea typeface="+mn-ea"/>
                              <a:cs typeface="+mn-cs"/>
                            </a:rPr>
                          </m:ctrlPr>
                        </m:sSubSupPr>
                        <m:e>
                          <m:r>
                            <a:rPr lang="en-US" sz="1400" b="0" i="1">
                              <a:solidFill>
                                <a:schemeClr val="tx1"/>
                              </a:solidFill>
                              <a:effectLst/>
                              <a:latin typeface="Cambria Math" panose="02040503050406030204" pitchFamily="18" charset="0"/>
                              <a:ea typeface="+mn-ea"/>
                              <a:cs typeface="+mn-cs"/>
                            </a:rPr>
                            <m:t>𝑛</m:t>
                          </m:r>
                        </m:e>
                        <m:sub>
                          <m:r>
                            <a:rPr lang="en-US" sz="1400" b="0" i="1">
                              <a:solidFill>
                                <a:schemeClr val="tx1"/>
                              </a:solidFill>
                              <a:effectLst/>
                              <a:latin typeface="Cambria Math" panose="02040503050406030204" pitchFamily="18" charset="0"/>
                              <a:ea typeface="+mn-ea"/>
                              <a:cs typeface="+mn-cs"/>
                            </a:rPr>
                            <m:t>𝐺𝑀</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𝐺</m:t>
                          </m:r>
                        </m:sub>
                        <m:sup>
                          <m:r>
                            <a:rPr lang="en-US" sz="1400" b="0" i="1">
                              <a:solidFill>
                                <a:schemeClr val="tx1"/>
                              </a:solidFill>
                              <a:effectLst/>
                              <a:latin typeface="Cambria Math" panose="02040503050406030204" pitchFamily="18" charset="0"/>
                              <a:ea typeface="+mn-ea"/>
                              <a:cs typeface="+mn-cs"/>
                            </a:rPr>
                            <m:t>𝑙𝑑</m:t>
                          </m:r>
                          <m:r>
                            <a:rPr lang="en-US" sz="1400" b="0" i="1">
                              <a:solidFill>
                                <a:schemeClr val="tx1"/>
                              </a:solidFill>
                              <a:effectLst/>
                              <a:latin typeface="Cambria Math" panose="02040503050406030204" pitchFamily="18" charset="0"/>
                              <a:ea typeface="+mn-ea"/>
                              <a:cs typeface="+mn-cs"/>
                            </a:rPr>
                            <m:t>,</m:t>
                          </m:r>
                          <m:r>
                            <a:rPr lang="en-US" sz="1400" b="0" i="1">
                              <a:solidFill>
                                <a:schemeClr val="tx1"/>
                              </a:solidFill>
                              <a:effectLst/>
                              <a:latin typeface="Cambria Math" panose="02040503050406030204" pitchFamily="18" charset="0"/>
                              <a:ea typeface="+mn-ea"/>
                              <a:cs typeface="+mn-cs"/>
                            </a:rPr>
                            <m:t>𝑛𝑒𝑡</m:t>
                          </m:r>
                          <m:r>
                            <a:rPr lang="en-US" sz="1400" b="0" i="1">
                              <a:solidFill>
                                <a:schemeClr val="tx1"/>
                              </a:solidFill>
                              <a:effectLst/>
                              <a:latin typeface="Cambria Math" panose="02040503050406030204" pitchFamily="18" charset="0"/>
                              <a:ea typeface="+mn-ea"/>
                              <a:cs typeface="+mn-cs"/>
                            </a:rPr>
                            <m:t> </m:t>
                          </m:r>
                        </m:sup>
                      </m:sSubSup>
                      <m:r>
                        <a:rPr lang="en-US" sz="1400" b="0" i="1">
                          <a:solidFill>
                            <a:schemeClr val="tx1"/>
                          </a:solidFill>
                          <a:effectLst/>
                          <a:latin typeface="Cambria Math" panose="02040503050406030204" pitchFamily="18" charset="0"/>
                          <a:ea typeface="+mn-ea"/>
                          <a:cs typeface="+mn-cs"/>
                        </a:rPr>
                        <m:t> ∗ </m:t>
                      </m:r>
                      <m:r>
                        <a:rPr lang="en-US" sz="1400" b="0" i="1">
                          <a:solidFill>
                            <a:schemeClr val="tx1"/>
                          </a:solidFill>
                          <a:effectLst/>
                          <a:latin typeface="Cambria Math" panose="02040503050406030204" pitchFamily="18" charset="0"/>
                          <a:ea typeface="+mn-ea"/>
                          <a:cs typeface="+mn-cs"/>
                        </a:rPr>
                        <m:t>𝑝𝑟𝑒𝑐𝑖𝑠𝑖𝑜𝑛</m:t>
                      </m:r>
                    </m:num>
                    <m:den>
                      <m:r>
                        <a:rPr lang="en-US" sz="1400" b="0" i="1">
                          <a:solidFill>
                            <a:schemeClr val="tx1"/>
                          </a:solidFill>
                          <a:effectLst/>
                          <a:latin typeface="Cambria Math" panose="02040503050406030204" pitchFamily="18" charset="0"/>
                          <a:ea typeface="+mn-ea"/>
                          <a:cs typeface="+mn-cs"/>
                        </a:rPr>
                        <m:t>𝐿</m:t>
                      </m:r>
                      <m:r>
                        <a:rPr lang="en-US" sz="1400" b="0" i="1">
                          <a:solidFill>
                            <a:schemeClr val="tx1"/>
                          </a:solidFill>
                          <a:effectLst/>
                          <a:latin typeface="Cambria Math" panose="02040503050406030204" pitchFamily="18" charset="0"/>
                          <a:ea typeface="+mn-ea"/>
                          <a:cs typeface="+mn-cs"/>
                        </a:rPr>
                        <m:t>2 </m:t>
                      </m:r>
                      <m:r>
                        <a:rPr lang="en-US" sz="1400" b="0" i="1">
                          <a:solidFill>
                            <a:schemeClr val="tx1"/>
                          </a:solidFill>
                          <a:effectLst/>
                          <a:latin typeface="Cambria Math" panose="02040503050406030204" pitchFamily="18" charset="0"/>
                          <a:ea typeface="+mn-ea"/>
                          <a:cs typeface="+mn-cs"/>
                        </a:rPr>
                        <m:t>𝑐𝑎𝑐h𝑒</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𝑠𝑖𝑧𝑒</m:t>
                      </m:r>
                    </m:den>
                  </m:f>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𝑒𝑝𝑠𝑖𝑙𝑜𝑛</m:t>
                  </m:r>
                </m:oMath>
              </a14:m>
              <a:endParaRPr lang="en-GB" sz="1400" i="1"/>
            </a:p>
          </xdr:txBody>
        </xdr:sp>
      </mc:Choice>
      <mc:Fallback xmlns="">
        <xdr:sp macro="" textlink="">
          <xdr:nvSpPr>
            <xdr:cNvPr id="10" name="TextBox 76">
              <a:extLst>
                <a:ext uri="{FF2B5EF4-FFF2-40B4-BE49-F238E27FC236}">
                  <a16:creationId xmlns:a16="http://schemas.microsoft.com/office/drawing/2014/main" id="{2E77B4E5-47B2-45D5-A687-C5D8DE34AA57}"/>
                </a:ext>
              </a:extLst>
            </xdr:cNvPr>
            <xdr:cNvSpPr txBox="1"/>
          </xdr:nvSpPr>
          <xdr:spPr>
            <a:xfrm>
              <a:off x="9029700" y="16002000"/>
              <a:ext cx="3333750" cy="51435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chemeClr val="tx1"/>
                  </a:solidFill>
                  <a:effectLst/>
                  <a:ea typeface="+mn-ea"/>
                  <a:cs typeface="+mn-cs"/>
                </a:rPr>
                <a:t>  </a:t>
              </a:r>
              <a:r>
                <a:rPr lang="en-US" sz="1400" b="0" i="0">
                  <a:solidFill>
                    <a:schemeClr val="tx1"/>
                  </a:solidFill>
                  <a:effectLst/>
                  <a:latin typeface="Cambria Math" panose="02040503050406030204" pitchFamily="18" charset="0"/>
                  <a:ea typeface="+mn-ea"/>
                  <a:cs typeface="+mn-cs"/>
                </a:rPr>
                <a:t>𝐿2 𝑚𝑖𝑠𝑠 𝑟𝑎𝑡𝑖𝑜=</a:t>
              </a:r>
              <a:r>
                <a:rPr lang="en-US" sz="1400" b="0" i="0">
                  <a:solidFill>
                    <a:schemeClr val="tx1"/>
                  </a:solidFill>
                  <a:effectLst/>
                  <a:latin typeface="+mn-lt"/>
                  <a:ea typeface="+mn-ea"/>
                  <a:cs typeface="+mn-cs"/>
                </a:rPr>
                <a:t>(𝑛_(𝐺𝑀,𝐺)^(𝑙𝑑,𝑛𝑒𝑡 )</a:t>
              </a:r>
              <a:r>
                <a:rPr lang="en-US" sz="1400" b="0" i="0">
                  <a:solidFill>
                    <a:schemeClr val="tx1"/>
                  </a:solidFill>
                  <a:effectLst/>
                  <a:latin typeface="Cambria Math" panose="02040503050406030204" pitchFamily="18" charset="0"/>
                  <a:ea typeface="+mn-ea"/>
                  <a:cs typeface="+mn-cs"/>
                </a:rPr>
                <a:t>  ∗ 𝑝𝑟𝑒𝑐𝑖𝑠𝑖𝑜𝑛</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𝐿2 𝑐𝑎𝑐ℎ𝑒 𝑠𝑖𝑧𝑒</a:t>
              </a:r>
              <a:r>
                <a:rPr lang="en-US" sz="1400" b="0" i="0">
                  <a:solidFill>
                    <a:schemeClr val="tx1"/>
                  </a:solidFill>
                  <a:effectLst/>
                  <a:latin typeface="+mn-lt"/>
                  <a:ea typeface="+mn-ea"/>
                  <a:cs typeface="+mn-cs"/>
                </a:rPr>
                <a:t>)</a:t>
              </a:r>
              <a:r>
                <a:rPr lang="en-US" sz="1400" b="0" i="0">
                  <a:solidFill>
                    <a:schemeClr val="tx1"/>
                  </a:solidFill>
                  <a:effectLst/>
                  <a:latin typeface="Cambria Math" panose="02040503050406030204" pitchFamily="18" charset="0"/>
                  <a:ea typeface="+mn-ea"/>
                  <a:cs typeface="+mn-cs"/>
                </a:rPr>
                <a:t>  ∗𝑒𝑝𝑠𝑖𝑙𝑜𝑛</a:t>
              </a:r>
              <a:endParaRPr lang="en-GB" sz="1400" i="1"/>
            </a:p>
          </xdr:txBody>
        </xdr:sp>
      </mc:Fallback>
    </mc:AlternateContent>
    <xdr:clientData/>
  </xdr:oneCellAnchor>
  <xdr:oneCellAnchor>
    <xdr:from>
      <xdr:col>7</xdr:col>
      <xdr:colOff>1285876</xdr:colOff>
      <xdr:row>51</xdr:row>
      <xdr:rowOff>57150</xdr:rowOff>
    </xdr:from>
    <xdr:ext cx="2724150" cy="489857"/>
    <mc:AlternateContent xmlns:mc="http://schemas.openxmlformats.org/markup-compatibility/2006" xmlns:a14="http://schemas.microsoft.com/office/drawing/2010/main">
      <mc:Choice Requires="a14">
        <xdr:sp macro="" textlink="">
          <xdr:nvSpPr>
            <xdr:cNvPr id="11" name="TextBox 76">
              <a:extLst>
                <a:ext uri="{FF2B5EF4-FFF2-40B4-BE49-F238E27FC236}">
                  <a16:creationId xmlns:a16="http://schemas.microsoft.com/office/drawing/2014/main" id="{E4DBB61E-F8D9-4ED7-8638-9C39440C2DAA}"/>
                </a:ext>
              </a:extLst>
            </xdr:cNvPr>
            <xdr:cNvSpPr txBox="1"/>
          </xdr:nvSpPr>
          <xdr:spPr>
            <a:xfrm>
              <a:off x="12382501" y="16030575"/>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14:m>
                <m:oMath xmlns:m="http://schemas.openxmlformats.org/officeDocument/2006/math">
                  <m:f>
                    <m:fPr>
                      <m:ctrlPr>
                        <a:rPr lang="en-US" sz="1400" b="0" i="1">
                          <a:solidFill>
                            <a:sysClr val="windowText" lastClr="000000"/>
                          </a:solidFill>
                          <a:latin typeface="Cambria Math" panose="02040503050406030204" pitchFamily="18" charset="0"/>
                        </a:rPr>
                      </m:ctrlPr>
                    </m:fPr>
                    <m:num>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num>
                    <m:den>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𝑡h𝑟𝑒𝑎𝑑</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𝑏𝑙𝑜𝑐𝑘𝑠</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𝑝𝑒𝑟</m:t>
                      </m:r>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𝑔𝑟𝑜𝑢𝑝</m:t>
                      </m:r>
                    </m:den>
                  </m:f>
                </m:oMath>
              </a14:m>
              <a:r>
                <a:rPr lang="en-GB" sz="1400" i="1">
                  <a:latin typeface="Gill Sans MT" panose="020B0502020104020203" pitchFamily="34" charset="0"/>
                </a:rPr>
                <a:t> </a:t>
              </a:r>
            </a:p>
          </xdr:txBody>
        </xdr:sp>
      </mc:Choice>
      <mc:Fallback xmlns="">
        <xdr:sp macro="" textlink="">
          <xdr:nvSpPr>
            <xdr:cNvPr id="11" name="TextBox 76">
              <a:extLst>
                <a:ext uri="{FF2B5EF4-FFF2-40B4-BE49-F238E27FC236}">
                  <a16:creationId xmlns:a16="http://schemas.microsoft.com/office/drawing/2014/main" id="{E4DBB61E-F8D9-4ED7-8638-9C39440C2DAA}"/>
                </a:ext>
              </a:extLst>
            </xdr:cNvPr>
            <xdr:cNvSpPr txBox="1"/>
          </xdr:nvSpPr>
          <xdr:spPr>
            <a:xfrm>
              <a:off x="12382501" y="16030575"/>
              <a:ext cx="2724150" cy="489857"/>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a:solidFill>
                    <a:sysClr val="windowText" lastClr="000000"/>
                  </a:solidFill>
                  <a:latin typeface="Gill Sans MT" panose="020B0502020104020203" pitchFamily="34" charset="0"/>
                </a:rPr>
                <a:t>#</a:t>
              </a:r>
              <a:r>
                <a:rPr lang="en-US" sz="1400" b="0" baseline="0">
                  <a:solidFill>
                    <a:sysClr val="windowText" lastClr="000000"/>
                  </a:solidFill>
                  <a:latin typeface="Gill Sans MT" panose="020B0502020104020203" pitchFamily="34" charset="0"/>
                </a:rPr>
                <a:t> </a:t>
              </a:r>
              <a:r>
                <a:rPr lang="en-US" sz="1400" b="0" baseline="0">
                  <a:solidFill>
                    <a:sysClr val="windowText" lastClr="000000"/>
                  </a:solidFill>
                  <a:latin typeface="Cambria" panose="02040503050406030204" pitchFamily="18" charset="0"/>
                  <a:ea typeface="Cambria" panose="02040503050406030204" pitchFamily="18" charset="0"/>
                </a:rPr>
                <a:t>groups</a:t>
              </a:r>
              <a:r>
                <a:rPr lang="en-US" sz="1400" b="0" baseline="0">
                  <a:solidFill>
                    <a:sysClr val="windowText" lastClr="000000"/>
                  </a:solidFill>
                  <a:latin typeface="Gill Sans MT" panose="020B0502020104020203" pitchFamily="34" charset="0"/>
                </a:rPr>
                <a:t> = </a:t>
              </a:r>
              <a:r>
                <a:rPr lang="en-US" sz="1400" b="0" i="0">
                  <a:solidFill>
                    <a:sysClr val="windowText" lastClr="000000"/>
                  </a:solidFill>
                  <a:latin typeface="Cambria Math" panose="02040503050406030204" pitchFamily="18" charset="0"/>
                </a:rPr>
                <a:t>(# 𝑡ℎ𝑟𝑒𝑎𝑑 𝑏𝑙𝑜𝑐𝑘𝑠)/(# 𝑡ℎ𝑟𝑒𝑎𝑑 𝑏𝑙𝑜𝑐𝑘𝑠 𝑝𝑒𝑟 𝑔𝑟𝑜𝑢𝑝)</a:t>
              </a:r>
              <a:r>
                <a:rPr lang="en-GB" sz="1400" i="1">
                  <a:latin typeface="Gill Sans MT" panose="020B0502020104020203" pitchFamily="34" charset="0"/>
                </a:rPr>
                <a:t> </a:t>
              </a:r>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4</xdr:col>
      <xdr:colOff>0</xdr:colOff>
      <xdr:row>16</xdr:row>
      <xdr:rowOff>0</xdr:rowOff>
    </xdr:from>
    <xdr:ext cx="65" cy="172227"/>
    <xdr:sp macro="" textlink="">
      <xdr:nvSpPr>
        <xdr:cNvPr id="2" name="TextBox 8">
          <a:extLst>
            <a:ext uri="{FF2B5EF4-FFF2-40B4-BE49-F238E27FC236}">
              <a16:creationId xmlns:a16="http://schemas.microsoft.com/office/drawing/2014/main" id="{8CA4BD53-3165-4EE4-9C0A-06A3BAEE154A}"/>
            </a:ext>
          </a:extLst>
        </xdr:cNvPr>
        <xdr:cNvSpPr txBox="1"/>
      </xdr:nvSpPr>
      <xdr:spPr>
        <a:xfrm>
          <a:off x="19199225" y="6296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3</xdr:col>
      <xdr:colOff>510564</xdr:colOff>
      <xdr:row>20</xdr:row>
      <xdr:rowOff>188119</xdr:rowOff>
    </xdr:from>
    <xdr:ext cx="65" cy="172227"/>
    <xdr:sp macro="" textlink="">
      <xdr:nvSpPr>
        <xdr:cNvPr id="4" name="TextBox 8">
          <a:extLst>
            <a:ext uri="{FF2B5EF4-FFF2-40B4-BE49-F238E27FC236}">
              <a16:creationId xmlns:a16="http://schemas.microsoft.com/office/drawing/2014/main" id="{C11181A9-64C0-42A0-9171-63D63B155B87}"/>
            </a:ext>
          </a:extLst>
        </xdr:cNvPr>
        <xdr:cNvSpPr txBox="1"/>
      </xdr:nvSpPr>
      <xdr:spPr>
        <a:xfrm>
          <a:off x="5482614" y="453151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7</xdr:row>
      <xdr:rowOff>0</xdr:rowOff>
    </xdr:from>
    <xdr:ext cx="3289940" cy="172227"/>
    <mc:AlternateContent xmlns:mc="http://schemas.openxmlformats.org/markup-compatibility/2006" xmlns:a14="http://schemas.microsoft.com/office/drawing/2010/main">
      <mc:Choice Requires="a14">
        <xdr:sp macro="" textlink="">
          <xdr:nvSpPr>
            <xdr:cNvPr id="23" name="TextBox 5">
              <a:extLst>
                <a:ext uri="{FF2B5EF4-FFF2-40B4-BE49-F238E27FC236}">
                  <a16:creationId xmlns:a16="http://schemas.microsoft.com/office/drawing/2014/main" id="{3CE79E43-3E90-4211-8C11-B98167221A89}"/>
                </a:ext>
              </a:extLst>
            </xdr:cNvPr>
            <xdr:cNvSpPr txBox="1"/>
          </xdr:nvSpPr>
          <xdr:spPr>
            <a:xfrm>
              <a:off x="2683565" y="2683565"/>
              <a:ext cx="3289940" cy="1722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𝐸</m:t>
                    </m:r>
                    <m:r>
                      <a:rPr lang="en-US" sz="1100" b="0" i="1">
                        <a:latin typeface="Cambria Math" panose="02040503050406030204" pitchFamily="18" charset="0"/>
                      </a:rPr>
                      <m:t>=</m:t>
                    </m:r>
                    <m:r>
                      <a:rPr lang="en-US" sz="1100" b="0" i="1">
                        <a:latin typeface="Cambria Math" panose="02040503050406030204" pitchFamily="18" charset="0"/>
                      </a:rPr>
                      <m:t>𝑃𝑈𝐸</m:t>
                    </m:r>
                    <m:r>
                      <a:rPr lang="en-US" sz="1100" b="0" i="1">
                        <a:latin typeface="Cambria Math" panose="02040503050406030204" pitchFamily="18" charset="0"/>
                      </a:rPr>
                      <m:t>∗</m:t>
                    </m:r>
                    <m:d>
                      <m:dPr>
                        <m:begChr m:val="{"/>
                        <m:endChr m:val="}"/>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𝐸</m:t>
                            </m:r>
                          </m:e>
                          <m:sub>
                            <m:r>
                              <a:rPr lang="en-US" sz="1100" b="0" i="1">
                                <a:latin typeface="Cambria Math" panose="02040503050406030204" pitchFamily="18" charset="0"/>
                              </a:rPr>
                              <m:t>𝑎𝑐𝑐</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𝐸</m:t>
                            </m:r>
                          </m:e>
                          <m:sub>
                            <m:r>
                              <a:rPr lang="en-US" sz="1100" b="0" i="1">
                                <a:latin typeface="Cambria Math" panose="02040503050406030204" pitchFamily="18" charset="0"/>
                              </a:rPr>
                              <m:t>𝑖𝑛𝑡𝑟𝑎𝑐𝑜𝑚𝑚</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𝐸</m:t>
                            </m:r>
                          </m:e>
                          <m:sub>
                            <m:r>
                              <a:rPr lang="en-US" sz="1100" b="0" i="1">
                                <a:latin typeface="Cambria Math" panose="02040503050406030204" pitchFamily="18" charset="0"/>
                              </a:rPr>
                              <m:t>𝑖𝑛𝑡𝑒𝑟𝑐𝑜𝑚𝑚</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𝐸</m:t>
                            </m:r>
                          </m:e>
                          <m:sub>
                            <m:r>
                              <a:rPr lang="en-US" sz="1100" b="0" i="1">
                                <a:latin typeface="Cambria Math" panose="02040503050406030204" pitchFamily="18" charset="0"/>
                              </a:rPr>
                              <m:t>𝑛𝑜𝑑𝑒𝑠</m:t>
                            </m:r>
                          </m:sub>
                        </m:sSub>
                      </m:e>
                    </m:d>
                  </m:oMath>
                </m:oMathPara>
              </a14:m>
              <a:endParaRPr lang="en-GB" sz="1100"/>
            </a:p>
          </xdr:txBody>
        </xdr:sp>
      </mc:Choice>
      <mc:Fallback xmlns="">
        <xdr:sp macro="" textlink="">
          <xdr:nvSpPr>
            <xdr:cNvPr id="23" name="TextBox 5">
              <a:extLst>
                <a:ext uri="{FF2B5EF4-FFF2-40B4-BE49-F238E27FC236}">
                  <a16:creationId xmlns:a16="http://schemas.microsoft.com/office/drawing/2014/main" id="{3CE79E43-3E90-4211-8C11-B98167221A89}"/>
                </a:ext>
              </a:extLst>
            </xdr:cNvPr>
            <xdr:cNvSpPr txBox="1"/>
          </xdr:nvSpPr>
          <xdr:spPr>
            <a:xfrm>
              <a:off x="2683565" y="2683565"/>
              <a:ext cx="3289940" cy="1722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𝐸=𝑃𝑈𝐸∗{𝐸_𝑎𝑐𝑐+𝐸_𝑖𝑛𝑡𝑟𝑎𝑐𝑜𝑚𝑚+𝐸_𝑖𝑛𝑡𝑒𝑟𝑐𝑜𝑚𝑚+𝐸_𝑛𝑜𝑑𝑒𝑠 }</a:t>
              </a:r>
              <a:endParaRPr lang="en-GB" sz="1100"/>
            </a:p>
          </xdr:txBody>
        </xdr:sp>
      </mc:Fallback>
    </mc:AlternateContent>
    <xdr:clientData/>
  </xdr:oneCellAnchor>
  <xdr:oneCellAnchor>
    <xdr:from>
      <xdr:col>5</xdr:col>
      <xdr:colOff>510564</xdr:colOff>
      <xdr:row>29</xdr:row>
      <xdr:rowOff>188119</xdr:rowOff>
    </xdr:from>
    <xdr:ext cx="65" cy="172227"/>
    <xdr:sp macro="" textlink="">
      <xdr:nvSpPr>
        <xdr:cNvPr id="5" name="TextBox 8">
          <a:extLst>
            <a:ext uri="{FF2B5EF4-FFF2-40B4-BE49-F238E27FC236}">
              <a16:creationId xmlns:a16="http://schemas.microsoft.com/office/drawing/2014/main" id="{75A1DA4E-2D9F-4185-B293-9ACCAC3656EA}"/>
            </a:ext>
          </a:extLst>
        </xdr:cNvPr>
        <xdr:cNvSpPr txBox="1"/>
      </xdr:nvSpPr>
      <xdr:spPr>
        <a:xfrm>
          <a:off x="8726912" y="397327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26</xdr:row>
      <xdr:rowOff>0</xdr:rowOff>
    </xdr:from>
    <xdr:ext cx="2744341" cy="35150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1551782-2A32-4825-AA80-FA895B07286A}"/>
                </a:ext>
              </a:extLst>
            </xdr:cNvPr>
            <xdr:cNvSpPr txBox="1"/>
          </xdr:nvSpPr>
          <xdr:spPr>
            <a:xfrm>
              <a:off x="2686050" y="8829675"/>
              <a:ext cx="2744341" cy="35150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𝑎𝑐𝑡𝑖𝑣𝑒</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𝑈</m:t>
                        </m:r>
                        <m:r>
                          <a:rPr lang="en-US" sz="1100" b="0" i="1">
                            <a:latin typeface="Cambria Math" panose="02040503050406030204" pitchFamily="18" charset="0"/>
                          </a:rPr>
                          <m:t>∗(</m:t>
                        </m:r>
                        <m:r>
                          <a:rPr lang="en-US" sz="1100" b="0" i="1">
                            <a:latin typeface="Cambria Math" panose="02040503050406030204" pitchFamily="18" charset="0"/>
                          </a:rPr>
                          <m:t>𝑃</m:t>
                        </m:r>
                      </m:e>
                      <m:sub>
                        <m:r>
                          <a:rPr lang="en-US" sz="1100" b="0" i="1">
                            <a:latin typeface="Cambria Math" panose="02040503050406030204" pitchFamily="18" charset="0"/>
                          </a:rPr>
                          <m:t>𝑡𝑑𝑝</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𝑖𝑛𝑡𝑟𝑎𝑐𝑜𝑛𝑛𝑒𝑐𝑡</m:t>
                        </m:r>
                      </m:sub>
                    </m:sSub>
                    <m:r>
                      <a:rPr lang="en-US" sz="1100" b="0" i="1">
                        <a:latin typeface="Cambria Math" panose="02040503050406030204" pitchFamily="18" charset="0"/>
                      </a:rPr>
                      <m:t>) ∗</m:t>
                    </m:r>
                    <m:sSup>
                      <m:sSupPr>
                        <m:ctrlPr>
                          <a:rPr lang="en-US" sz="1100" b="0" i="1">
                            <a:latin typeface="Cambria Math" panose="02040503050406030204" pitchFamily="18" charset="0"/>
                          </a:rPr>
                        </m:ctrlPr>
                      </m:sSupPr>
                      <m:e>
                        <m:r>
                          <a:rPr lang="en-US" sz="1100" b="0" i="1">
                            <a:solidFill>
                              <a:schemeClr val="tx1"/>
                            </a:solidFill>
                            <a:effectLst/>
                            <a:latin typeface="Cambria Math" panose="02040503050406030204" pitchFamily="18" charset="0"/>
                            <a:ea typeface="+mn-ea"/>
                            <a:cs typeface="+mn-cs"/>
                          </a:rPr>
                          <m:t>(</m:t>
                        </m:r>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𝑓</m:t>
                            </m:r>
                          </m:num>
                          <m:den>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𝑓</m:t>
                                </m:r>
                              </m:e>
                              <m:sub>
                                <m:r>
                                  <a:rPr lang="en-US" sz="1100" b="0" i="1">
                                    <a:solidFill>
                                      <a:schemeClr val="tx1"/>
                                    </a:solidFill>
                                    <a:effectLst/>
                                    <a:latin typeface="Cambria Math" panose="02040503050406030204" pitchFamily="18" charset="0"/>
                                    <a:ea typeface="+mn-ea"/>
                                    <a:cs typeface="+mn-cs"/>
                                  </a:rPr>
                                  <m:t>𝑇𝐷𝑃</m:t>
                                </m:r>
                              </m:sub>
                            </m:sSub>
                          </m:den>
                        </m:f>
                        <m:r>
                          <a:rPr lang="en-US" sz="1100" b="0" i="1">
                            <a:solidFill>
                              <a:schemeClr val="tx1"/>
                            </a:solidFill>
                            <a:effectLst/>
                            <a:latin typeface="Cambria Math" panose="02040503050406030204" pitchFamily="18" charset="0"/>
                            <a:ea typeface="+mn-ea"/>
                            <a:cs typeface="+mn-cs"/>
                          </a:rPr>
                          <m:t>)</m:t>
                        </m:r>
                      </m:e>
                      <m:sup>
                        <m:r>
                          <a:rPr lang="en-US" sz="1100" b="0" i="1">
                            <a:latin typeface="Cambria Math" panose="02040503050406030204" pitchFamily="18" charset="0"/>
                          </a:rPr>
                          <m:t>3</m:t>
                        </m:r>
                      </m:sup>
                    </m:sSup>
                  </m:oMath>
                </m:oMathPara>
              </a14:m>
              <a:endParaRPr lang="en-GB" sz="1100"/>
            </a:p>
          </xdr:txBody>
        </xdr:sp>
      </mc:Choice>
      <mc:Fallback xmlns="">
        <xdr:sp macro="" textlink="">
          <xdr:nvSpPr>
            <xdr:cNvPr id="6" name="TextBox 5">
              <a:extLst>
                <a:ext uri="{FF2B5EF4-FFF2-40B4-BE49-F238E27FC236}">
                  <a16:creationId xmlns:a16="http://schemas.microsoft.com/office/drawing/2014/main" id="{71551782-2A32-4825-AA80-FA895B07286A}"/>
                </a:ext>
              </a:extLst>
            </xdr:cNvPr>
            <xdr:cNvSpPr txBox="1"/>
          </xdr:nvSpPr>
          <xdr:spPr>
            <a:xfrm>
              <a:off x="2686050" y="8829675"/>
              <a:ext cx="2744341" cy="35150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𝑃_𝑎𝑐𝑡𝑖𝑣𝑒=〖𝑈∗(𝑃〗_𝑡𝑑𝑝−𝑃_𝑖𝑛𝑡𝑟𝑎𝑐𝑜𝑛𝑛𝑒𝑐𝑡) ∗〖</a:t>
              </a:r>
              <a:r>
                <a:rPr lang="en-US" sz="1100" b="0" i="0">
                  <a:solidFill>
                    <a:schemeClr val="tx1"/>
                  </a:solidFill>
                  <a:effectLst/>
                  <a:latin typeface="Cambria Math" panose="02040503050406030204" pitchFamily="18" charset="0"/>
                  <a:ea typeface="+mn-ea"/>
                  <a:cs typeface="+mn-cs"/>
                </a:rPr>
                <a:t>(𝑓/𝑓_𝑇𝐷𝑃 )〗^</a:t>
              </a:r>
              <a:r>
                <a:rPr lang="en-US" sz="1100" b="0" i="0">
                  <a:latin typeface="Cambria Math" panose="02040503050406030204" pitchFamily="18" charset="0"/>
                </a:rPr>
                <a:t>3</a:t>
              </a:r>
              <a:endParaRPr lang="en-GB" sz="1100"/>
            </a:p>
          </xdr:txBody>
        </xdr:sp>
      </mc:Fallback>
    </mc:AlternateContent>
    <xdr:clientData/>
  </xdr:oneCellAnchor>
  <xdr:oneCellAnchor>
    <xdr:from>
      <xdr:col>5</xdr:col>
      <xdr:colOff>510564</xdr:colOff>
      <xdr:row>20</xdr:row>
      <xdr:rowOff>188119</xdr:rowOff>
    </xdr:from>
    <xdr:ext cx="65" cy="172227"/>
    <xdr:sp macro="" textlink="">
      <xdr:nvSpPr>
        <xdr:cNvPr id="7" name="TextBox 8">
          <a:extLst>
            <a:ext uri="{FF2B5EF4-FFF2-40B4-BE49-F238E27FC236}">
              <a16:creationId xmlns:a16="http://schemas.microsoft.com/office/drawing/2014/main" id="{ED627309-CBE0-4B09-B869-88EAB2E4CDEE}"/>
            </a:ext>
          </a:extLst>
        </xdr:cNvPr>
        <xdr:cNvSpPr txBox="1"/>
      </xdr:nvSpPr>
      <xdr:spPr>
        <a:xfrm>
          <a:off x="8726912" y="857840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17</xdr:row>
      <xdr:rowOff>0</xdr:rowOff>
    </xdr:from>
    <xdr:ext cx="65" cy="172227"/>
    <xdr:sp macro="" textlink="">
      <xdr:nvSpPr>
        <xdr:cNvPr id="8" name="TextBox 7">
          <a:extLst>
            <a:ext uri="{FF2B5EF4-FFF2-40B4-BE49-F238E27FC236}">
              <a16:creationId xmlns:a16="http://schemas.microsoft.com/office/drawing/2014/main" id="{74EE0021-136E-4196-A9AB-32D57A76557F}"/>
            </a:ext>
          </a:extLst>
        </xdr:cNvPr>
        <xdr:cNvSpPr txBox="1"/>
      </xdr:nvSpPr>
      <xdr:spPr>
        <a:xfrm>
          <a:off x="2683565" y="5880652"/>
          <a:ext cx="65" cy="1722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5</xdr:col>
      <xdr:colOff>510564</xdr:colOff>
      <xdr:row>39</xdr:row>
      <xdr:rowOff>188119</xdr:rowOff>
    </xdr:from>
    <xdr:ext cx="65" cy="172227"/>
    <xdr:sp macro="" textlink="">
      <xdr:nvSpPr>
        <xdr:cNvPr id="9" name="TextBox 8">
          <a:extLst>
            <a:ext uri="{FF2B5EF4-FFF2-40B4-BE49-F238E27FC236}">
              <a16:creationId xmlns:a16="http://schemas.microsoft.com/office/drawing/2014/main" id="{A6D3B15C-F590-4AA7-BF41-5B346C313619}"/>
            </a:ext>
          </a:extLst>
        </xdr:cNvPr>
        <xdr:cNvSpPr txBox="1"/>
      </xdr:nvSpPr>
      <xdr:spPr>
        <a:xfrm>
          <a:off x="8726912" y="898424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36</xdr:row>
      <xdr:rowOff>0</xdr:rowOff>
    </xdr:from>
    <xdr:ext cx="1618135" cy="187039"/>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5C1636D7-0F1D-4212-9B1C-841B1429D37D}"/>
                </a:ext>
              </a:extLst>
            </xdr:cNvPr>
            <xdr:cNvSpPr txBox="1"/>
          </xdr:nvSpPr>
          <xdr:spPr>
            <a:xfrm>
              <a:off x="2683565" y="10891630"/>
              <a:ext cx="1618135" cy="18703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𝑖𝑑𝑙𝑒</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𝑎𝑐𝑐</m:t>
                          </m:r>
                        </m:sub>
                      </m:sSub>
                    </m:e>
                    <m:sub>
                      <m:r>
                        <a:rPr lang="en-US" sz="1100" b="0" i="1">
                          <a:latin typeface="Cambria Math" panose="02040503050406030204" pitchFamily="18" charset="0"/>
                        </a:rPr>
                        <m:t>𝑖𝑑𝑙𝑒</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𝑚𝑒𝑚</m:t>
                          </m:r>
                        </m:sub>
                      </m:sSub>
                    </m:e>
                    <m:sub>
                      <m:r>
                        <a:rPr lang="en-US" sz="1100" b="0" i="1">
                          <a:latin typeface="Cambria Math" panose="02040503050406030204" pitchFamily="18" charset="0"/>
                        </a:rPr>
                        <m:t>𝑖𝑑𝑙𝑒</m:t>
                      </m:r>
                    </m:sub>
                  </m:sSub>
                </m:oMath>
              </a14:m>
              <a:r>
                <a:rPr lang="en-GB" sz="1100"/>
                <a:t> </a:t>
              </a:r>
            </a:p>
          </xdr:txBody>
        </xdr:sp>
      </mc:Choice>
      <mc:Fallback xmlns="">
        <xdr:sp macro="" textlink="">
          <xdr:nvSpPr>
            <xdr:cNvPr id="10" name="TextBox 9">
              <a:extLst>
                <a:ext uri="{FF2B5EF4-FFF2-40B4-BE49-F238E27FC236}">
                  <a16:creationId xmlns:a16="http://schemas.microsoft.com/office/drawing/2014/main" id="{5C1636D7-0F1D-4212-9B1C-841B1429D37D}"/>
                </a:ext>
              </a:extLst>
            </xdr:cNvPr>
            <xdr:cNvSpPr txBox="1"/>
          </xdr:nvSpPr>
          <xdr:spPr>
            <a:xfrm>
              <a:off x="2683565" y="10891630"/>
              <a:ext cx="1618135" cy="18703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𝑃_𝑖𝑑𝑙𝑒=〖𝑃_𝑎𝑐𝑐〗_𝑖𝑑𝑙𝑒+〖𝑃_𝑚𝑒𝑚〗_𝑖𝑑𝑙𝑒</a:t>
              </a:r>
              <a:r>
                <a:rPr lang="en-GB" sz="1100"/>
                <a:t> </a:t>
              </a:r>
            </a:p>
          </xdr:txBody>
        </xdr:sp>
      </mc:Fallback>
    </mc:AlternateContent>
    <xdr:clientData/>
  </xdr:oneCellAnchor>
  <xdr:oneCellAnchor>
    <xdr:from>
      <xdr:col>1</xdr:col>
      <xdr:colOff>0</xdr:colOff>
      <xdr:row>17</xdr:row>
      <xdr:rowOff>0</xdr:rowOff>
    </xdr:from>
    <xdr:ext cx="2721899" cy="17222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4DA0DD19-E70E-4BB9-AEED-B1560052AADF}"/>
                </a:ext>
              </a:extLst>
            </xdr:cNvPr>
            <xdr:cNvSpPr txBox="1"/>
          </xdr:nvSpPr>
          <xdr:spPr>
            <a:xfrm>
              <a:off x="2683565" y="5309152"/>
              <a:ext cx="2721899" cy="1722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tx1"/>
                            </a:solidFill>
                            <a:effectLst/>
                            <a:latin typeface="Cambria Math" panose="02040503050406030204" pitchFamily="18" charset="0"/>
                            <a:ea typeface="+mn-ea"/>
                            <a:cs typeface="+mn-cs"/>
                          </a:rPr>
                        </m:ctrlPr>
                      </m:sSub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𝐸</m:t>
                            </m:r>
                          </m:e>
                          <m:sub>
                            <m:r>
                              <a:rPr lang="en-US" sz="1100" b="0" i="1">
                                <a:solidFill>
                                  <a:schemeClr val="tx1"/>
                                </a:solidFill>
                                <a:effectLst/>
                                <a:latin typeface="Cambria Math" panose="02040503050406030204" pitchFamily="18" charset="0"/>
                                <a:ea typeface="+mn-ea"/>
                                <a:cs typeface="+mn-cs"/>
                              </a:rPr>
                              <m:t>𝑎𝑐𝑐</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𝑎𝑐𝑐</m:t>
                        </m:r>
                      </m:sub>
                    </m:sSub>
                    <m:r>
                      <a:rPr lang="en-US" sz="1100" b="0" i="1">
                        <a:solidFill>
                          <a:schemeClr val="tx1"/>
                        </a:solidFill>
                        <a:effectLst/>
                        <a:latin typeface="Cambria Math" panose="02040503050406030204" pitchFamily="18" charset="0"/>
                        <a:ea typeface="+mn-ea"/>
                        <a:cs typeface="+mn-cs"/>
                      </a:rPr>
                      <m:t> ∗</m:t>
                    </m:r>
                    <m:d>
                      <m:dPr>
                        <m:begChr m:val="["/>
                        <m:endChr m:val="]"/>
                        <m:ctrlPr>
                          <a:rPr lang="en-US" sz="1100" b="0" i="1">
                            <a:solidFill>
                              <a:schemeClr val="tx1"/>
                            </a:solidFill>
                            <a:effectLst/>
                            <a:latin typeface="Cambria Math" panose="02040503050406030204" pitchFamily="18" charset="0"/>
                            <a:ea typeface="+mn-ea"/>
                            <a:cs typeface="+mn-cs"/>
                          </a:rPr>
                        </m:ctrlPr>
                      </m:d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𝑇</m:t>
                            </m:r>
                          </m:e>
                          <m:sub>
                            <m:r>
                              <a:rPr lang="en-US" sz="1100" b="0" i="1">
                                <a:solidFill>
                                  <a:schemeClr val="tx1"/>
                                </a:solidFill>
                                <a:effectLst/>
                                <a:latin typeface="Cambria Math" panose="02040503050406030204" pitchFamily="18" charset="0"/>
                                <a:ea typeface="+mn-ea"/>
                                <a:cs typeface="+mn-cs"/>
                              </a:rPr>
                              <m:t>𝑎𝑐𝑡𝑖𝑣𝑒</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en-US" sz="1100" b="0" i="1">
                                <a:solidFill>
                                  <a:schemeClr val="tx1"/>
                                </a:solidFill>
                                <a:effectLst/>
                                <a:latin typeface="Cambria Math" panose="02040503050406030204" pitchFamily="18" charset="0"/>
                                <a:ea typeface="+mn-ea"/>
                                <a:cs typeface="+mn-cs"/>
                              </a:rPr>
                              <m:t>𝑎𝑐𝑡𝑖𝑣𝑒</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𝑇</m:t>
                            </m:r>
                          </m:e>
                          <m:sub>
                            <m:r>
                              <a:rPr lang="en-US" sz="1100" b="0" i="1">
                                <a:solidFill>
                                  <a:schemeClr val="tx1"/>
                                </a:solidFill>
                                <a:effectLst/>
                                <a:latin typeface="Cambria Math" panose="02040503050406030204" pitchFamily="18" charset="0"/>
                                <a:ea typeface="+mn-ea"/>
                                <a:cs typeface="+mn-cs"/>
                              </a:rPr>
                              <m:t>𝑖𝑑𝑙𝑒</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en-US" sz="1100" b="0" i="1">
                                <a:solidFill>
                                  <a:schemeClr val="tx1"/>
                                </a:solidFill>
                                <a:effectLst/>
                                <a:latin typeface="Cambria Math" panose="02040503050406030204" pitchFamily="18" charset="0"/>
                                <a:ea typeface="+mn-ea"/>
                                <a:cs typeface="+mn-cs"/>
                              </a:rPr>
                              <m:t>𝑖𝑑𝑙𝑒</m:t>
                            </m:r>
                          </m:sub>
                        </m:sSub>
                      </m:e>
                    </m:d>
                  </m:oMath>
                </m:oMathPara>
              </a14:m>
              <a:endParaRPr lang="en-GB" sz="1100"/>
            </a:p>
          </xdr:txBody>
        </xdr:sp>
      </mc:Choice>
      <mc:Fallback xmlns="">
        <xdr:sp macro="" textlink="">
          <xdr:nvSpPr>
            <xdr:cNvPr id="11" name="TextBox 10">
              <a:extLst>
                <a:ext uri="{FF2B5EF4-FFF2-40B4-BE49-F238E27FC236}">
                  <a16:creationId xmlns:a16="http://schemas.microsoft.com/office/drawing/2014/main" id="{4DA0DD19-E70E-4BB9-AEED-B1560052AADF}"/>
                </a:ext>
              </a:extLst>
            </xdr:cNvPr>
            <xdr:cNvSpPr txBox="1"/>
          </xdr:nvSpPr>
          <xdr:spPr>
            <a:xfrm>
              <a:off x="2683565" y="5309152"/>
              <a:ext cx="2721899" cy="1722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tx1"/>
                  </a:solidFill>
                  <a:effectLst/>
                  <a:latin typeface="+mn-lt"/>
                  <a:ea typeface="+mn-ea"/>
                  <a:cs typeface="+mn-cs"/>
                </a:rPr>
                <a:t>〖</a:t>
              </a:r>
              <a:r>
                <a:rPr lang="en-US" sz="1100" b="0" i="0">
                  <a:solidFill>
                    <a:schemeClr val="tx1"/>
                  </a:solidFill>
                  <a:effectLst/>
                  <a:latin typeface="Cambria Math" panose="02040503050406030204" pitchFamily="18" charset="0"/>
                  <a:ea typeface="+mn-ea"/>
                  <a:cs typeface="+mn-cs"/>
                </a:rPr>
                <a:t>𝐸_𝑎𝑐𝑐=</a:t>
              </a:r>
              <a:r>
                <a:rPr lang="en-US" sz="1100" b="0" i="0">
                  <a:solidFill>
                    <a:schemeClr val="tx1"/>
                  </a:solidFill>
                  <a:effectLst/>
                  <a:latin typeface="+mn-lt"/>
                  <a:ea typeface="+mn-ea"/>
                  <a:cs typeface="+mn-cs"/>
                </a:rPr>
                <a:t>𝑁〗_𝑎𝑐𝑐  ∗[𝑇_𝑎𝑐𝑡𝑖𝑣𝑒∗𝑃_𝑎𝑐𝑡𝑖𝑣𝑒+𝑇_𝑖𝑑𝑙𝑒∗</a:t>
              </a:r>
              <a:r>
                <a:rPr lang="en-US" sz="1100" b="0" i="0">
                  <a:solidFill>
                    <a:schemeClr val="tx1"/>
                  </a:solidFill>
                  <a:effectLst/>
                  <a:latin typeface="Cambria Math" panose="02040503050406030204" pitchFamily="18" charset="0"/>
                  <a:ea typeface="+mn-ea"/>
                  <a:cs typeface="+mn-cs"/>
                </a:rPr>
                <a:t>𝑃_𝑖𝑑𝑙𝑒</a:t>
              </a:r>
              <a:r>
                <a:rPr lang="en-US" sz="1100" b="0" i="0">
                  <a:solidFill>
                    <a:schemeClr val="tx1"/>
                  </a:solidFill>
                  <a:effectLst/>
                  <a:latin typeface="+mn-lt"/>
                  <a:ea typeface="+mn-ea"/>
                  <a:cs typeface="+mn-cs"/>
                </a:rPr>
                <a:t> ]</a:t>
              </a:r>
              <a:endParaRPr lang="en-GB" sz="1100"/>
            </a:p>
          </xdr:txBody>
        </xdr:sp>
      </mc:Fallback>
    </mc:AlternateContent>
    <xdr:clientData/>
  </xdr:oneCellAnchor>
  <xdr:oneCellAnchor>
    <xdr:from>
      <xdr:col>3</xdr:col>
      <xdr:colOff>510564</xdr:colOff>
      <xdr:row>48</xdr:row>
      <xdr:rowOff>188119</xdr:rowOff>
    </xdr:from>
    <xdr:ext cx="65" cy="172227"/>
    <xdr:sp macro="" textlink="">
      <xdr:nvSpPr>
        <xdr:cNvPr id="12" name="TextBox 11">
          <a:extLst>
            <a:ext uri="{FF2B5EF4-FFF2-40B4-BE49-F238E27FC236}">
              <a16:creationId xmlns:a16="http://schemas.microsoft.com/office/drawing/2014/main" id="{ACEF2275-7AF6-46BD-B7D7-CA1F7571D300}"/>
            </a:ext>
          </a:extLst>
        </xdr:cNvPr>
        <xdr:cNvSpPr txBox="1"/>
      </xdr:nvSpPr>
      <xdr:spPr>
        <a:xfrm>
          <a:off x="8726912" y="1242981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45</xdr:row>
      <xdr:rowOff>0</xdr:rowOff>
    </xdr:from>
    <xdr:ext cx="4069127" cy="187039"/>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8C26D05-5152-4265-B784-23808761556E}"/>
                </a:ext>
              </a:extLst>
            </xdr:cNvPr>
            <xdr:cNvSpPr txBox="1"/>
          </xdr:nvSpPr>
          <xdr:spPr>
            <a:xfrm>
              <a:off x="2683565" y="13964478"/>
              <a:ext cx="4069127" cy="18703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𝐸</m:t>
                      </m:r>
                    </m:e>
                    <m:sub>
                      <m:r>
                        <a:rPr lang="en-US" sz="1100" b="0" i="1">
                          <a:latin typeface="Cambria Math" panose="02040503050406030204" pitchFamily="18" charset="0"/>
                        </a:rPr>
                        <m:t>𝑖𝑛𝑡𝑟𝑎𝑐𝑜𝑚𝑚</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sSub>
                        <m:sSubPr>
                          <m:ctrlPr>
                            <a:rPr lang="en-US" sz="1100" b="0" i="1">
                              <a:latin typeface="Cambria Math" panose="02040503050406030204" pitchFamily="18" charset="0"/>
                            </a:rPr>
                          </m:ctrlPr>
                        </m:sSubPr>
                        <m:e>
                          <m:r>
                            <a:rPr lang="en-US" sz="1100" b="0" i="1">
                              <a:latin typeface="Cambria Math" panose="02040503050406030204" pitchFamily="18" charset="0"/>
                            </a:rPr>
                            <m:t>𝐸</m:t>
                          </m:r>
                        </m:e>
                        <m:sub>
                          <m:r>
                            <a:rPr lang="en-US" sz="1100" b="0" i="1">
                              <a:latin typeface="Cambria Math" panose="02040503050406030204" pitchFamily="18" charset="0"/>
                            </a:rPr>
                            <m:t>𝑏𝑖𝑡</m:t>
                          </m:r>
                        </m:sub>
                      </m:sSub>
                    </m:e>
                    <m:sub>
                      <m:r>
                        <a:rPr lang="en-US" sz="1100" b="0" i="1">
                          <a:latin typeface="Cambria Math" panose="02040503050406030204" pitchFamily="18" charset="0"/>
                        </a:rPr>
                        <m:t>𝑖𝑛𝑡𝑟𝑎</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𝑇</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𝑖𝑛𝑡𝑟𝑎</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𝑖𝑛𝑡𝑟𝑎</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𝐷</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𝑖𝑛𝑡𝑟𝑎</m:t>
                          </m:r>
                        </m:sub>
                      </m:sSub>
                    </m:sub>
                  </m:sSub>
                  <m:r>
                    <a:rPr lang="en-US" sz="1100" b="0" i="1">
                      <a:latin typeface="Cambria Math" panose="02040503050406030204" pitchFamily="18" charset="0"/>
                    </a:rPr>
                    <m:t>+</m:t>
                  </m:r>
                  <m:sSub>
                    <m:sSubPr>
                      <m:ctrlPr>
                        <a:rPr lang="en-US" sz="1100" b="0" i="1">
                          <a:solidFill>
                            <a:sysClr val="windowText" lastClr="000000"/>
                          </a:solidFill>
                          <a:latin typeface="Cambria Math" panose="02040503050406030204" pitchFamily="18" charset="0"/>
                        </a:rPr>
                      </m:ctrlPr>
                    </m:sSubPr>
                    <m:e>
                      <m:r>
                        <a:rPr lang="en-US" sz="1100" b="0" i="1">
                          <a:solidFill>
                            <a:sysClr val="windowText" lastClr="000000"/>
                          </a:solidFill>
                          <a:latin typeface="Cambria Math" panose="02040503050406030204" pitchFamily="18" charset="0"/>
                        </a:rPr>
                        <m:t>𝑉</m:t>
                      </m:r>
                    </m:e>
                    <m:sub>
                      <m:r>
                        <a:rPr lang="en-US" sz="1100" b="0" i="1">
                          <a:solidFill>
                            <a:sysClr val="windowText" lastClr="000000"/>
                          </a:solidFill>
                          <a:latin typeface="Cambria Math" panose="02040503050406030204" pitchFamily="18" charset="0"/>
                        </a:rPr>
                        <m:t>𝑀𝑜</m:t>
                      </m:r>
                      <m:sSub>
                        <m:sSubPr>
                          <m:ctrlPr>
                            <a:rPr lang="en-US" sz="1100" b="0" i="1">
                              <a:solidFill>
                                <a:sysClr val="windowText" lastClr="000000"/>
                              </a:solidFill>
                              <a:latin typeface="Cambria Math" panose="02040503050406030204" pitchFamily="18" charset="0"/>
                            </a:rPr>
                          </m:ctrlPr>
                        </m:sSubPr>
                        <m:e>
                          <m:r>
                            <a:rPr lang="en-US" sz="1100" b="0" i="1">
                              <a:solidFill>
                                <a:sysClr val="windowText" lastClr="000000"/>
                              </a:solidFill>
                              <a:latin typeface="Cambria Math" panose="02040503050406030204" pitchFamily="18" charset="0"/>
                            </a:rPr>
                            <m:t>𝐸</m:t>
                          </m:r>
                        </m:e>
                        <m:sub>
                          <m:r>
                            <a:rPr lang="en-US" sz="1100" b="0" i="1">
                              <a:solidFill>
                                <a:sysClr val="windowText" lastClr="000000"/>
                              </a:solidFill>
                              <a:latin typeface="Cambria Math" panose="02040503050406030204" pitchFamily="18" charset="0"/>
                            </a:rPr>
                            <m:t>𝑖𝑛𝑡𝑟𝑎</m:t>
                          </m:r>
                        </m:sub>
                      </m:sSub>
                    </m:sub>
                  </m:sSub>
                  <m:r>
                    <a:rPr lang="en-US" sz="1100" b="0" i="1">
                      <a:solidFill>
                        <a:sysClr val="windowText" lastClr="000000"/>
                      </a:solidFill>
                      <a:latin typeface="Cambria Math" panose="02040503050406030204" pitchFamily="18" charset="0"/>
                    </a:rPr>
                    <m:t>)</m:t>
                  </m:r>
                </m:oMath>
              </a14:m>
              <a:r>
                <a:rPr lang="en-GB" sz="1100">
                  <a:solidFill>
                    <a:sysClr val="windowText" lastClr="000000"/>
                  </a:solidFill>
                </a:rPr>
                <a:t>  </a:t>
              </a:r>
              <a:endParaRPr lang="en-GB" sz="1100"/>
            </a:p>
          </xdr:txBody>
        </xdr:sp>
      </mc:Choice>
      <mc:Fallback xmlns="">
        <xdr:sp macro="" textlink="">
          <xdr:nvSpPr>
            <xdr:cNvPr id="13" name="TextBox 12">
              <a:extLst>
                <a:ext uri="{FF2B5EF4-FFF2-40B4-BE49-F238E27FC236}">
                  <a16:creationId xmlns:a16="http://schemas.microsoft.com/office/drawing/2014/main" id="{38C26D05-5152-4265-B784-23808761556E}"/>
                </a:ext>
              </a:extLst>
            </xdr:cNvPr>
            <xdr:cNvSpPr txBox="1"/>
          </xdr:nvSpPr>
          <xdr:spPr>
            <a:xfrm>
              <a:off x="2683565" y="13964478"/>
              <a:ext cx="4069127" cy="18703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𝐸_𝑖𝑛𝑡𝑟𝑎𝑐𝑜𝑚𝑚=〖𝐸_𝑏𝑖𝑡〗_𝑖𝑛𝑡𝑟𝑎∗(𝑉_(𝑇𝑃_𝑖𝑛𝑡𝑟𝑎 )+𝑉_(𝑃𝑃_𝑖𝑛𝑡𝑟𝑎 )+𝑉_(𝐷𝑃_𝑖𝑛𝑡𝑟𝑎 )+</a:t>
              </a:r>
              <a:r>
                <a:rPr lang="en-US" sz="1100" b="0" i="0">
                  <a:solidFill>
                    <a:sysClr val="windowText" lastClr="000000"/>
                  </a:solidFill>
                  <a:latin typeface="Cambria Math" panose="02040503050406030204" pitchFamily="18" charset="0"/>
                </a:rPr>
                <a:t>𝑉_(𝑀𝑜𝐸_𝑖𝑛𝑡𝑟𝑎 ))</a:t>
              </a:r>
              <a:r>
                <a:rPr lang="en-GB" sz="1100">
                  <a:solidFill>
                    <a:sysClr val="windowText" lastClr="000000"/>
                  </a:solidFill>
                </a:rPr>
                <a:t>  </a:t>
              </a:r>
              <a:endParaRPr lang="en-GB" sz="1100"/>
            </a:p>
          </xdr:txBody>
        </xdr:sp>
      </mc:Fallback>
    </mc:AlternateContent>
    <xdr:clientData/>
  </xdr:oneCellAnchor>
  <xdr:oneCellAnchor>
    <xdr:from>
      <xdr:col>4</xdr:col>
      <xdr:colOff>510564</xdr:colOff>
      <xdr:row>93</xdr:row>
      <xdr:rowOff>188119</xdr:rowOff>
    </xdr:from>
    <xdr:ext cx="65" cy="172227"/>
    <xdr:sp macro="" textlink="">
      <xdr:nvSpPr>
        <xdr:cNvPr id="14" name="TextBox 13">
          <a:extLst>
            <a:ext uri="{FF2B5EF4-FFF2-40B4-BE49-F238E27FC236}">
              <a16:creationId xmlns:a16="http://schemas.microsoft.com/office/drawing/2014/main" id="{B0FBFD88-A8F3-4134-94DF-5C2708EA2E67}"/>
            </a:ext>
          </a:extLst>
        </xdr:cNvPr>
        <xdr:cNvSpPr txBox="1"/>
      </xdr:nvSpPr>
      <xdr:spPr>
        <a:xfrm>
          <a:off x="8726912" y="1242981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90</xdr:row>
      <xdr:rowOff>0</xdr:rowOff>
    </xdr:from>
    <xdr:ext cx="4094519" cy="186205"/>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2FC45090-7E6F-40E7-B1EF-A14C75E7B91E}"/>
                </a:ext>
              </a:extLst>
            </xdr:cNvPr>
            <xdr:cNvSpPr txBox="1"/>
          </xdr:nvSpPr>
          <xdr:spPr>
            <a:xfrm>
              <a:off x="2683565" y="18983739"/>
              <a:ext cx="4094519" cy="18620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𝐸</m:t>
                        </m:r>
                      </m:e>
                      <m:sub>
                        <m:r>
                          <a:rPr lang="en-US" sz="1100" b="0" i="1">
                            <a:latin typeface="Cambria Math" panose="02040503050406030204" pitchFamily="18" charset="0"/>
                          </a:rPr>
                          <m:t>𝑖𝑛𝑡𝑒𝑟𝑐𝑜𝑚𝑚</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𝐸</m:t>
                        </m:r>
                      </m:e>
                      <m:sub>
                        <m:r>
                          <a:rPr lang="en-US" sz="1100" b="0" i="1">
                            <a:latin typeface="Cambria Math" panose="02040503050406030204" pitchFamily="18" charset="0"/>
                          </a:rPr>
                          <m:t>𝑏𝑖</m:t>
                        </m:r>
                        <m:sSub>
                          <m:sSubPr>
                            <m:ctrlPr>
                              <a:rPr lang="en-US" sz="1100" b="0" i="1">
                                <a:latin typeface="Cambria Math" panose="02040503050406030204" pitchFamily="18" charset="0"/>
                              </a:rPr>
                            </m:ctrlPr>
                          </m:sSubPr>
                          <m:e>
                            <m:r>
                              <a:rPr lang="en-US" sz="1100" b="0" i="1">
                                <a:latin typeface="Cambria Math" panose="02040503050406030204" pitchFamily="18" charset="0"/>
                              </a:rPr>
                              <m:t>𝑡</m:t>
                            </m:r>
                          </m:e>
                          <m:sub>
                            <m:r>
                              <a:rPr lang="en-US" sz="1100" b="0" i="1">
                                <a:latin typeface="Cambria Math" panose="02040503050406030204" pitchFamily="18" charset="0"/>
                              </a:rPr>
                              <m:t>𝑖𝑛𝑡𝑒𝑟</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m:t>
                        </m:r>
                        <m:r>
                          <a:rPr lang="en-US" sz="1100" b="0" i="1">
                            <a:latin typeface="Cambria Math" panose="02040503050406030204" pitchFamily="18" charset="0"/>
                          </a:rPr>
                          <m:t>𝑉</m:t>
                        </m:r>
                      </m:e>
                      <m:sub>
                        <m:r>
                          <a:rPr lang="en-US" sz="1100" b="0" i="1">
                            <a:latin typeface="Cambria Math" panose="02040503050406030204" pitchFamily="18" charset="0"/>
                          </a:rPr>
                          <m:t>𝑇</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𝑖𝑛𝑡𝑒𝑟</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𝑖𝑛𝑡𝑒𝑟</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𝐷</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𝑖𝑛𝑡𝑒𝑟</m:t>
                            </m:r>
                          </m:sub>
                        </m:sSub>
                      </m:sub>
                    </m:sSub>
                    <m:r>
                      <a:rPr lang="en-US" sz="1100" b="0" i="1">
                        <a:latin typeface="Cambria Math" panose="02040503050406030204" pitchFamily="18" charset="0"/>
                      </a:rPr>
                      <m:t>+</m:t>
                    </m:r>
                    <m:sSub>
                      <m:sSubPr>
                        <m:ctrlPr>
                          <a:rPr lang="en-US" sz="1100" b="0" i="1">
                            <a:solidFill>
                              <a:srgbClr val="FF0000"/>
                            </a:solidFill>
                            <a:latin typeface="Cambria Math" panose="02040503050406030204" pitchFamily="18" charset="0"/>
                          </a:rPr>
                        </m:ctrlPr>
                      </m:sSubPr>
                      <m:e>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𝑉</m:t>
                            </m:r>
                          </m:e>
                          <m:sub>
                            <m:r>
                              <a:rPr lang="en-US" sz="1100" b="0" i="1">
                                <a:solidFill>
                                  <a:srgbClr val="FF0000"/>
                                </a:solidFill>
                                <a:latin typeface="Cambria Math" panose="02040503050406030204" pitchFamily="18" charset="0"/>
                              </a:rPr>
                              <m:t>𝑀𝑜𝐸</m:t>
                            </m:r>
                          </m:sub>
                        </m:sSub>
                      </m:e>
                      <m:sub>
                        <m:r>
                          <a:rPr lang="en-US" sz="1100" b="0" i="1">
                            <a:solidFill>
                              <a:srgbClr val="FF0000"/>
                            </a:solidFill>
                            <a:latin typeface="Cambria Math" panose="02040503050406030204" pitchFamily="18" charset="0"/>
                          </a:rPr>
                          <m:t>𝑖𝑛𝑡𝑒𝑟</m:t>
                        </m:r>
                      </m:sub>
                    </m:sSub>
                    <m:r>
                      <a:rPr lang="en-US" sz="1100" b="0" i="1">
                        <a:latin typeface="Cambria Math" panose="02040503050406030204" pitchFamily="18" charset="0"/>
                      </a:rPr>
                      <m:t>)  </m:t>
                    </m:r>
                  </m:oMath>
                </m:oMathPara>
              </a14:m>
              <a:endParaRPr lang="en-GB" sz="1100"/>
            </a:p>
          </xdr:txBody>
        </xdr:sp>
      </mc:Choice>
      <mc:Fallback xmlns="">
        <xdr:sp macro="" textlink="">
          <xdr:nvSpPr>
            <xdr:cNvPr id="15" name="TextBox 14">
              <a:extLst>
                <a:ext uri="{FF2B5EF4-FFF2-40B4-BE49-F238E27FC236}">
                  <a16:creationId xmlns:a16="http://schemas.microsoft.com/office/drawing/2014/main" id="{2FC45090-7E6F-40E7-B1EF-A14C75E7B91E}"/>
                </a:ext>
              </a:extLst>
            </xdr:cNvPr>
            <xdr:cNvSpPr txBox="1"/>
          </xdr:nvSpPr>
          <xdr:spPr>
            <a:xfrm>
              <a:off x="2683565" y="18983739"/>
              <a:ext cx="4094519" cy="18620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𝐸_𝑖𝑛𝑡𝑒𝑟𝑐𝑜𝑚𝑚=𝐸_(𝑏𝑖𝑡_𝑖𝑛𝑡𝑒𝑟 )∗〖(𝑉〗_(𝑇𝑃_𝑖𝑛𝑡𝑒𝑟 )+𝑉_(𝑃𝑃_𝑖𝑛𝑡𝑒𝑟 )+𝑉_(𝐷𝑃_𝑖𝑛𝑡𝑒𝑟 )+</a:t>
              </a:r>
              <a:r>
                <a:rPr lang="en-US" sz="1100" b="0" i="0">
                  <a:solidFill>
                    <a:srgbClr val="FF0000"/>
                  </a:solidFill>
                  <a:latin typeface="Cambria Math" panose="02040503050406030204" pitchFamily="18" charset="0"/>
                </a:rPr>
                <a:t>〖𝑉_𝑀𝑜𝐸〗_𝑖𝑛𝑡𝑒𝑟</a:t>
              </a:r>
              <a:r>
                <a:rPr lang="en-US" sz="1100" b="0" i="0">
                  <a:latin typeface="Cambria Math" panose="02040503050406030204" pitchFamily="18" charset="0"/>
                </a:rPr>
                <a:t>)  </a:t>
              </a:r>
              <a:endParaRPr lang="en-GB" sz="1100"/>
            </a:p>
          </xdr:txBody>
        </xdr:sp>
      </mc:Fallback>
    </mc:AlternateContent>
    <xdr:clientData/>
  </xdr:oneCellAnchor>
  <xdr:oneCellAnchor>
    <xdr:from>
      <xdr:col>5</xdr:col>
      <xdr:colOff>510564</xdr:colOff>
      <xdr:row>138</xdr:row>
      <xdr:rowOff>188119</xdr:rowOff>
    </xdr:from>
    <xdr:ext cx="65" cy="172227"/>
    <xdr:sp macro="" textlink="">
      <xdr:nvSpPr>
        <xdr:cNvPr id="16" name="TextBox 15">
          <a:extLst>
            <a:ext uri="{FF2B5EF4-FFF2-40B4-BE49-F238E27FC236}">
              <a16:creationId xmlns:a16="http://schemas.microsoft.com/office/drawing/2014/main" id="{EC346CF7-671C-4D48-9C49-B8A9288BC4A6}"/>
            </a:ext>
          </a:extLst>
        </xdr:cNvPr>
        <xdr:cNvSpPr txBox="1"/>
      </xdr:nvSpPr>
      <xdr:spPr>
        <a:xfrm>
          <a:off x="8726912" y="1242981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135</xdr:row>
      <xdr:rowOff>0</xdr:rowOff>
    </xdr:from>
    <xdr:ext cx="1954766" cy="172227"/>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6622C68A-5852-49E6-A000-D8A05B8E14E5}"/>
                </a:ext>
              </a:extLst>
            </xdr:cNvPr>
            <xdr:cNvSpPr txBox="1"/>
          </xdr:nvSpPr>
          <xdr:spPr>
            <a:xfrm>
              <a:off x="2683565" y="18155478"/>
              <a:ext cx="1954766" cy="1722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𝐸</m:t>
                      </m:r>
                    </m:e>
                    <m:sub>
                      <m:r>
                        <a:rPr lang="en-US" sz="1100" b="0" i="1">
                          <a:latin typeface="Cambria Math" panose="02040503050406030204" pitchFamily="18" charset="0"/>
                        </a:rPr>
                        <m:t>𝑛𝑜𝑑𝑒𝑠</m:t>
                      </m:r>
                    </m:sub>
                  </m:sSub>
                  <m:r>
                    <a:rPr lang="en-US" sz="1100" b="0" i="1">
                      <a:latin typeface="Cambria Math" panose="02040503050406030204" pitchFamily="18" charset="0"/>
                    </a:rPr>
                    <m:t> =</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𝑛𝑜𝑑𝑒𝑠</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𝑇</m:t>
                      </m:r>
                    </m:e>
                    <m:sub>
                      <m:r>
                        <a:rPr lang="en-US" sz="1100" b="0" i="1">
                          <a:latin typeface="Cambria Math" panose="02040503050406030204" pitchFamily="18" charset="0"/>
                        </a:rPr>
                        <m:t>𝑡𝑜𝑡𝑎𝑙</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𝑛𝑜𝑑𝑒</m:t>
                      </m:r>
                    </m:sub>
                  </m:sSub>
                </m:oMath>
              </a14:m>
              <a:r>
                <a:rPr lang="en-GB" sz="1100"/>
                <a:t> </a:t>
              </a:r>
            </a:p>
          </xdr:txBody>
        </xdr:sp>
      </mc:Choice>
      <mc:Fallback xmlns="">
        <xdr:sp macro="" textlink="">
          <xdr:nvSpPr>
            <xdr:cNvPr id="17" name="TextBox 16">
              <a:extLst>
                <a:ext uri="{FF2B5EF4-FFF2-40B4-BE49-F238E27FC236}">
                  <a16:creationId xmlns:a16="http://schemas.microsoft.com/office/drawing/2014/main" id="{6622C68A-5852-49E6-A000-D8A05B8E14E5}"/>
                </a:ext>
              </a:extLst>
            </xdr:cNvPr>
            <xdr:cNvSpPr txBox="1"/>
          </xdr:nvSpPr>
          <xdr:spPr>
            <a:xfrm>
              <a:off x="2683565" y="18155478"/>
              <a:ext cx="1954766" cy="17222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𝐸_𝑛𝑜𝑑𝑒𝑠  =𝑁_𝑛𝑜𝑑𝑒𝑠∗𝑇_𝑡𝑜𝑡𝑎𝑙∗𝑃_𝑛𝑜𝑑𝑒</a:t>
              </a:r>
              <a:r>
                <a:rPr lang="en-GB" sz="1100"/>
                <a:t> </a:t>
              </a:r>
            </a:p>
          </xdr:txBody>
        </xdr:sp>
      </mc:Fallback>
    </mc:AlternateContent>
    <xdr:clientData/>
  </xdr:oneCellAnchor>
  <xdr:oneCellAnchor>
    <xdr:from>
      <xdr:col>5</xdr:col>
      <xdr:colOff>510564</xdr:colOff>
      <xdr:row>144</xdr:row>
      <xdr:rowOff>0</xdr:rowOff>
    </xdr:from>
    <xdr:ext cx="65" cy="172227"/>
    <xdr:sp macro="" textlink="">
      <xdr:nvSpPr>
        <xdr:cNvPr id="18" name="TextBox 17">
          <a:extLst>
            <a:ext uri="{FF2B5EF4-FFF2-40B4-BE49-F238E27FC236}">
              <a16:creationId xmlns:a16="http://schemas.microsoft.com/office/drawing/2014/main" id="{4D520737-BDED-4CBA-880C-4B41B2C7397B}"/>
            </a:ext>
          </a:extLst>
        </xdr:cNvPr>
        <xdr:cNvSpPr txBox="1"/>
      </xdr:nvSpPr>
      <xdr:spPr>
        <a:xfrm>
          <a:off x="8726912" y="1242981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2</xdr:col>
      <xdr:colOff>0</xdr:colOff>
      <xdr:row>16</xdr:row>
      <xdr:rowOff>0</xdr:rowOff>
    </xdr:from>
    <xdr:ext cx="65" cy="172227"/>
    <xdr:sp macro="" textlink="">
      <xdr:nvSpPr>
        <xdr:cNvPr id="20" name="TextBox 8">
          <a:extLst>
            <a:ext uri="{FF2B5EF4-FFF2-40B4-BE49-F238E27FC236}">
              <a16:creationId xmlns:a16="http://schemas.microsoft.com/office/drawing/2014/main" id="{CA60755F-43A8-4526-A8BF-DE48A6FBA30A}"/>
            </a:ext>
          </a:extLst>
        </xdr:cNvPr>
        <xdr:cNvSpPr txBox="1"/>
      </xdr:nvSpPr>
      <xdr:spPr>
        <a:xfrm>
          <a:off x="6833152" y="549137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5</xdr:col>
      <xdr:colOff>510564</xdr:colOff>
      <xdr:row>57</xdr:row>
      <xdr:rowOff>188119</xdr:rowOff>
    </xdr:from>
    <xdr:ext cx="65" cy="172227"/>
    <xdr:sp macro="" textlink="">
      <xdr:nvSpPr>
        <xdr:cNvPr id="21" name="TextBox 20">
          <a:extLst>
            <a:ext uri="{FF2B5EF4-FFF2-40B4-BE49-F238E27FC236}">
              <a16:creationId xmlns:a16="http://schemas.microsoft.com/office/drawing/2014/main" id="{4F87C7C6-196B-4C1A-B5EF-E840AEA69614}"/>
            </a:ext>
          </a:extLst>
        </xdr:cNvPr>
        <xdr:cNvSpPr txBox="1"/>
      </xdr:nvSpPr>
      <xdr:spPr>
        <a:xfrm>
          <a:off x="8726912" y="1494772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54</xdr:row>
      <xdr:rowOff>0</xdr:rowOff>
    </xdr:from>
    <xdr:ext cx="6315703" cy="18845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0B5FDBE5-C695-423A-AC17-4E3B6DC39331}"/>
                </a:ext>
              </a:extLst>
            </xdr:cNvPr>
            <xdr:cNvSpPr txBox="1"/>
          </xdr:nvSpPr>
          <xdr:spPr>
            <a:xfrm>
              <a:off x="2683565" y="16474109"/>
              <a:ext cx="6315703" cy="18845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𝑇</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𝑖𝑛𝑡𝑟𝑎</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𝐿</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𝑏𝑎𝑡𝑐h</m:t>
                          </m:r>
                        </m:sub>
                      </m:sSub>
                      <m:r>
                        <a:rPr lang="en-US" sz="1100" b="0" i="1">
                          <a:latin typeface="Cambria Math" panose="02040503050406030204" pitchFamily="18" charset="0"/>
                        </a:rPr>
                        <m:t>∗</m:t>
                      </m:r>
                      <m:r>
                        <a:rPr lang="en-US" sz="1100" b="0" i="1">
                          <a:latin typeface="Cambria Math" panose="02040503050406030204" pitchFamily="18" charset="0"/>
                        </a:rPr>
                        <m:t>𝑁</m:t>
                      </m:r>
                    </m:e>
                    <m:sub>
                      <m:r>
                        <a:rPr lang="en-US" sz="1100" b="0" i="1">
                          <a:latin typeface="Cambria Math" panose="02040503050406030204" pitchFamily="18" charset="0"/>
                        </a:rPr>
                        <m:t>𝑛𝑜𝑑𝑒𝑠</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𝑇𝑃</m:t>
                          </m:r>
                        </m:sub>
                      </m:sSub>
                    </m:e>
                    <m:sub>
                      <m:r>
                        <a:rPr lang="en-US" sz="1100" b="0" i="1">
                          <a:latin typeface="Cambria Math" panose="02040503050406030204" pitchFamily="18" charset="0"/>
                        </a:rPr>
                        <m:t>𝑖𝑛𝑡𝑟𝑎</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𝑎𝑐𝑡</m:t>
                          </m:r>
                        </m:sub>
                      </m:sSub>
                    </m:e>
                    <m:sub>
                      <m:r>
                        <a:rPr lang="en-US" sz="1100" b="0" i="1">
                          <a:latin typeface="Cambria Math" panose="02040503050406030204" pitchFamily="18" charset="0"/>
                        </a:rPr>
                        <m:t>𝑖𝑛𝑡𝑟𝑎</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𝑎𝑐𝑡𝑖𝑣𝑎𝑡𝑖𝑜𝑛</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𝑜</m:t>
                          </m:r>
                        </m:e>
                        <m:sub>
                          <m:r>
                            <a:rPr lang="en-US" sz="1100" b="0" i="1">
                              <a:solidFill>
                                <a:schemeClr val="tx1"/>
                              </a:solidFill>
                              <a:effectLst/>
                              <a:latin typeface="Cambria Math" panose="02040503050406030204" pitchFamily="18" charset="0"/>
                              <a:ea typeface="+mn-ea"/>
                              <a:cs typeface="+mn-cs"/>
                            </a:rPr>
                            <m:t>𝑖𝑛𝑡𝑟𝑎</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𝑒𝑟</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𝑖𝑛𝑡𝑟𝑎</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𝑒𝑟𝑟</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𝑜</m:t>
                          </m:r>
                        </m:e>
                        <m:sub>
                          <m:r>
                            <a:rPr lang="en-US" sz="1100" b="0" i="1">
                              <a:solidFill>
                                <a:schemeClr val="tx1"/>
                              </a:solidFill>
                              <a:effectLst/>
                              <a:latin typeface="Cambria Math" panose="02040503050406030204" pitchFamily="18" charset="0"/>
                              <a:ea typeface="+mn-ea"/>
                              <a:cs typeface="+mn-cs"/>
                            </a:rPr>
                            <m:t>𝑖𝑛𝑡𝑟𝑎</m:t>
                          </m:r>
                        </m:sub>
                      </m:sSub>
                    </m:sub>
                  </m:sSub>
                  <m:r>
                    <a:rPr lang="en-US" sz="1100" b="0" i="1">
                      <a:latin typeface="Cambria Math" panose="02040503050406030204" pitchFamily="18" charset="0"/>
                    </a:rPr>
                    <m:t>)</m:t>
                  </m:r>
                </m:oMath>
              </a14:m>
              <a:r>
                <a:rPr lang="en-GB" sz="1100"/>
                <a:t> </a:t>
              </a:r>
            </a:p>
          </xdr:txBody>
        </xdr:sp>
      </mc:Choice>
      <mc:Fallback xmlns="">
        <xdr:sp macro="" textlink="">
          <xdr:nvSpPr>
            <xdr:cNvPr id="22" name="TextBox 21">
              <a:extLst>
                <a:ext uri="{FF2B5EF4-FFF2-40B4-BE49-F238E27FC236}">
                  <a16:creationId xmlns:a16="http://schemas.microsoft.com/office/drawing/2014/main" id="{0B5FDBE5-C695-423A-AC17-4E3B6DC39331}"/>
                </a:ext>
              </a:extLst>
            </xdr:cNvPr>
            <xdr:cNvSpPr txBox="1"/>
          </xdr:nvSpPr>
          <xdr:spPr>
            <a:xfrm>
              <a:off x="2683565" y="16474109"/>
              <a:ext cx="6315703" cy="18845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𝑉_(𝑇𝑃_𝑖𝑛𝑡𝑟𝑎 )=〖𝐿∗𝑁_𝑏𝑎𝑡𝑐ℎ∗𝑁〗_𝑛𝑜𝑑𝑒𝑠∗〖𝑁_𝑇𝑃〗_𝑖𝑛𝑡𝑟𝑎∗〖(𝑁_𝑎𝑐𝑡〗_𝑖𝑛𝑡𝑟𝑎∗𝑆_𝑎𝑐𝑡𝑖𝑣𝑎𝑡𝑖𝑜𝑛</a:t>
              </a:r>
              <a:r>
                <a:rPr lang="en-US" sz="1100" b="0" i="0">
                  <a:solidFill>
                    <a:schemeClr val="tx1"/>
                  </a:solidFill>
                  <a:effectLst/>
                  <a:latin typeface="+mn-lt"/>
                  <a:ea typeface="+mn-ea"/>
                  <a:cs typeface="+mn-cs"/>
                </a:rPr>
                <a:t>∗𝑁_(𝑡𝑜𝑝𝑜_𝑖𝑛𝑡𝑟𝑎 )</a:t>
              </a:r>
              <a:r>
                <a:rPr lang="en-US" sz="1100" b="0" i="0">
                  <a:latin typeface="Cambria Math" panose="02040503050406030204" pitchFamily="18" charset="0"/>
                </a:rPr>
                <a:t>+𝑁_(𝑒𝑟𝑟_𝑖𝑛𝑡𝑟𝑎 )∗𝑆_𝑒𝑟𝑟</a:t>
              </a:r>
              <a:r>
                <a:rPr lang="en-US" sz="1100" b="0" i="0">
                  <a:solidFill>
                    <a:schemeClr val="tx1"/>
                  </a:solidFill>
                  <a:effectLst/>
                  <a:latin typeface="+mn-lt"/>
                  <a:ea typeface="+mn-ea"/>
                  <a:cs typeface="+mn-cs"/>
                </a:rPr>
                <a:t>∗𝑁_(𝑡𝑜𝑝𝑜_𝑖𝑛𝑡𝑟𝑎 )</a:t>
              </a:r>
              <a:r>
                <a:rPr lang="en-US" sz="1100" b="0" i="0">
                  <a:latin typeface="Cambria Math" panose="02040503050406030204" pitchFamily="18" charset="0"/>
                </a:rPr>
                <a:t>)</a:t>
              </a:r>
              <a:r>
                <a:rPr lang="en-GB" sz="1100"/>
                <a:t> </a:t>
              </a:r>
            </a:p>
          </xdr:txBody>
        </xdr:sp>
      </mc:Fallback>
    </mc:AlternateContent>
    <xdr:clientData/>
  </xdr:oneCellAnchor>
  <xdr:oneCellAnchor>
    <xdr:from>
      <xdr:col>4</xdr:col>
      <xdr:colOff>510564</xdr:colOff>
      <xdr:row>66</xdr:row>
      <xdr:rowOff>188119</xdr:rowOff>
    </xdr:from>
    <xdr:ext cx="65" cy="172227"/>
    <xdr:sp macro="" textlink="">
      <xdr:nvSpPr>
        <xdr:cNvPr id="24" name="TextBox 23">
          <a:extLst>
            <a:ext uri="{FF2B5EF4-FFF2-40B4-BE49-F238E27FC236}">
              <a16:creationId xmlns:a16="http://schemas.microsoft.com/office/drawing/2014/main" id="{C7FE7E69-8AE6-41B8-A269-5D6CFF8BC9CD}"/>
            </a:ext>
          </a:extLst>
        </xdr:cNvPr>
        <xdr:cNvSpPr txBox="1"/>
      </xdr:nvSpPr>
      <xdr:spPr>
        <a:xfrm>
          <a:off x="8726912" y="1768098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63</xdr:row>
      <xdr:rowOff>0</xdr:rowOff>
    </xdr:from>
    <xdr:ext cx="6542497" cy="188450"/>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732ECD4-12D3-4F2E-ADD6-029CA41D81D4}"/>
                </a:ext>
              </a:extLst>
            </xdr:cNvPr>
            <xdr:cNvSpPr txBox="1"/>
          </xdr:nvSpPr>
          <xdr:spPr>
            <a:xfrm>
              <a:off x="2686050" y="19126200"/>
              <a:ext cx="6542497" cy="18845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𝑃𝑃</m:t>
                        </m:r>
                        <m:r>
                          <a:rPr lang="en-US" sz="1100" b="0" i="1">
                            <a:latin typeface="Cambria Math" panose="02040503050406030204" pitchFamily="18" charset="0"/>
                          </a:rPr>
                          <m:t>_</m:t>
                        </m:r>
                        <m:r>
                          <a:rPr lang="en-US" sz="1100" b="0" i="1">
                            <a:latin typeface="Cambria Math" panose="02040503050406030204" pitchFamily="18" charset="0"/>
                          </a:rPr>
                          <m:t>𝑖𝑛𝑡𝑟𝑎</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𝑏𝑎𝑡𝑐h</m:t>
                            </m:r>
                          </m:sub>
                        </m:sSub>
                        <m:r>
                          <a:rPr lang="en-US" sz="1100" b="0" i="1">
                            <a:latin typeface="Cambria Math" panose="02040503050406030204" pitchFamily="18" charset="0"/>
                          </a:rPr>
                          <m:t>∗</m:t>
                        </m:r>
                        <m:r>
                          <a:rPr lang="en-US" sz="1100" b="0" i="1">
                            <a:latin typeface="Cambria Math" panose="02040503050406030204" pitchFamily="18" charset="0"/>
                          </a:rPr>
                          <m:t>𝑁</m:t>
                        </m:r>
                      </m:e>
                      <m:sub>
                        <m:r>
                          <a:rPr lang="en-US" sz="1100" b="0" i="1">
                            <a:latin typeface="Cambria Math" panose="02040503050406030204" pitchFamily="18" charset="0"/>
                          </a:rPr>
                          <m:t>𝑛𝑜𝑑𝑒𝑠</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𝑃𝑃</m:t>
                            </m:r>
                          </m:sub>
                        </m:sSub>
                      </m:e>
                      <m:sub>
                        <m:r>
                          <a:rPr lang="en-US" sz="1100" b="0" i="1">
                            <a:latin typeface="Cambria Math" panose="02040503050406030204" pitchFamily="18" charset="0"/>
                          </a:rPr>
                          <m:t>𝑖𝑛𝑡𝑟𝑎</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𝑎𝑐𝑡</m:t>
                            </m:r>
                          </m:sub>
                        </m:sSub>
                      </m:e>
                      <m:sub>
                        <m:r>
                          <a:rPr lang="en-US" sz="1100" b="0" i="1">
                            <a:latin typeface="Cambria Math" panose="02040503050406030204" pitchFamily="18" charset="0"/>
                          </a:rPr>
                          <m:t>𝑖𝑛𝑡𝑟𝑎</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𝑎𝑐𝑡𝑖𝑣𝑎𝑡𝑖𝑜𝑛</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𝑒𝑟</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𝑖𝑛𝑡𝑟𝑎</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𝑒𝑟𝑟</m:t>
                        </m:r>
                      </m:sub>
                    </m:sSub>
                    <m:r>
                      <a:rPr lang="en-US" sz="1100" b="0" i="1">
                        <a:latin typeface="Cambria Math" panose="02040503050406030204" pitchFamily="18" charset="0"/>
                      </a:rPr>
                      <m:t>)  </m:t>
                    </m:r>
                    <m:r>
                      <a:rPr lang="en-US" sz="1100" b="0" i="1">
                        <a:latin typeface="Cambria Math" panose="02040503050406030204" pitchFamily="18" charset="0"/>
                      </a:rPr>
                      <m:t>𝑖𝑓</m:t>
                    </m:r>
                    <m:r>
                      <a:rPr lang="en-US" sz="1100" b="0" i="1">
                        <a:latin typeface="Cambria Math" panose="02040503050406030204" pitchFamily="18" charset="0"/>
                      </a:rPr>
                      <m:t> </m:t>
                    </m:r>
                    <m:r>
                      <a:rPr lang="en-US" sz="1100" b="0" i="1">
                        <a:latin typeface="Cambria Math" panose="02040503050406030204" pitchFamily="18" charset="0"/>
                      </a:rPr>
                      <m:t>𝑁</m:t>
                    </m:r>
                    <m:r>
                      <a:rPr lang="en-US" sz="1100" b="0" i="1">
                        <a:latin typeface="Cambria Math" panose="02040503050406030204" pitchFamily="18" charset="0"/>
                      </a:rPr>
                      <m:t>_</m:t>
                    </m:r>
                    <m:r>
                      <a:rPr lang="en-US" sz="1100" b="0" i="1">
                        <a:latin typeface="Cambria Math" panose="02040503050406030204" pitchFamily="18" charset="0"/>
                      </a:rPr>
                      <m:t>𝑃𝑃</m:t>
                    </m:r>
                    <m:r>
                      <a:rPr lang="en-US" sz="1100" b="0" i="1">
                        <a:latin typeface="Cambria Math" panose="02040503050406030204" pitchFamily="18" charset="0"/>
                      </a:rPr>
                      <m:t>_</m:t>
                    </m:r>
                    <m:r>
                      <a:rPr lang="en-US" sz="1100" b="0" i="1">
                        <a:latin typeface="Cambria Math" panose="02040503050406030204" pitchFamily="18" charset="0"/>
                      </a:rPr>
                      <m:t>𝑖𝑛𝑡𝑟𝑎</m:t>
                    </m:r>
                    <m:r>
                      <a:rPr lang="en-US" sz="1100" b="0" i="1">
                        <a:latin typeface="Cambria Math" panose="02040503050406030204" pitchFamily="18" charset="0"/>
                      </a:rPr>
                      <m:t>!=1, </m:t>
                    </m:r>
                    <m:r>
                      <a:rPr lang="en-US" sz="1100" b="0" i="1">
                        <a:latin typeface="Cambria Math" panose="02040503050406030204" pitchFamily="18" charset="0"/>
                      </a:rPr>
                      <m:t>𝑒𝑙𝑠𝑒</m:t>
                    </m:r>
                    <m:r>
                      <a:rPr lang="en-US" sz="1100" b="0" i="1">
                        <a:latin typeface="Cambria Math" panose="02040503050406030204" pitchFamily="18" charset="0"/>
                      </a:rPr>
                      <m:t> 0</m:t>
                    </m:r>
                  </m:oMath>
                </m:oMathPara>
              </a14:m>
              <a:endParaRPr lang="en-GB" sz="1100"/>
            </a:p>
          </xdr:txBody>
        </xdr:sp>
      </mc:Choice>
      <mc:Fallback xmlns="">
        <xdr:sp macro="" textlink="">
          <xdr:nvSpPr>
            <xdr:cNvPr id="25" name="TextBox 24">
              <a:extLst>
                <a:ext uri="{FF2B5EF4-FFF2-40B4-BE49-F238E27FC236}">
                  <a16:creationId xmlns:a16="http://schemas.microsoft.com/office/drawing/2014/main" id="{D732ECD4-12D3-4F2E-ADD6-029CA41D81D4}"/>
                </a:ext>
              </a:extLst>
            </xdr:cNvPr>
            <xdr:cNvSpPr txBox="1"/>
          </xdr:nvSpPr>
          <xdr:spPr>
            <a:xfrm>
              <a:off x="2686050" y="19126200"/>
              <a:ext cx="6542497" cy="18845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𝑉_(𝑃𝑃_𝑖𝑛𝑡𝑟𝑎)=〖𝑁_𝑏𝑎𝑡𝑐ℎ∗𝑁〗_𝑛𝑜𝑑𝑒𝑠∗〖𝑁_𝑃𝑃〗_𝑖𝑛𝑡𝑟𝑎∗〖(𝑁_𝑎𝑐𝑡〗_𝑖𝑛𝑡𝑟𝑎∗𝑆_𝑎𝑐𝑡𝑖𝑣𝑎𝑡𝑖𝑜𝑛+𝑁_(𝑒𝑟𝑟_𝑖𝑛𝑡𝑟𝑎 )∗𝑆_𝑒𝑟𝑟)  𝑖𝑓 𝑁_𝑃𝑃_𝑖𝑛𝑡𝑟𝑎!=1, 𝑒𝑙𝑠𝑒 0</a:t>
              </a:r>
              <a:endParaRPr lang="en-GB" sz="1100"/>
            </a:p>
          </xdr:txBody>
        </xdr:sp>
      </mc:Fallback>
    </mc:AlternateContent>
    <xdr:clientData/>
  </xdr:oneCellAnchor>
  <xdr:oneCellAnchor>
    <xdr:from>
      <xdr:col>4</xdr:col>
      <xdr:colOff>510564</xdr:colOff>
      <xdr:row>75</xdr:row>
      <xdr:rowOff>188119</xdr:rowOff>
    </xdr:from>
    <xdr:ext cx="65" cy="172227"/>
    <xdr:sp macro="" textlink="">
      <xdr:nvSpPr>
        <xdr:cNvPr id="26" name="TextBox 25">
          <a:extLst>
            <a:ext uri="{FF2B5EF4-FFF2-40B4-BE49-F238E27FC236}">
              <a16:creationId xmlns:a16="http://schemas.microsoft.com/office/drawing/2014/main" id="{4582073D-3D29-4FBB-B2CF-0E84850227D8}"/>
            </a:ext>
          </a:extLst>
        </xdr:cNvPr>
        <xdr:cNvSpPr txBox="1"/>
      </xdr:nvSpPr>
      <xdr:spPr>
        <a:xfrm>
          <a:off x="7339989" y="203334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72</xdr:row>
      <xdr:rowOff>0</xdr:rowOff>
    </xdr:from>
    <xdr:ext cx="4526688" cy="186205"/>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752ED416-F036-4782-989C-240673EB18F8}"/>
                </a:ext>
              </a:extLst>
            </xdr:cNvPr>
            <xdr:cNvSpPr txBox="1"/>
          </xdr:nvSpPr>
          <xdr:spPr>
            <a:xfrm>
              <a:off x="2686050" y="21659850"/>
              <a:ext cx="4526688" cy="18620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𝐷𝑃</m:t>
                      </m:r>
                      <m:r>
                        <a:rPr lang="en-US" sz="1100" b="0" i="1">
                          <a:latin typeface="Cambria Math" panose="02040503050406030204" pitchFamily="18" charset="0"/>
                        </a:rPr>
                        <m:t>_</m:t>
                      </m:r>
                      <m:r>
                        <a:rPr lang="en-US" sz="1100" b="0" i="1">
                          <a:latin typeface="Cambria Math" panose="02040503050406030204" pitchFamily="18" charset="0"/>
                        </a:rPr>
                        <m:t>𝑖𝑛𝑡𝑟𝑎</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𝐿</m:t>
                      </m:r>
                      <m:r>
                        <a:rPr lang="en-US" sz="1100" b="0" i="1">
                          <a:latin typeface="Cambria Math" panose="02040503050406030204" pitchFamily="18" charset="0"/>
                        </a:rPr>
                        <m:t>∗</m:t>
                      </m:r>
                      <m:r>
                        <a:rPr lang="en-US" sz="1100" b="0" i="1">
                          <a:latin typeface="Cambria Math" panose="02040503050406030204" pitchFamily="18" charset="0"/>
                        </a:rPr>
                        <m:t>𝑁</m:t>
                      </m:r>
                    </m:e>
                    <m:sub>
                      <m:r>
                        <a:rPr lang="en-US" sz="1100" b="0" i="1">
                          <a:latin typeface="Cambria Math" panose="02040503050406030204" pitchFamily="18" charset="0"/>
                        </a:rPr>
                        <m:t>𝑏𝑎𝑡𝑐h</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𝑛𝑜𝑑𝑒𝑠</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𝐷</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𝑖𝑛𝑡𝑟𝑎</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𝑔𝑟𝑎𝑑𝑖𝑒𝑛𝑡</m:t>
                      </m:r>
                      <m:sSub>
                        <m:sSubPr>
                          <m:ctrlPr>
                            <a:rPr lang="en-US" sz="1100" b="0" i="1">
                              <a:latin typeface="Cambria Math" panose="02040503050406030204" pitchFamily="18" charset="0"/>
                            </a:rPr>
                          </m:ctrlPr>
                        </m:sSubPr>
                        <m:e>
                          <m:r>
                            <a:rPr lang="en-US" sz="1100" b="0" i="1">
                              <a:latin typeface="Cambria Math" panose="02040503050406030204" pitchFamily="18" charset="0"/>
                            </a:rPr>
                            <m:t>𝑠</m:t>
                          </m:r>
                        </m:e>
                        <m:sub>
                          <m:r>
                            <a:rPr lang="en-US" sz="1100" b="0" i="1">
                              <a:latin typeface="Cambria Math" panose="02040503050406030204" pitchFamily="18" charset="0"/>
                            </a:rPr>
                            <m:t>𝑖𝑛𝑡𝑟𝑎</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𝑒𝑟𝑟</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𝑡𝑜𝑝</m:t>
                      </m:r>
                      <m:sSub>
                        <m:sSubPr>
                          <m:ctrlPr>
                            <a:rPr lang="en-US" sz="1100" b="0" i="1">
                              <a:latin typeface="Cambria Math" panose="02040503050406030204" pitchFamily="18" charset="0"/>
                            </a:rPr>
                          </m:ctrlPr>
                        </m:sSubPr>
                        <m:e>
                          <m:r>
                            <a:rPr lang="en-US" sz="1100" b="0" i="1">
                              <a:latin typeface="Cambria Math" panose="02040503050406030204" pitchFamily="18" charset="0"/>
                            </a:rPr>
                            <m:t>𝑜</m:t>
                          </m:r>
                        </m:e>
                        <m:sub>
                          <m:r>
                            <a:rPr lang="en-US" sz="1100" b="0" i="1">
                              <a:latin typeface="Cambria Math" panose="02040503050406030204" pitchFamily="18" charset="0"/>
                            </a:rPr>
                            <m:t>𝑖𝑛𝑡𝑟𝑎</m:t>
                          </m:r>
                        </m:sub>
                      </m:sSub>
                    </m:sub>
                  </m:sSub>
                </m:oMath>
              </a14:m>
              <a:r>
                <a:rPr lang="en-GB" sz="1100"/>
                <a:t> </a:t>
              </a:r>
            </a:p>
          </xdr:txBody>
        </xdr:sp>
      </mc:Choice>
      <mc:Fallback xmlns="">
        <xdr:sp macro="" textlink="">
          <xdr:nvSpPr>
            <xdr:cNvPr id="27" name="TextBox 26">
              <a:extLst>
                <a:ext uri="{FF2B5EF4-FFF2-40B4-BE49-F238E27FC236}">
                  <a16:creationId xmlns:a16="http://schemas.microsoft.com/office/drawing/2014/main" id="{752ED416-F036-4782-989C-240673EB18F8}"/>
                </a:ext>
              </a:extLst>
            </xdr:cNvPr>
            <xdr:cNvSpPr txBox="1"/>
          </xdr:nvSpPr>
          <xdr:spPr>
            <a:xfrm>
              <a:off x="2686050" y="21659850"/>
              <a:ext cx="4526688" cy="18620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𝑉_(𝐷𝑃_𝑖𝑛𝑡𝑟𝑎)=〖𝐿∗𝑁〗_𝑏𝑎𝑡𝑐ℎ∗𝑁_𝑛𝑜𝑑𝑒𝑠∗𝑁_(𝐷𝑃_𝑖𝑛𝑡𝑟𝑎 )∗𝑁_(𝑔𝑟𝑎𝑑𝑖𝑒𝑛𝑡𝑠_𝑖𝑛𝑡𝑟𝑎 )∗𝑆_𝑒𝑟𝑟∗𝑁_(𝑡𝑜𝑝𝑜_𝑖𝑛𝑡𝑟𝑎 )</a:t>
              </a:r>
              <a:r>
                <a:rPr lang="en-GB" sz="1100"/>
                <a:t> </a:t>
              </a:r>
            </a:p>
          </xdr:txBody>
        </xdr:sp>
      </mc:Fallback>
    </mc:AlternateContent>
    <xdr:clientData/>
  </xdr:oneCellAnchor>
  <xdr:oneCellAnchor>
    <xdr:from>
      <xdr:col>5</xdr:col>
      <xdr:colOff>510564</xdr:colOff>
      <xdr:row>102</xdr:row>
      <xdr:rowOff>188119</xdr:rowOff>
    </xdr:from>
    <xdr:ext cx="65" cy="172227"/>
    <xdr:sp macro="" textlink="">
      <xdr:nvSpPr>
        <xdr:cNvPr id="28" name="TextBox 27">
          <a:extLst>
            <a:ext uri="{FF2B5EF4-FFF2-40B4-BE49-F238E27FC236}">
              <a16:creationId xmlns:a16="http://schemas.microsoft.com/office/drawing/2014/main" id="{DD326F65-7F6F-49F3-B587-58359A9ECA4B}"/>
            </a:ext>
          </a:extLst>
        </xdr:cNvPr>
        <xdr:cNvSpPr txBox="1"/>
      </xdr:nvSpPr>
      <xdr:spPr>
        <a:xfrm>
          <a:off x="8721114" y="1779984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99</xdr:row>
      <xdr:rowOff>0</xdr:rowOff>
    </xdr:from>
    <xdr:ext cx="5744778" cy="188450"/>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E650D959-2084-4C48-BAFD-DDFAEFEFFDCE}"/>
                </a:ext>
              </a:extLst>
            </xdr:cNvPr>
            <xdr:cNvSpPr txBox="1"/>
          </xdr:nvSpPr>
          <xdr:spPr>
            <a:xfrm>
              <a:off x="2686050" y="26727150"/>
              <a:ext cx="5744778" cy="18845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𝑇</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𝑖𝑛𝑡𝑒𝑟</m:t>
                            </m:r>
                          </m:sub>
                        </m:sSub>
                      </m:sub>
                    </m:sSub>
                    <m:r>
                      <a:rPr lang="en-US" sz="1100" b="0" i="1">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𝐿</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𝑏𝑎𝑡𝑐h</m:t>
                            </m:r>
                          </m:sub>
                        </m:sSub>
                      </m:e>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𝑇𝑃</m:t>
                            </m:r>
                          </m:sub>
                        </m:sSub>
                      </m:e>
                      <m:sub>
                        <m:r>
                          <a:rPr lang="en-US" sz="1100" b="0" i="1">
                            <a:solidFill>
                              <a:schemeClr val="tx1"/>
                            </a:solidFill>
                            <a:effectLst/>
                            <a:latin typeface="Cambria Math" panose="02040503050406030204" pitchFamily="18" charset="0"/>
                            <a:ea typeface="+mn-ea"/>
                            <a:cs typeface="+mn-cs"/>
                          </a:rPr>
                          <m:t>𝑖𝑛𝑡𝑒𝑟</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𝑎𝑐𝑡</m:t>
                            </m:r>
                          </m:sub>
                        </m:sSub>
                      </m:e>
                      <m:sub>
                        <m:r>
                          <a:rPr lang="en-US" sz="1100" b="0" i="1">
                            <a:solidFill>
                              <a:schemeClr val="tx1"/>
                            </a:solidFill>
                            <a:effectLst/>
                            <a:latin typeface="Cambria Math" panose="02040503050406030204" pitchFamily="18" charset="0"/>
                            <a:ea typeface="+mn-ea"/>
                            <a:cs typeface="+mn-cs"/>
                          </a:rPr>
                          <m:t>𝑖𝑛𝑡𝑒𝑟</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𝑎𝑐𝑡𝑖𝑣𝑎𝑡𝑖𝑜𝑛</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𝑜</m:t>
                            </m:r>
                          </m:e>
                          <m:sub>
                            <m:r>
                              <a:rPr lang="en-US" sz="1100" b="0" i="1">
                                <a:solidFill>
                                  <a:schemeClr val="tx1"/>
                                </a:solidFill>
                                <a:effectLst/>
                                <a:latin typeface="Cambria Math" panose="02040503050406030204" pitchFamily="18" charset="0"/>
                                <a:ea typeface="+mn-ea"/>
                                <a:cs typeface="+mn-cs"/>
                              </a:rPr>
                              <m:t>𝑖𝑛𝑡𝑒𝑟</m:t>
                            </m:r>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𝑒𝑟</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𝑟</m:t>
                            </m:r>
                          </m:e>
                          <m:sub>
                            <m:r>
                              <a:rPr lang="en-US" sz="1100" b="0" i="1">
                                <a:solidFill>
                                  <a:schemeClr val="tx1"/>
                                </a:solidFill>
                                <a:effectLst/>
                                <a:latin typeface="Cambria Math" panose="02040503050406030204" pitchFamily="18" charset="0"/>
                                <a:ea typeface="+mn-ea"/>
                                <a:cs typeface="+mn-cs"/>
                              </a:rPr>
                              <m:t>𝑖𝑛𝑡𝑒𝑟</m:t>
                            </m:r>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𝑒𝑟𝑟</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𝑜</m:t>
                            </m:r>
                          </m:e>
                          <m:sub>
                            <m:r>
                              <a:rPr lang="en-US" sz="1100" b="0" i="1">
                                <a:solidFill>
                                  <a:schemeClr val="tx1"/>
                                </a:solidFill>
                                <a:effectLst/>
                                <a:latin typeface="Cambria Math" panose="02040503050406030204" pitchFamily="18" charset="0"/>
                                <a:ea typeface="+mn-ea"/>
                                <a:cs typeface="+mn-cs"/>
                              </a:rPr>
                              <m:t>𝑖𝑛𝑡𝑒𝑟</m:t>
                            </m:r>
                          </m:sub>
                        </m:sSub>
                      </m:sub>
                    </m:sSub>
                    <m:r>
                      <a:rPr lang="en-US" sz="1100" b="0" i="1">
                        <a:solidFill>
                          <a:schemeClr val="tx1"/>
                        </a:solidFill>
                        <a:effectLst/>
                        <a:latin typeface="Cambria Math" panose="02040503050406030204" pitchFamily="18" charset="0"/>
                        <a:ea typeface="+mn-ea"/>
                        <a:cs typeface="+mn-cs"/>
                      </a:rPr>
                      <m:t>)</m:t>
                    </m:r>
                    <m:r>
                      <m:rPr>
                        <m:nor/>
                      </m:rPr>
                      <a:rPr lang="en-GB" sz="1100">
                        <a:solidFill>
                          <a:schemeClr val="tx1"/>
                        </a:solidFill>
                        <a:effectLst/>
                        <a:latin typeface="+mn-lt"/>
                        <a:ea typeface="+mn-ea"/>
                        <a:cs typeface="+mn-cs"/>
                      </a:rPr>
                      <m:t> </m:t>
                    </m:r>
                  </m:oMath>
                </m:oMathPara>
              </a14:m>
              <a:endParaRPr lang="en-GB" sz="1100"/>
            </a:p>
          </xdr:txBody>
        </xdr:sp>
      </mc:Choice>
      <mc:Fallback xmlns="">
        <xdr:sp macro="" textlink="">
          <xdr:nvSpPr>
            <xdr:cNvPr id="29" name="TextBox 28">
              <a:extLst>
                <a:ext uri="{FF2B5EF4-FFF2-40B4-BE49-F238E27FC236}">
                  <a16:creationId xmlns:a16="http://schemas.microsoft.com/office/drawing/2014/main" id="{E650D959-2084-4C48-BAFD-DDFAEFEFFDCE}"/>
                </a:ext>
              </a:extLst>
            </xdr:cNvPr>
            <xdr:cNvSpPr txBox="1"/>
          </xdr:nvSpPr>
          <xdr:spPr>
            <a:xfrm>
              <a:off x="2686050" y="26727150"/>
              <a:ext cx="5744778" cy="18845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𝑉_(𝑇𝑃_𝑖𝑛𝑡𝑒𝑟 )= </a:t>
              </a:r>
              <a:r>
                <a:rPr lang="en-US" sz="1100" b="0" i="0">
                  <a:solidFill>
                    <a:schemeClr val="tx1"/>
                  </a:solidFill>
                  <a:effectLst/>
                  <a:latin typeface="+mn-lt"/>
                  <a:ea typeface="+mn-ea"/>
                  <a:cs typeface="+mn-cs"/>
                </a:rPr>
                <a:t>〖𝐿∗𝑁_𝑏𝑎𝑡𝑐ℎ〗_ ∗〖𝑁_𝑇𝑃〗_</a:t>
              </a:r>
              <a:r>
                <a:rPr lang="en-US" sz="1100" b="0" i="0">
                  <a:solidFill>
                    <a:schemeClr val="tx1"/>
                  </a:solidFill>
                  <a:effectLst/>
                  <a:latin typeface="Cambria Math" panose="02040503050406030204" pitchFamily="18" charset="0"/>
                  <a:ea typeface="+mn-ea"/>
                  <a:cs typeface="+mn-cs"/>
                </a:rPr>
                <a:t>𝑖𝑛𝑡𝑒𝑟</a:t>
              </a:r>
              <a:r>
                <a:rPr lang="en-US" sz="1100" b="0" i="0">
                  <a:solidFill>
                    <a:schemeClr val="tx1"/>
                  </a:solidFill>
                  <a:effectLst/>
                  <a:latin typeface="+mn-lt"/>
                  <a:ea typeface="+mn-ea"/>
                  <a:cs typeface="+mn-cs"/>
                </a:rPr>
                <a:t>∗〖(𝑁_𝑎𝑐𝑡〗_</a:t>
              </a:r>
              <a:r>
                <a:rPr lang="en-US" sz="1100" b="0" i="0">
                  <a:solidFill>
                    <a:schemeClr val="tx1"/>
                  </a:solidFill>
                  <a:effectLst/>
                  <a:latin typeface="Cambria Math" panose="02040503050406030204" pitchFamily="18" charset="0"/>
                  <a:ea typeface="+mn-ea"/>
                  <a:cs typeface="+mn-cs"/>
                </a:rPr>
                <a:t>𝑖𝑛𝑡𝑒𝑟</a:t>
              </a:r>
              <a:r>
                <a:rPr lang="en-US" sz="1100" b="0" i="0">
                  <a:solidFill>
                    <a:schemeClr val="tx1"/>
                  </a:solidFill>
                  <a:effectLst/>
                  <a:latin typeface="+mn-lt"/>
                  <a:ea typeface="+mn-ea"/>
                  <a:cs typeface="+mn-cs"/>
                </a:rPr>
                <a:t>∗𝑆_𝑎𝑐𝑡𝑖𝑣𝑎𝑡𝑖𝑜𝑛∗𝑁_(𝑡𝑜𝑝𝑜_</a:t>
              </a:r>
              <a:r>
                <a:rPr lang="en-US" sz="1100" b="0" i="0">
                  <a:solidFill>
                    <a:schemeClr val="tx1"/>
                  </a:solidFill>
                  <a:effectLst/>
                  <a:latin typeface="Cambria Math" panose="02040503050406030204" pitchFamily="18" charset="0"/>
                  <a:ea typeface="+mn-ea"/>
                  <a:cs typeface="+mn-cs"/>
                </a:rPr>
                <a:t>𝑖𝑛𝑡𝑒𝑟</a:t>
              </a:r>
              <a:r>
                <a:rPr lang="en-US" sz="1100" b="0" i="0">
                  <a:solidFill>
                    <a:schemeClr val="tx1"/>
                  </a:solidFill>
                  <a:effectLst/>
                  <a:latin typeface="+mn-lt"/>
                  <a:ea typeface="+mn-ea"/>
                  <a:cs typeface="+mn-cs"/>
                </a:rPr>
                <a:t> )+𝑁_(𝑒𝑟𝑟_</a:t>
              </a:r>
              <a:r>
                <a:rPr lang="en-US" sz="1100" b="0" i="0">
                  <a:solidFill>
                    <a:schemeClr val="tx1"/>
                  </a:solidFill>
                  <a:effectLst/>
                  <a:latin typeface="Cambria Math" panose="02040503050406030204" pitchFamily="18" charset="0"/>
                  <a:ea typeface="+mn-ea"/>
                  <a:cs typeface="+mn-cs"/>
                </a:rPr>
                <a:t>𝑖𝑛𝑡𝑒𝑟</a:t>
              </a:r>
              <a:r>
                <a:rPr lang="en-US" sz="1100" b="0" i="0">
                  <a:solidFill>
                    <a:schemeClr val="tx1"/>
                  </a:solidFill>
                  <a:effectLst/>
                  <a:latin typeface="+mn-lt"/>
                  <a:ea typeface="+mn-ea"/>
                  <a:cs typeface="+mn-cs"/>
                </a:rPr>
                <a:t> )∗𝑆_𝑒𝑟𝑟∗𝑁_(𝑡𝑜𝑝𝑜_</a:t>
              </a:r>
              <a:r>
                <a:rPr lang="en-US" sz="1100" b="0" i="0">
                  <a:solidFill>
                    <a:schemeClr val="tx1"/>
                  </a:solidFill>
                  <a:effectLst/>
                  <a:latin typeface="Cambria Math" panose="02040503050406030204" pitchFamily="18" charset="0"/>
                  <a:ea typeface="+mn-ea"/>
                  <a:cs typeface="+mn-cs"/>
                </a:rPr>
                <a:t>𝑖𝑛𝑡𝑒𝑟</a:t>
              </a:r>
              <a:r>
                <a:rPr lang="en-US" sz="1100" b="0" i="0">
                  <a:solidFill>
                    <a:schemeClr val="tx1"/>
                  </a:solidFill>
                  <a:effectLst/>
                  <a:latin typeface="+mn-lt"/>
                  <a:ea typeface="+mn-ea"/>
                  <a:cs typeface="+mn-cs"/>
                </a:rPr>
                <a:t> ))</a:t>
              </a:r>
              <a:r>
                <a:rPr lang="en-GB" sz="1100" b="0" i="0">
                  <a:solidFill>
                    <a:schemeClr val="tx1"/>
                  </a:solidFill>
                  <a:effectLst/>
                  <a:latin typeface="Cambria Math" panose="02040503050406030204" pitchFamily="18" charset="0"/>
                  <a:ea typeface="+mn-ea"/>
                  <a:cs typeface="+mn-cs"/>
                </a:rPr>
                <a:t>"</a:t>
              </a:r>
              <a:r>
                <a:rPr lang="en-GB" sz="1100" i="0">
                  <a:solidFill>
                    <a:schemeClr val="tx1"/>
                  </a:solidFill>
                  <a:effectLst/>
                  <a:latin typeface="Cambria Math" panose="02040503050406030204" pitchFamily="18" charset="0"/>
                  <a:ea typeface="+mn-ea"/>
                  <a:cs typeface="+mn-cs"/>
                </a:rPr>
                <a:t> </a:t>
              </a:r>
              <a:r>
                <a:rPr lang="en-GB" sz="1100" i="0">
                  <a:solidFill>
                    <a:schemeClr val="tx1"/>
                  </a:solidFill>
                  <a:effectLst/>
                  <a:latin typeface="+mn-lt"/>
                  <a:ea typeface="+mn-ea"/>
                  <a:cs typeface="+mn-cs"/>
                </a:rPr>
                <a:t>"</a:t>
              </a:r>
              <a:endParaRPr lang="en-GB" sz="1100"/>
            </a:p>
          </xdr:txBody>
        </xdr:sp>
      </mc:Fallback>
    </mc:AlternateContent>
    <xdr:clientData/>
  </xdr:oneCellAnchor>
  <xdr:oneCellAnchor>
    <xdr:from>
      <xdr:col>4</xdr:col>
      <xdr:colOff>510564</xdr:colOff>
      <xdr:row>111</xdr:row>
      <xdr:rowOff>188119</xdr:rowOff>
    </xdr:from>
    <xdr:ext cx="65" cy="172227"/>
    <xdr:sp macro="" textlink="">
      <xdr:nvSpPr>
        <xdr:cNvPr id="30" name="TextBox 29">
          <a:extLst>
            <a:ext uri="{FF2B5EF4-FFF2-40B4-BE49-F238E27FC236}">
              <a16:creationId xmlns:a16="http://schemas.microsoft.com/office/drawing/2014/main" id="{D3B1CB7C-0AEA-44DC-9966-C98A3DB9C450}"/>
            </a:ext>
          </a:extLst>
        </xdr:cNvPr>
        <xdr:cNvSpPr txBox="1"/>
      </xdr:nvSpPr>
      <xdr:spPr>
        <a:xfrm>
          <a:off x="7339989" y="203334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108</xdr:row>
      <xdr:rowOff>0</xdr:rowOff>
    </xdr:from>
    <xdr:ext cx="3907673" cy="186974"/>
    <mc:AlternateContent xmlns:mc="http://schemas.openxmlformats.org/markup-compatibility/2006" xmlns:a14="http://schemas.microsoft.com/office/drawing/2010/main">
      <mc:Choice Requires="a14">
        <xdr:sp macro="" textlink="">
          <xdr:nvSpPr>
            <xdr:cNvPr id="31" name="TextBox 30">
              <a:extLst>
                <a:ext uri="{FF2B5EF4-FFF2-40B4-BE49-F238E27FC236}">
                  <a16:creationId xmlns:a16="http://schemas.microsoft.com/office/drawing/2014/main" id="{37AFEFE9-B3E6-4897-BBCC-2E1E70D459D6}"/>
                </a:ext>
              </a:extLst>
            </xdr:cNvPr>
            <xdr:cNvSpPr txBox="1"/>
          </xdr:nvSpPr>
          <xdr:spPr>
            <a:xfrm>
              <a:off x="2686050" y="29260800"/>
              <a:ext cx="3907673" cy="18697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𝑖𝑛𝑡𝑒𝑟</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𝑏𝑎𝑡𝑐h</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𝑖𝑛𝑡𝑒𝑟</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𝑎𝑐𝑡</m:t>
                            </m:r>
                          </m:sub>
                        </m:sSub>
                      </m:e>
                      <m:sub>
                        <m:r>
                          <a:rPr lang="en-US" sz="1100" b="0" i="1">
                            <a:latin typeface="Cambria Math" panose="02040503050406030204" pitchFamily="18" charset="0"/>
                          </a:rPr>
                          <m:t>𝑖𝑛𝑡𝑒𝑟</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𝑎𝑐𝑡</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𝑒𝑟𝑟</m:t>
                            </m:r>
                          </m:sub>
                        </m:sSub>
                      </m:e>
                      <m:sub>
                        <m:r>
                          <a:rPr lang="en-US" sz="1100" b="0" i="1">
                            <a:latin typeface="Cambria Math" panose="02040503050406030204" pitchFamily="18" charset="0"/>
                          </a:rPr>
                          <m:t>𝑖𝑛𝑡𝑟𝑎</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𝑒𝑟𝑟</m:t>
                        </m:r>
                      </m:sub>
                    </m:sSub>
                    <m:r>
                      <a:rPr lang="en-US" sz="1100" b="0" i="1">
                        <a:latin typeface="Cambria Math" panose="02040503050406030204" pitchFamily="18" charset="0"/>
                      </a:rPr>
                      <m:t>)</m:t>
                    </m:r>
                  </m:oMath>
                </m:oMathPara>
              </a14:m>
              <a:endParaRPr lang="en-GB" sz="1100"/>
            </a:p>
          </xdr:txBody>
        </xdr:sp>
      </mc:Choice>
      <mc:Fallback xmlns="">
        <xdr:sp macro="" textlink="">
          <xdr:nvSpPr>
            <xdr:cNvPr id="31" name="TextBox 30">
              <a:extLst>
                <a:ext uri="{FF2B5EF4-FFF2-40B4-BE49-F238E27FC236}">
                  <a16:creationId xmlns:a16="http://schemas.microsoft.com/office/drawing/2014/main" id="{37AFEFE9-B3E6-4897-BBCC-2E1E70D459D6}"/>
                </a:ext>
              </a:extLst>
            </xdr:cNvPr>
            <xdr:cNvSpPr txBox="1"/>
          </xdr:nvSpPr>
          <xdr:spPr>
            <a:xfrm>
              <a:off x="2686050" y="29260800"/>
              <a:ext cx="3907673" cy="18697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𝑉_(𝑃𝑃_𝑖𝑛𝑡𝑒𝑟 )=𝑁_𝑏𝑎𝑡𝑐ℎ∗𝑁_(𝑃𝑃_𝑖𝑛𝑡𝑒𝑟 )∗(〖𝑁_𝑎𝑐𝑡〗_𝑖𝑛𝑡𝑒𝑟∗𝑆_𝑎𝑐𝑡+〖𝑁_𝑒𝑟𝑟〗_𝑖𝑛𝑡𝑟𝑎∗𝑆_𝑒𝑟𝑟)</a:t>
              </a:r>
              <a:endParaRPr lang="en-GB" sz="1100"/>
            </a:p>
          </xdr:txBody>
        </xdr:sp>
      </mc:Fallback>
    </mc:AlternateContent>
    <xdr:clientData/>
  </xdr:oneCellAnchor>
  <xdr:oneCellAnchor>
    <xdr:from>
      <xdr:col>4</xdr:col>
      <xdr:colOff>510564</xdr:colOff>
      <xdr:row>120</xdr:row>
      <xdr:rowOff>188119</xdr:rowOff>
    </xdr:from>
    <xdr:ext cx="65" cy="172227"/>
    <xdr:sp macro="" textlink="">
      <xdr:nvSpPr>
        <xdr:cNvPr id="32" name="TextBox 31">
          <a:extLst>
            <a:ext uri="{FF2B5EF4-FFF2-40B4-BE49-F238E27FC236}">
              <a16:creationId xmlns:a16="http://schemas.microsoft.com/office/drawing/2014/main" id="{10EB1EE8-B74B-45D8-910F-291EA80F1594}"/>
            </a:ext>
          </a:extLst>
        </xdr:cNvPr>
        <xdr:cNvSpPr txBox="1"/>
      </xdr:nvSpPr>
      <xdr:spPr>
        <a:xfrm>
          <a:off x="7339989" y="2286714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117</xdr:row>
      <xdr:rowOff>0</xdr:rowOff>
    </xdr:from>
    <xdr:ext cx="3811684" cy="186205"/>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BBB1C406-BB0E-44E4-B8CE-2D37A2A251FD}"/>
                </a:ext>
              </a:extLst>
            </xdr:cNvPr>
            <xdr:cNvSpPr txBox="1"/>
          </xdr:nvSpPr>
          <xdr:spPr>
            <a:xfrm>
              <a:off x="2686050" y="32013525"/>
              <a:ext cx="3811684" cy="18620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𝐷</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𝑖𝑛𝑡𝑒𝑟</m:t>
                            </m:r>
                          </m:sub>
                        </m:sSub>
                      </m:sub>
                    </m:sSub>
                    <m:r>
                      <a:rPr lang="en-US" sz="1100" b="0" i="1">
                        <a:latin typeface="Cambria Math" panose="02040503050406030204" pitchFamily="18" charset="0"/>
                      </a:rPr>
                      <m:t>=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𝐿</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𝑏𝑎𝑡𝑐h</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𝐷</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𝑃</m:t>
                            </m:r>
                          </m:e>
                          <m:sub>
                            <m:r>
                              <a:rPr lang="en-US" sz="1100" b="0" i="1">
                                <a:solidFill>
                                  <a:schemeClr val="tx1"/>
                                </a:solidFill>
                                <a:effectLst/>
                                <a:latin typeface="Cambria Math" panose="02040503050406030204" pitchFamily="18" charset="0"/>
                                <a:ea typeface="+mn-ea"/>
                                <a:cs typeface="+mn-cs"/>
                              </a:rPr>
                              <m:t>𝑖𝑛𝑡𝑒𝑟</m:t>
                            </m:r>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𝑔𝑟𝑎𝑑𝑖𝑒𝑛𝑡</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𝑠</m:t>
                            </m:r>
                          </m:e>
                          <m:sub>
                            <m:r>
                              <a:rPr lang="en-US" sz="1100" b="0" i="1">
                                <a:solidFill>
                                  <a:schemeClr val="tx1"/>
                                </a:solidFill>
                                <a:effectLst/>
                                <a:latin typeface="Cambria Math" panose="02040503050406030204" pitchFamily="18" charset="0"/>
                                <a:ea typeface="+mn-ea"/>
                                <a:cs typeface="+mn-cs"/>
                              </a:rPr>
                              <m:t>𝑖𝑛𝑡𝑒𝑟</m:t>
                            </m:r>
                          </m:sub>
                        </m:sSub>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𝑒𝑟𝑟</m:t>
                        </m:r>
                      </m:sub>
                    </m:sSub>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𝑡𝑜𝑝</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𝑜</m:t>
                            </m:r>
                          </m:e>
                          <m:sub>
                            <m:r>
                              <a:rPr lang="en-US" sz="1100" b="0" i="1">
                                <a:solidFill>
                                  <a:schemeClr val="tx1"/>
                                </a:solidFill>
                                <a:effectLst/>
                                <a:latin typeface="Cambria Math" panose="02040503050406030204" pitchFamily="18" charset="0"/>
                                <a:ea typeface="+mn-ea"/>
                                <a:cs typeface="+mn-cs"/>
                              </a:rPr>
                              <m:t>𝑖𝑛𝑡𝑒𝑟</m:t>
                            </m:r>
                          </m:sub>
                        </m:sSub>
                      </m:sub>
                    </m:sSub>
                  </m:oMath>
                </m:oMathPara>
              </a14:m>
              <a:endParaRPr lang="en-GB" sz="1100"/>
            </a:p>
          </xdr:txBody>
        </xdr:sp>
      </mc:Choice>
      <mc:Fallback xmlns="">
        <xdr:sp macro="" textlink="">
          <xdr:nvSpPr>
            <xdr:cNvPr id="33" name="TextBox 32">
              <a:extLst>
                <a:ext uri="{FF2B5EF4-FFF2-40B4-BE49-F238E27FC236}">
                  <a16:creationId xmlns:a16="http://schemas.microsoft.com/office/drawing/2014/main" id="{BBB1C406-BB0E-44E4-B8CE-2D37A2A251FD}"/>
                </a:ext>
              </a:extLst>
            </xdr:cNvPr>
            <xdr:cNvSpPr txBox="1"/>
          </xdr:nvSpPr>
          <xdr:spPr>
            <a:xfrm>
              <a:off x="2686050" y="32013525"/>
              <a:ext cx="3811684" cy="18620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𝑉_(𝐷𝑃_𝑖𝑛𝑡𝑒𝑟 )= </a:t>
              </a:r>
              <a:r>
                <a:rPr lang="en-US" sz="1100" b="0" i="0">
                  <a:solidFill>
                    <a:schemeClr val="tx1"/>
                  </a:solidFill>
                  <a:effectLst/>
                  <a:latin typeface="+mn-lt"/>
                  <a:ea typeface="+mn-ea"/>
                  <a:cs typeface="+mn-cs"/>
                </a:rPr>
                <a:t>〖𝐿∗𝑁〗_𝑏𝑎𝑡𝑐ℎ∗𝑁_(𝐷𝑃_</a:t>
              </a:r>
              <a:r>
                <a:rPr lang="en-US" sz="1100" b="0" i="0">
                  <a:solidFill>
                    <a:schemeClr val="tx1"/>
                  </a:solidFill>
                  <a:effectLst/>
                  <a:latin typeface="Cambria Math" panose="02040503050406030204" pitchFamily="18" charset="0"/>
                  <a:ea typeface="+mn-ea"/>
                  <a:cs typeface="+mn-cs"/>
                </a:rPr>
                <a:t>𝑖𝑛𝑡𝑒𝑟</a:t>
              </a:r>
              <a:r>
                <a:rPr lang="en-US" sz="1100" b="0" i="0">
                  <a:solidFill>
                    <a:schemeClr val="tx1"/>
                  </a:solidFill>
                  <a:effectLst/>
                  <a:latin typeface="+mn-lt"/>
                  <a:ea typeface="+mn-ea"/>
                  <a:cs typeface="+mn-cs"/>
                </a:rPr>
                <a:t> )∗𝑁_(𝑔𝑟𝑎𝑑𝑖𝑒𝑛𝑡𝑠_</a:t>
              </a:r>
              <a:r>
                <a:rPr lang="en-US" sz="1100" b="0" i="0">
                  <a:solidFill>
                    <a:schemeClr val="tx1"/>
                  </a:solidFill>
                  <a:effectLst/>
                  <a:latin typeface="Cambria Math" panose="02040503050406030204" pitchFamily="18" charset="0"/>
                  <a:ea typeface="+mn-ea"/>
                  <a:cs typeface="+mn-cs"/>
                </a:rPr>
                <a:t>𝑖𝑛𝑡𝑒𝑟</a:t>
              </a:r>
              <a:r>
                <a:rPr lang="en-US" sz="1100" b="0" i="0">
                  <a:solidFill>
                    <a:schemeClr val="tx1"/>
                  </a:solidFill>
                  <a:effectLst/>
                  <a:latin typeface="+mn-lt"/>
                  <a:ea typeface="+mn-ea"/>
                  <a:cs typeface="+mn-cs"/>
                </a:rPr>
                <a:t> )∗𝑆_𝑒𝑟𝑟∗𝑁_(𝑡𝑜𝑝𝑜_</a:t>
              </a:r>
              <a:r>
                <a:rPr lang="en-US" sz="1100" b="0" i="0">
                  <a:solidFill>
                    <a:schemeClr val="tx1"/>
                  </a:solidFill>
                  <a:effectLst/>
                  <a:latin typeface="Cambria Math" panose="02040503050406030204" pitchFamily="18" charset="0"/>
                  <a:ea typeface="+mn-ea"/>
                  <a:cs typeface="+mn-cs"/>
                </a:rPr>
                <a:t>𝑖𝑛𝑡𝑒𝑟</a:t>
              </a:r>
              <a:r>
                <a:rPr lang="en-US" sz="1100" b="0" i="0">
                  <a:solidFill>
                    <a:schemeClr val="tx1"/>
                  </a:solidFill>
                  <a:effectLst/>
                  <a:latin typeface="+mn-lt"/>
                  <a:ea typeface="+mn-ea"/>
                  <a:cs typeface="+mn-cs"/>
                </a:rPr>
                <a:t> )</a:t>
              </a:r>
              <a:endParaRPr lang="en-GB" sz="1100"/>
            </a:p>
          </xdr:txBody>
        </xdr:sp>
      </mc:Fallback>
    </mc:AlternateContent>
    <xdr:clientData/>
  </xdr:oneCellAnchor>
  <xdr:oneCellAnchor>
    <xdr:from>
      <xdr:col>4</xdr:col>
      <xdr:colOff>510564</xdr:colOff>
      <xdr:row>102</xdr:row>
      <xdr:rowOff>188119</xdr:rowOff>
    </xdr:from>
    <xdr:ext cx="65" cy="172227"/>
    <xdr:sp macro="" textlink="">
      <xdr:nvSpPr>
        <xdr:cNvPr id="35" name="TextBox 34">
          <a:extLst>
            <a:ext uri="{FF2B5EF4-FFF2-40B4-BE49-F238E27FC236}">
              <a16:creationId xmlns:a16="http://schemas.microsoft.com/office/drawing/2014/main" id="{44C60754-7554-4DF9-947A-D680D1548B54}"/>
            </a:ext>
          </a:extLst>
        </xdr:cNvPr>
        <xdr:cNvSpPr txBox="1"/>
      </xdr:nvSpPr>
      <xdr:spPr>
        <a:xfrm>
          <a:off x="8721114" y="1779984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3</xdr:col>
      <xdr:colOff>510564</xdr:colOff>
      <xdr:row>111</xdr:row>
      <xdr:rowOff>188119</xdr:rowOff>
    </xdr:from>
    <xdr:ext cx="65" cy="172227"/>
    <xdr:sp macro="" textlink="">
      <xdr:nvSpPr>
        <xdr:cNvPr id="36" name="TextBox 35">
          <a:extLst>
            <a:ext uri="{FF2B5EF4-FFF2-40B4-BE49-F238E27FC236}">
              <a16:creationId xmlns:a16="http://schemas.microsoft.com/office/drawing/2014/main" id="{C9995FE6-749C-49F1-B3D6-A05CA4AB08DF}"/>
            </a:ext>
          </a:extLst>
        </xdr:cNvPr>
        <xdr:cNvSpPr txBox="1"/>
      </xdr:nvSpPr>
      <xdr:spPr>
        <a:xfrm>
          <a:off x="7339989" y="203334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3</xdr:col>
      <xdr:colOff>510564</xdr:colOff>
      <xdr:row>120</xdr:row>
      <xdr:rowOff>188119</xdr:rowOff>
    </xdr:from>
    <xdr:ext cx="65" cy="172227"/>
    <xdr:sp macro="" textlink="">
      <xdr:nvSpPr>
        <xdr:cNvPr id="37" name="TextBox 36">
          <a:extLst>
            <a:ext uri="{FF2B5EF4-FFF2-40B4-BE49-F238E27FC236}">
              <a16:creationId xmlns:a16="http://schemas.microsoft.com/office/drawing/2014/main" id="{0636E843-A506-445F-9434-9DCBB2CC7E62}"/>
            </a:ext>
          </a:extLst>
        </xdr:cNvPr>
        <xdr:cNvSpPr txBox="1"/>
      </xdr:nvSpPr>
      <xdr:spPr>
        <a:xfrm>
          <a:off x="7339989" y="2286714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4</xdr:col>
      <xdr:colOff>510564</xdr:colOff>
      <xdr:row>84</xdr:row>
      <xdr:rowOff>188119</xdr:rowOff>
    </xdr:from>
    <xdr:ext cx="65" cy="172227"/>
    <xdr:sp macro="" textlink="">
      <xdr:nvSpPr>
        <xdr:cNvPr id="38" name="TextBox 37">
          <a:extLst>
            <a:ext uri="{FF2B5EF4-FFF2-40B4-BE49-F238E27FC236}">
              <a16:creationId xmlns:a16="http://schemas.microsoft.com/office/drawing/2014/main" id="{DB12BA01-C59D-4D6F-B7DC-D256710EE7EB}"/>
            </a:ext>
          </a:extLst>
        </xdr:cNvPr>
        <xdr:cNvSpPr txBox="1"/>
      </xdr:nvSpPr>
      <xdr:spPr>
        <a:xfrm>
          <a:off x="7339989" y="234957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81</xdr:row>
      <xdr:rowOff>0</xdr:rowOff>
    </xdr:from>
    <xdr:ext cx="3562129" cy="182614"/>
    <mc:AlternateContent xmlns:mc="http://schemas.openxmlformats.org/markup-compatibility/2006" xmlns:a14="http://schemas.microsoft.com/office/drawing/2010/main">
      <mc:Choice Requires="a14">
        <xdr:sp macro="" textlink="">
          <xdr:nvSpPr>
            <xdr:cNvPr id="39" name="TextBox 38">
              <a:extLst>
                <a:ext uri="{FF2B5EF4-FFF2-40B4-BE49-F238E27FC236}">
                  <a16:creationId xmlns:a16="http://schemas.microsoft.com/office/drawing/2014/main" id="{34877BE1-D8DA-4DD3-87DE-9B835840EFF4}"/>
                </a:ext>
              </a:extLst>
            </xdr:cNvPr>
            <xdr:cNvSpPr txBox="1"/>
          </xdr:nvSpPr>
          <xdr:spPr>
            <a:xfrm>
              <a:off x="2686050" y="24822150"/>
              <a:ext cx="3562129" cy="18261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𝑀𝑜𝐸</m:t>
                      </m:r>
                      <m:r>
                        <a:rPr lang="en-US" sz="1100" b="0" i="1">
                          <a:latin typeface="Cambria Math" panose="02040503050406030204" pitchFamily="18" charset="0"/>
                        </a:rPr>
                        <m:t>_</m:t>
                      </m:r>
                      <m:r>
                        <a:rPr lang="en-US" sz="1100" b="0" i="1">
                          <a:latin typeface="Cambria Math" panose="02040503050406030204" pitchFamily="18" charset="0"/>
                        </a:rPr>
                        <m:t>𝑖𝑛𝑡𝑟𝑎</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𝐿</m:t>
                      </m:r>
                      <m:r>
                        <a:rPr lang="en-US" sz="1100" b="0" i="1">
                          <a:latin typeface="Cambria Math" panose="02040503050406030204" pitchFamily="18" charset="0"/>
                        </a:rPr>
                        <m:t>∗</m:t>
                      </m:r>
                      <m:r>
                        <a:rPr lang="en-US" sz="1100" b="0" i="1">
                          <a:latin typeface="Cambria Math" panose="02040503050406030204" pitchFamily="18" charset="0"/>
                        </a:rPr>
                        <m:t>𝑁</m:t>
                      </m:r>
                    </m:e>
                    <m:sub>
                      <m:r>
                        <a:rPr lang="en-US" sz="1100" b="0" i="1">
                          <a:latin typeface="Cambria Math" panose="02040503050406030204" pitchFamily="18" charset="0"/>
                        </a:rPr>
                        <m:t>𝑏𝑎𝑡𝑐h</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𝑡𝑜𝑝𝑜</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𝑎𝑐𝑡</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𝐴𝑐𝑡</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𝐸𝑟𝑟</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𝐸𝑟𝑟</m:t>
                      </m:r>
                    </m:sub>
                  </m:sSub>
                  <m:r>
                    <a:rPr lang="en-US" sz="1100" b="0" i="1">
                      <a:latin typeface="Cambria Math" panose="02040503050406030204" pitchFamily="18" charset="0"/>
                    </a:rPr>
                    <m:t>]</m:t>
                  </m:r>
                </m:oMath>
              </a14:m>
              <a:r>
                <a:rPr lang="en-GB" sz="1100"/>
                <a:t> </a:t>
              </a:r>
            </a:p>
          </xdr:txBody>
        </xdr:sp>
      </mc:Choice>
      <mc:Fallback xmlns="">
        <xdr:sp macro="" textlink="">
          <xdr:nvSpPr>
            <xdr:cNvPr id="39" name="TextBox 38">
              <a:extLst>
                <a:ext uri="{FF2B5EF4-FFF2-40B4-BE49-F238E27FC236}">
                  <a16:creationId xmlns:a16="http://schemas.microsoft.com/office/drawing/2014/main" id="{34877BE1-D8DA-4DD3-87DE-9B835840EFF4}"/>
                </a:ext>
              </a:extLst>
            </xdr:cNvPr>
            <xdr:cNvSpPr txBox="1"/>
          </xdr:nvSpPr>
          <xdr:spPr>
            <a:xfrm>
              <a:off x="2686050" y="24822150"/>
              <a:ext cx="3562129" cy="18261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𝑉_(𝑀𝑜𝐸_𝑖𝑛𝑡𝑟𝑎)=〖𝐿∗𝑁〗_𝑏𝑎𝑡𝑐ℎ∗𝑁_𝑡𝑜𝑝𝑜∗[𝑁_𝑎𝑐𝑡∗𝑆_𝐴𝑐𝑡+𝑁_𝐸𝑟𝑟∗𝑆_𝐸𝑟𝑟]</a:t>
              </a:r>
              <a:r>
                <a:rPr lang="en-GB" sz="1100"/>
                <a:t> </a:t>
              </a:r>
            </a:p>
          </xdr:txBody>
        </xdr:sp>
      </mc:Fallback>
    </mc:AlternateContent>
    <xdr:clientData/>
  </xdr:oneCellAnchor>
  <xdr:oneCellAnchor>
    <xdr:from>
      <xdr:col>4</xdr:col>
      <xdr:colOff>510564</xdr:colOff>
      <xdr:row>129</xdr:row>
      <xdr:rowOff>188119</xdr:rowOff>
    </xdr:from>
    <xdr:ext cx="65" cy="172227"/>
    <xdr:sp macro="" textlink="">
      <xdr:nvSpPr>
        <xdr:cNvPr id="40" name="TextBox 39">
          <a:extLst>
            <a:ext uri="{FF2B5EF4-FFF2-40B4-BE49-F238E27FC236}">
              <a16:creationId xmlns:a16="http://schemas.microsoft.com/office/drawing/2014/main" id="{1621F559-38A4-4F4D-9F68-16E759E806CA}"/>
            </a:ext>
          </a:extLst>
        </xdr:cNvPr>
        <xdr:cNvSpPr txBox="1"/>
      </xdr:nvSpPr>
      <xdr:spPr>
        <a:xfrm>
          <a:off x="7339989" y="2602944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126</xdr:row>
      <xdr:rowOff>0</xdr:rowOff>
    </xdr:from>
    <xdr:ext cx="4454746" cy="182614"/>
    <mc:AlternateContent xmlns:mc="http://schemas.openxmlformats.org/markup-compatibility/2006" xmlns:a14="http://schemas.microsoft.com/office/drawing/2010/main">
      <mc:Choice Requires="a14">
        <xdr:sp macro="" textlink="">
          <xdr:nvSpPr>
            <xdr:cNvPr id="41" name="TextBox 40">
              <a:extLst>
                <a:ext uri="{FF2B5EF4-FFF2-40B4-BE49-F238E27FC236}">
                  <a16:creationId xmlns:a16="http://schemas.microsoft.com/office/drawing/2014/main" id="{111013A2-E95F-4E2D-B103-EFE8642F09E4}"/>
                </a:ext>
              </a:extLst>
            </xdr:cNvPr>
            <xdr:cNvSpPr txBox="1"/>
          </xdr:nvSpPr>
          <xdr:spPr>
            <a:xfrm>
              <a:off x="2686050" y="37538025"/>
              <a:ext cx="4454746" cy="18261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𝑀𝑜𝐸</m:t>
                      </m:r>
                      <m:r>
                        <a:rPr lang="en-US" sz="1100" b="0" i="1">
                          <a:latin typeface="Cambria Math" panose="02040503050406030204" pitchFamily="18" charset="0"/>
                        </a:rPr>
                        <m:t>_</m:t>
                      </m:r>
                      <m:r>
                        <a:rPr lang="en-US" sz="1100" b="0" i="1">
                          <a:latin typeface="Cambria Math" panose="02040503050406030204" pitchFamily="18" charset="0"/>
                        </a:rPr>
                        <m:t>𝑖𝑛𝑡𝑟𝑎</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𝐿</m:t>
                      </m:r>
                      <m:r>
                        <a:rPr lang="en-US" sz="1100" b="0" i="1">
                          <a:latin typeface="Cambria Math" panose="02040503050406030204" pitchFamily="18" charset="0"/>
                        </a:rPr>
                        <m:t>∗</m:t>
                      </m:r>
                      <m:r>
                        <a:rPr lang="en-US" sz="1100" b="0" i="1">
                          <a:latin typeface="Cambria Math" panose="02040503050406030204" pitchFamily="18" charset="0"/>
                        </a:rPr>
                        <m:t>𝑁</m:t>
                      </m:r>
                    </m:e>
                    <m:sub>
                      <m:r>
                        <a:rPr lang="en-US" sz="1100" b="0" i="1">
                          <a:latin typeface="Cambria Math" panose="02040503050406030204" pitchFamily="18" charset="0"/>
                        </a:rPr>
                        <m:t>𝑏𝑎𝑡𝑐h</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𝑡𝑜𝑝𝑜</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𝑛𝑜𝑑𝑒𝑠</m:t>
                      </m:r>
                    </m:sub>
                  </m:sSub>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𝑎𝑐𝑡</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𝐴𝑐𝑡</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𝐸𝑟𝑟</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𝐸𝑟𝑟</m:t>
                      </m:r>
                    </m:sub>
                  </m:sSub>
                  <m:r>
                    <a:rPr lang="en-US" sz="1100" b="0" i="1">
                      <a:latin typeface="Cambria Math" panose="02040503050406030204" pitchFamily="18" charset="0"/>
                    </a:rPr>
                    <m:t>]</m:t>
                  </m:r>
                </m:oMath>
              </a14:m>
              <a:r>
                <a:rPr lang="en-GB" sz="1100"/>
                <a:t> </a:t>
              </a:r>
            </a:p>
          </xdr:txBody>
        </xdr:sp>
      </mc:Choice>
      <mc:Fallback xmlns="">
        <xdr:sp macro="" textlink="">
          <xdr:nvSpPr>
            <xdr:cNvPr id="41" name="TextBox 40">
              <a:extLst>
                <a:ext uri="{FF2B5EF4-FFF2-40B4-BE49-F238E27FC236}">
                  <a16:creationId xmlns:a16="http://schemas.microsoft.com/office/drawing/2014/main" id="{111013A2-E95F-4E2D-B103-EFE8642F09E4}"/>
                </a:ext>
              </a:extLst>
            </xdr:cNvPr>
            <xdr:cNvSpPr txBox="1"/>
          </xdr:nvSpPr>
          <xdr:spPr>
            <a:xfrm>
              <a:off x="2686050" y="37538025"/>
              <a:ext cx="4454746" cy="18261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𝑉_(𝑀𝑜𝐸_𝑖𝑛𝑡𝑟𝑎)=〖𝐿∗𝑁〗_𝑏𝑎𝑡𝑐ℎ∗𝑁_𝑡𝑜𝑝𝑜∗(𝑁_𝑛𝑜𝑑𝑒𝑠−1)∗[𝑁_𝑎𝑐𝑡∗𝑆_𝐴𝑐𝑡+𝑁_𝐸𝑟𝑟∗𝑆_𝐸𝑟𝑟]</a:t>
              </a:r>
              <a:r>
                <a:rPr lang="en-GB" sz="1100"/>
                <a:t> </a:t>
              </a:r>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504825</xdr:colOff>
      <xdr:row>11</xdr:row>
      <xdr:rowOff>0</xdr:rowOff>
    </xdr:from>
    <xdr:ext cx="65" cy="172227"/>
    <xdr:sp macro="" textlink="">
      <xdr:nvSpPr>
        <xdr:cNvPr id="136" name="TextBox 8">
          <a:extLst>
            <a:ext uri="{FF2B5EF4-FFF2-40B4-BE49-F238E27FC236}">
              <a16:creationId xmlns:a16="http://schemas.microsoft.com/office/drawing/2014/main" id="{00000000-0008-0000-0500-000088000000}"/>
            </a:ext>
          </a:extLst>
        </xdr:cNvPr>
        <xdr:cNvSpPr txBox="1"/>
      </xdr:nvSpPr>
      <xdr:spPr>
        <a:xfrm>
          <a:off x="6600825" y="16335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2</xdr:row>
      <xdr:rowOff>0</xdr:rowOff>
    </xdr:from>
    <xdr:ext cx="6537325" cy="425566"/>
    <mc:AlternateContent xmlns:mc="http://schemas.openxmlformats.org/markup-compatibility/2006" xmlns:a14="http://schemas.microsoft.com/office/drawing/2010/main">
      <mc:Choice Requires="a14">
        <xdr:sp macro="" textlink="">
          <xdr:nvSpPr>
            <xdr:cNvPr id="17" name="TextBox 1">
              <a:extLst>
                <a:ext uri="{FF2B5EF4-FFF2-40B4-BE49-F238E27FC236}">
                  <a16:creationId xmlns:a16="http://schemas.microsoft.com/office/drawing/2014/main" id="{00000000-0008-0000-0500-000011000000}"/>
                </a:ext>
              </a:extLst>
            </xdr:cNvPr>
            <xdr:cNvSpPr txBox="1"/>
          </xdr:nvSpPr>
          <xdr:spPr>
            <a:xfrm>
              <a:off x="3260481" y="338870"/>
              <a:ext cx="6537325" cy="425566"/>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𝑇</m:t>
                    </m:r>
                    <m:r>
                      <a:rPr lang="en-US" sz="1100" b="0" i="1">
                        <a:latin typeface="Cambria Math" panose="02040503050406030204" pitchFamily="18" charset="0"/>
                      </a:rPr>
                      <m:t> =</m:t>
                    </m:r>
                    <m:func>
                      <m:funcPr>
                        <m:ctrlPr>
                          <a:rPr lang="en-US" sz="1100" b="0" i="1">
                            <a:latin typeface="Cambria Math" panose="02040503050406030204" pitchFamily="18" charset="0"/>
                          </a:rPr>
                        </m:ctrlPr>
                      </m:funcPr>
                      <m:fName>
                        <m:r>
                          <m:rPr>
                            <m:sty m:val="p"/>
                          </m:rPr>
                          <a:rPr lang="en-US" sz="1100" b="0" i="0">
                            <a:latin typeface="Cambria Math" panose="02040503050406030204" pitchFamily="18" charset="0"/>
                          </a:rPr>
                          <m:t>max</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𝑚𝑢𝑙𝑡</m:t>
                                </m:r>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𝑎𝑐𝑐𝑒𝑙</m:t>
                                    </m:r>
                                  </m:sub>
                                </m:sSub>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𝑚𝑢𝑙𝑡</m:t>
                                </m:r>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𝑐𝑝𝑢</m:t>
                                    </m:r>
                                  </m:sub>
                                </m:sSub>
                              </m:sub>
                            </m:sSub>
                            <m:r>
                              <a:rPr lang="en-US" sz="1100" b="0" i="1">
                                <a:latin typeface="Cambria Math" panose="02040503050406030204" pitchFamily="18" charset="0"/>
                              </a:rPr>
                              <m:t>,</m:t>
                            </m:r>
                            <m:sSub>
                              <m:sSubPr>
                                <m:ctrlPr>
                                  <a:rPr lang="en-US" sz="1100" b="0" i="1">
                                    <a:solidFill>
                                      <a:schemeClr val="bg2">
                                        <a:lumMod val="75000"/>
                                      </a:schemeClr>
                                    </a:solidFill>
                                    <a:latin typeface="Cambria Math" panose="02040503050406030204" pitchFamily="18" charset="0"/>
                                  </a:rPr>
                                </m:ctrlPr>
                              </m:sSubPr>
                              <m:e>
                                <m:r>
                                  <a:rPr lang="en-US" sz="1100" b="0" i="1">
                                    <a:solidFill>
                                      <a:schemeClr val="bg2">
                                        <a:lumMod val="75000"/>
                                      </a:schemeClr>
                                    </a:solidFill>
                                    <a:latin typeface="Cambria Math" panose="02040503050406030204" pitchFamily="18" charset="0"/>
                                  </a:rPr>
                                  <m:t>𝐶</m:t>
                                </m:r>
                              </m:e>
                              <m:sub>
                                <m:r>
                                  <a:rPr lang="en-US" sz="1100" b="0" i="1">
                                    <a:solidFill>
                                      <a:schemeClr val="bg2">
                                        <a:lumMod val="75000"/>
                                      </a:schemeClr>
                                    </a:solidFill>
                                    <a:latin typeface="Cambria Math" panose="02040503050406030204" pitchFamily="18" charset="0"/>
                                  </a:rPr>
                                  <m:t>𝑜𝑡h𝑒𝑟</m:t>
                                </m:r>
                              </m:sub>
                            </m:sSub>
                          </m:e>
                        </m:d>
                      </m:e>
                    </m:func>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𝐷</m:t>
                        </m:r>
                      </m:e>
                      <m:sub>
                        <m:r>
                          <a:rPr lang="en-US" sz="1100" b="0" i="1">
                            <a:latin typeface="Cambria Math" panose="02040503050406030204" pitchFamily="18" charset="0"/>
                          </a:rPr>
                          <m:t>𝑐𝑝𝑢</m:t>
                        </m:r>
                        <m:r>
                          <a:rPr lang="en-US" sz="1100" b="0" i="1">
                            <a:latin typeface="Cambria Math" panose="02040503050406030204" pitchFamily="18" charset="0"/>
                          </a:rPr>
                          <m:t>2</m:t>
                        </m:r>
                        <m:r>
                          <a:rPr lang="en-US" sz="1100" b="0" i="1">
                            <a:latin typeface="Cambria Math" panose="02040503050406030204" pitchFamily="18" charset="0"/>
                          </a:rPr>
                          <m:t>𝑎𝑐𝑐𝑒𝑙</m:t>
                        </m:r>
                      </m:sub>
                    </m:sSub>
                    <m:r>
                      <a:rPr lang="en-US" sz="1100" b="0" i="1">
                        <a:solidFill>
                          <a:schemeClr val="bg2">
                            <a:lumMod val="75000"/>
                          </a:schemeClr>
                        </a:solidFill>
                        <a:latin typeface="Cambria Math" panose="02040503050406030204" pitchFamily="18" charset="0"/>
                      </a:rPr>
                      <m:t>+</m:t>
                    </m:r>
                    <m:sSub>
                      <m:sSubPr>
                        <m:ctrlPr>
                          <a:rPr lang="en-US" sz="1100" b="0" i="1">
                            <a:solidFill>
                              <a:schemeClr val="bg2">
                                <a:lumMod val="75000"/>
                              </a:schemeClr>
                            </a:solidFill>
                            <a:latin typeface="Cambria Math" panose="02040503050406030204" pitchFamily="18" charset="0"/>
                          </a:rPr>
                        </m:ctrlPr>
                      </m:sSubPr>
                      <m:e>
                        <m:r>
                          <a:rPr lang="en-US" sz="1100" b="0" i="1">
                            <a:solidFill>
                              <a:schemeClr val="bg2">
                                <a:lumMod val="75000"/>
                              </a:schemeClr>
                            </a:solidFill>
                            <a:latin typeface="Cambria Math" panose="02040503050406030204" pitchFamily="18" charset="0"/>
                          </a:rPr>
                          <m:t>𝐷</m:t>
                        </m:r>
                      </m:e>
                      <m:sub>
                        <m:r>
                          <a:rPr lang="en-US" sz="1100" b="0" i="1">
                            <a:solidFill>
                              <a:schemeClr val="bg2">
                                <a:lumMod val="75000"/>
                              </a:schemeClr>
                            </a:solidFill>
                            <a:latin typeface="Cambria Math" panose="02040503050406030204" pitchFamily="18" charset="0"/>
                          </a:rPr>
                          <m:t>𝑐𝑝𝑢</m:t>
                        </m:r>
                        <m:r>
                          <a:rPr lang="en-US" sz="1100" b="0" i="1">
                            <a:solidFill>
                              <a:schemeClr val="bg2">
                                <a:lumMod val="75000"/>
                              </a:schemeClr>
                            </a:solidFill>
                            <a:latin typeface="Cambria Math" panose="02040503050406030204" pitchFamily="18" charset="0"/>
                          </a:rPr>
                          <m:t>2</m:t>
                        </m:r>
                        <m:r>
                          <a:rPr lang="en-US" sz="1100" b="0" i="1">
                            <a:solidFill>
                              <a:schemeClr val="bg2">
                                <a:lumMod val="75000"/>
                              </a:schemeClr>
                            </a:solidFill>
                            <a:latin typeface="Cambria Math" panose="02040503050406030204" pitchFamily="18" charset="0"/>
                          </a:rPr>
                          <m:t>𝑜𝑡h𝑒𝑟</m:t>
                        </m:r>
                      </m:sub>
                    </m:sSub>
                    <m:r>
                      <a:rPr lang="en-US" sz="1100" b="0" i="1">
                        <a:solidFill>
                          <a:schemeClr val="bg2">
                            <a:lumMod val="75000"/>
                          </a:schemeClr>
                        </a:solidFill>
                        <a:latin typeface="Cambria Math" panose="02040503050406030204" pitchFamily="18" charset="0"/>
                      </a:rPr>
                      <m:t>+ </m:t>
                    </m:r>
                    <m:sSub>
                      <m:sSubPr>
                        <m:ctrlPr>
                          <a:rPr lang="en-US" sz="1100" b="0" i="1">
                            <a:solidFill>
                              <a:schemeClr val="bg2">
                                <a:lumMod val="75000"/>
                              </a:schemeClr>
                            </a:solidFill>
                            <a:latin typeface="Cambria Math" panose="02040503050406030204" pitchFamily="18" charset="0"/>
                          </a:rPr>
                        </m:ctrlPr>
                      </m:sSubPr>
                      <m:e>
                        <m:r>
                          <a:rPr lang="en-US" sz="1100" b="0" i="1">
                            <a:solidFill>
                              <a:schemeClr val="bg2">
                                <a:lumMod val="75000"/>
                              </a:schemeClr>
                            </a:solidFill>
                            <a:latin typeface="Cambria Math" panose="02040503050406030204" pitchFamily="18" charset="0"/>
                          </a:rPr>
                          <m:t>𝐷</m:t>
                        </m:r>
                      </m:e>
                      <m:sub>
                        <m:r>
                          <a:rPr lang="en-US" sz="1100" b="0" i="1">
                            <a:solidFill>
                              <a:schemeClr val="bg2">
                                <a:lumMod val="75000"/>
                              </a:schemeClr>
                            </a:solidFill>
                            <a:latin typeface="Cambria Math" panose="02040503050406030204" pitchFamily="18" charset="0"/>
                          </a:rPr>
                          <m:t>𝑎𝑐𝑐𝑒𝑙</m:t>
                        </m:r>
                        <m:r>
                          <a:rPr lang="en-US" sz="1100" b="0" i="1">
                            <a:solidFill>
                              <a:schemeClr val="bg2">
                                <a:lumMod val="75000"/>
                              </a:schemeClr>
                            </a:solidFill>
                            <a:latin typeface="Cambria Math" panose="02040503050406030204" pitchFamily="18" charset="0"/>
                          </a:rPr>
                          <m:t>2</m:t>
                        </m:r>
                        <m:r>
                          <a:rPr lang="en-US" sz="1100" b="0" i="1">
                            <a:solidFill>
                              <a:schemeClr val="bg2">
                                <a:lumMod val="75000"/>
                              </a:schemeClr>
                            </a:solidFill>
                            <a:latin typeface="Cambria Math" panose="02040503050406030204" pitchFamily="18" charset="0"/>
                          </a:rPr>
                          <m:t>𝑜𝑡h𝑒𝑟</m:t>
                        </m:r>
                      </m:sub>
                    </m:sSub>
                  </m:oMath>
                  <m:oMath xmlns:m="http://schemas.openxmlformats.org/officeDocument/2006/math">
                    <m:r>
                      <a:rPr lang="en-US" sz="1100" b="0" i="1">
                        <a:solidFill>
                          <a:schemeClr val="bg2">
                            <a:lumMod val="75000"/>
                          </a:schemeClr>
                        </a:solidFill>
                        <a:latin typeface="Cambria Math" panose="02040503050406030204" pitchFamily="18" charset="0"/>
                      </a:rPr>
                      <m:t>𝑜𝑡h𝑒𝑟</m:t>
                    </m:r>
                    <m:r>
                      <a:rPr lang="en-US" sz="1100" b="0" i="1">
                        <a:solidFill>
                          <a:schemeClr val="bg2">
                            <a:lumMod val="75000"/>
                          </a:schemeClr>
                        </a:solidFill>
                        <a:latin typeface="Cambria Math" panose="02040503050406030204" pitchFamily="18" charset="0"/>
                      </a:rPr>
                      <m:t>= </m:t>
                    </m:r>
                    <m:r>
                      <a:rPr lang="en-US" sz="1100" b="0" i="1">
                        <a:solidFill>
                          <a:schemeClr val="bg2">
                            <a:lumMod val="75000"/>
                          </a:schemeClr>
                        </a:solidFill>
                        <a:latin typeface="Cambria Math" panose="02040503050406030204" pitchFamily="18" charset="0"/>
                      </a:rPr>
                      <m:t>𝑒</m:t>
                    </m:r>
                    <m:r>
                      <a:rPr lang="en-US" sz="1100" b="0" i="1">
                        <a:solidFill>
                          <a:schemeClr val="bg2">
                            <a:lumMod val="75000"/>
                          </a:schemeClr>
                        </a:solidFill>
                        <a:latin typeface="Cambria Math" panose="02040503050406030204" pitchFamily="18" charset="0"/>
                      </a:rPr>
                      <m:t>.</m:t>
                    </m:r>
                    <m:r>
                      <a:rPr lang="en-US" sz="1100" b="0" i="1">
                        <a:solidFill>
                          <a:schemeClr val="bg2">
                            <a:lumMod val="75000"/>
                          </a:schemeClr>
                        </a:solidFill>
                        <a:latin typeface="Cambria Math" panose="02040503050406030204" pitchFamily="18" charset="0"/>
                      </a:rPr>
                      <m:t>𝑔</m:t>
                    </m:r>
                    <m:r>
                      <a:rPr lang="en-US" sz="1100" b="0" i="1">
                        <a:solidFill>
                          <a:schemeClr val="bg2">
                            <a:lumMod val="75000"/>
                          </a:schemeClr>
                        </a:solidFill>
                        <a:latin typeface="Cambria Math" panose="02040503050406030204" pitchFamily="18" charset="0"/>
                      </a:rPr>
                      <m:t>. </m:t>
                    </m:r>
                    <m:r>
                      <a:rPr lang="en-US" sz="1100" b="0" i="1">
                        <a:solidFill>
                          <a:schemeClr val="bg2">
                            <a:lumMod val="75000"/>
                          </a:schemeClr>
                        </a:solidFill>
                        <a:latin typeface="Cambria Math" panose="02040503050406030204" pitchFamily="18" charset="0"/>
                      </a:rPr>
                      <m:t>𝐶𝑛𝑀</m:t>
                    </m:r>
                    <m:r>
                      <a:rPr lang="en-US" sz="1100" b="0" i="1">
                        <a:solidFill>
                          <a:schemeClr val="bg2">
                            <a:lumMod val="75000"/>
                          </a:schemeClr>
                        </a:solidFill>
                        <a:latin typeface="Cambria Math" panose="02040503050406030204" pitchFamily="18" charset="0"/>
                      </a:rPr>
                      <m:t>, </m:t>
                    </m:r>
                    <m:r>
                      <a:rPr lang="en-US" sz="1100" b="0" i="1">
                        <a:solidFill>
                          <a:schemeClr val="bg2">
                            <a:lumMod val="75000"/>
                          </a:schemeClr>
                        </a:solidFill>
                        <a:latin typeface="Cambria Math" panose="02040503050406030204" pitchFamily="18" charset="0"/>
                      </a:rPr>
                      <m:t>𝐶𝑛𝑆</m:t>
                    </m:r>
                    <m:r>
                      <a:rPr lang="en-US" sz="1100" b="0" i="1">
                        <a:solidFill>
                          <a:schemeClr val="bg2">
                            <a:lumMod val="75000"/>
                          </a:schemeClr>
                        </a:solidFill>
                        <a:latin typeface="Cambria Math" panose="02040503050406030204" pitchFamily="18" charset="0"/>
                      </a:rPr>
                      <m:t>, </m:t>
                    </m:r>
                    <m:r>
                      <a:rPr lang="en-US" sz="1100" b="0" i="1">
                        <a:solidFill>
                          <a:schemeClr val="bg2">
                            <a:lumMod val="75000"/>
                          </a:schemeClr>
                        </a:solidFill>
                        <a:latin typeface="Cambria Math" panose="02040503050406030204" pitchFamily="18" charset="0"/>
                      </a:rPr>
                      <m:t>𝑑𝑎𝑡𝑎</m:t>
                    </m:r>
                    <m:r>
                      <a:rPr lang="en-US" sz="1100" b="0" i="1">
                        <a:solidFill>
                          <a:schemeClr val="bg2">
                            <a:lumMod val="75000"/>
                          </a:schemeClr>
                        </a:solidFill>
                        <a:latin typeface="Cambria Math" panose="02040503050406030204" pitchFamily="18" charset="0"/>
                      </a:rPr>
                      <m:t> </m:t>
                    </m:r>
                    <m:r>
                      <a:rPr lang="en-US" sz="1100" b="0" i="1">
                        <a:solidFill>
                          <a:schemeClr val="bg2">
                            <a:lumMod val="75000"/>
                          </a:schemeClr>
                        </a:solidFill>
                        <a:latin typeface="Cambria Math" panose="02040503050406030204" pitchFamily="18" charset="0"/>
                      </a:rPr>
                      <m:t>𝑎𝑐𝑐𝑒𝑙𝑒𝑟𝑎𝑡𝑜𝑟𝑠</m:t>
                    </m:r>
                    <m:r>
                      <a:rPr lang="en-US" sz="1100" b="0" i="1">
                        <a:solidFill>
                          <a:schemeClr val="bg2">
                            <a:lumMod val="75000"/>
                          </a:schemeClr>
                        </a:solidFill>
                        <a:latin typeface="Cambria Math" panose="02040503050406030204" pitchFamily="18" charset="0"/>
                      </a:rPr>
                      <m:t> </m:t>
                    </m:r>
                    <m:r>
                      <a:rPr lang="en-US" sz="1100" b="0" i="1">
                        <a:solidFill>
                          <a:schemeClr val="bg2">
                            <a:lumMod val="75000"/>
                          </a:schemeClr>
                        </a:solidFill>
                        <a:latin typeface="Cambria Math" panose="02040503050406030204" pitchFamily="18" charset="0"/>
                      </a:rPr>
                      <m:t>𝑖𝑛𝑠𝑡𝑒𝑎𝑑</m:t>
                    </m:r>
                    <m:r>
                      <a:rPr lang="en-US" sz="1100" b="0" i="1">
                        <a:solidFill>
                          <a:schemeClr val="bg2">
                            <a:lumMod val="75000"/>
                          </a:schemeClr>
                        </a:solidFill>
                        <a:latin typeface="Cambria Math" panose="02040503050406030204" pitchFamily="18" charset="0"/>
                      </a:rPr>
                      <m:t> </m:t>
                    </m:r>
                    <m:r>
                      <a:rPr lang="en-US" sz="1100" b="0" i="1">
                        <a:solidFill>
                          <a:schemeClr val="bg2">
                            <a:lumMod val="75000"/>
                          </a:schemeClr>
                        </a:solidFill>
                        <a:latin typeface="Cambria Math" panose="02040503050406030204" pitchFamily="18" charset="0"/>
                      </a:rPr>
                      <m:t>𝑜𝑓</m:t>
                    </m:r>
                    <m:r>
                      <a:rPr lang="en-US" sz="1100" b="0" i="1">
                        <a:solidFill>
                          <a:schemeClr val="bg2">
                            <a:lumMod val="75000"/>
                          </a:schemeClr>
                        </a:solidFill>
                        <a:latin typeface="Cambria Math" panose="02040503050406030204" pitchFamily="18" charset="0"/>
                      </a:rPr>
                      <m:t> </m:t>
                    </m:r>
                    <m:r>
                      <a:rPr lang="en-US" sz="1100" b="0" i="1">
                        <a:solidFill>
                          <a:schemeClr val="bg2">
                            <a:lumMod val="75000"/>
                          </a:schemeClr>
                        </a:solidFill>
                        <a:latin typeface="Cambria Math" panose="02040503050406030204" pitchFamily="18" charset="0"/>
                      </a:rPr>
                      <m:t>𝑐𝑜𝑚𝑝𝑢𝑡𝑒</m:t>
                    </m:r>
                    <m:r>
                      <a:rPr lang="en-US" sz="1100" b="0" i="1">
                        <a:solidFill>
                          <a:schemeClr val="bg2">
                            <a:lumMod val="75000"/>
                          </a:schemeClr>
                        </a:solidFill>
                        <a:latin typeface="Cambria Math" panose="02040503050406030204" pitchFamily="18" charset="0"/>
                      </a:rPr>
                      <m:t> </m:t>
                    </m:r>
                    <m:r>
                      <a:rPr lang="en-US" sz="1100" b="0" i="1">
                        <a:solidFill>
                          <a:schemeClr val="bg2">
                            <a:lumMod val="75000"/>
                          </a:schemeClr>
                        </a:solidFill>
                        <a:latin typeface="Cambria Math" panose="02040503050406030204" pitchFamily="18" charset="0"/>
                      </a:rPr>
                      <m:t>𝑎𝑐𝑐𝑒𝑙𝑒𝑟𝑎𝑡𝑜𝑟𝑠</m:t>
                    </m:r>
                  </m:oMath>
                </m:oMathPara>
              </a14:m>
              <a:endParaRPr lang="en-GB" sz="1100"/>
            </a:p>
          </xdr:txBody>
        </xdr:sp>
      </mc:Choice>
      <mc:Fallback xmlns="">
        <xdr:sp macro="" textlink="">
          <xdr:nvSpPr>
            <xdr:cNvPr id="386" name="TextBox 1">
              <a:extLst>
                <a:ext uri="{FF2B5EF4-FFF2-40B4-BE49-F238E27FC236}">
                  <a16:creationId xmlns:a16="http://schemas.microsoft.com/office/drawing/2014/main" id="{36098DC3-D929-410B-A9C5-BA1DA498894E}"/>
                </a:ext>
              </a:extLst>
            </xdr:cNvPr>
            <xdr:cNvSpPr txBox="1"/>
          </xdr:nvSpPr>
          <xdr:spPr>
            <a:xfrm>
              <a:off x="3260481" y="338870"/>
              <a:ext cx="6537325" cy="425566"/>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𝑇 =max⁡(𝐶_(𝑚𝑢𝑙𝑡𝑖_𝑎𝑐𝑐𝑒𝑙 ),𝐶_(𝑚𝑢𝑙𝑡𝑖_𝑐𝑝𝑢 ),</a:t>
              </a:r>
              <a:r>
                <a:rPr lang="en-US" sz="1100" b="0" i="0">
                  <a:solidFill>
                    <a:schemeClr val="bg2">
                      <a:lumMod val="75000"/>
                    </a:schemeClr>
                  </a:solidFill>
                  <a:latin typeface="Cambria Math" panose="02040503050406030204" pitchFamily="18" charset="0"/>
                </a:rPr>
                <a:t>𝐶_𝑜𝑡ℎ𝑒𝑟 )</a:t>
              </a:r>
              <a:r>
                <a:rPr lang="en-US" sz="1100" b="0" i="0">
                  <a:latin typeface="Cambria Math" panose="02040503050406030204" pitchFamily="18" charset="0"/>
                </a:rPr>
                <a:t>+𝐷_𝑐𝑝𝑢2𝑎𝑐𝑐𝑒𝑙</a:t>
              </a:r>
              <a:r>
                <a:rPr lang="en-US" sz="1100" b="0" i="0">
                  <a:solidFill>
                    <a:schemeClr val="bg2">
                      <a:lumMod val="75000"/>
                    </a:schemeClr>
                  </a:solidFill>
                  <a:latin typeface="Cambria Math" panose="02040503050406030204" pitchFamily="18" charset="0"/>
                </a:rPr>
                <a:t>+𝐷_𝑐𝑝𝑢2𝑜𝑡ℎ𝑒𝑟+ 𝐷_𝑎𝑐𝑐𝑒𝑙2𝑜𝑡ℎ𝑒𝑟</a:t>
              </a:r>
              <a:br>
                <a:rPr lang="en-US" sz="1100" b="0" i="1">
                  <a:solidFill>
                    <a:schemeClr val="bg2">
                      <a:lumMod val="75000"/>
                    </a:schemeClr>
                  </a:solidFill>
                  <a:latin typeface="Cambria Math" panose="02040503050406030204" pitchFamily="18" charset="0"/>
                </a:rPr>
              </a:br>
              <a:r>
                <a:rPr lang="en-US" sz="1100" b="0" i="0">
                  <a:solidFill>
                    <a:schemeClr val="bg2">
                      <a:lumMod val="75000"/>
                    </a:schemeClr>
                  </a:solidFill>
                  <a:latin typeface="Cambria Math" panose="02040503050406030204" pitchFamily="18" charset="0"/>
                </a:rPr>
                <a:t>𝑜𝑡ℎ𝑒𝑟= 𝑒.𝑔. 𝐶𝑛𝑀, 𝐶𝑛𝑆, 𝑑𝑎𝑡𝑎 𝑎𝑐𝑐𝑒𝑙𝑒𝑟𝑎𝑡𝑜𝑟𝑠 𝑖𝑛𝑠𝑡𝑒𝑎𝑑 𝑜𝑓 𝑐𝑜𝑚𝑝𝑢𝑡𝑒 𝑎𝑐𝑐𝑒𝑙𝑒𝑟𝑎𝑡𝑜𝑟𝑠</a:t>
              </a:r>
              <a:endParaRPr lang="en-GB" sz="1100"/>
            </a:p>
          </xdr:txBody>
        </xdr:sp>
      </mc:Fallback>
    </mc:AlternateContent>
    <xdr:clientData/>
  </xdr:oneCellAnchor>
  <xdr:oneCellAnchor>
    <xdr:from>
      <xdr:col>1</xdr:col>
      <xdr:colOff>0</xdr:colOff>
      <xdr:row>12</xdr:row>
      <xdr:rowOff>0</xdr:rowOff>
    </xdr:from>
    <xdr:ext cx="5851525" cy="788421"/>
    <mc:AlternateContent xmlns:mc="http://schemas.openxmlformats.org/markup-compatibility/2006" xmlns:a14="http://schemas.microsoft.com/office/drawing/2010/main">
      <mc:Choice Requires="a14">
        <xdr:sp macro="" textlink="">
          <xdr:nvSpPr>
            <xdr:cNvPr id="975" name="TextBox 2">
              <a:extLst>
                <a:ext uri="{FF2B5EF4-FFF2-40B4-BE49-F238E27FC236}">
                  <a16:creationId xmlns:a16="http://schemas.microsoft.com/office/drawing/2014/main" id="{00000000-0008-0000-0500-0000CF030000}"/>
                </a:ext>
              </a:extLst>
            </xdr:cNvPr>
            <xdr:cNvSpPr txBox="1"/>
          </xdr:nvSpPr>
          <xdr:spPr>
            <a:xfrm>
              <a:off x="3260481" y="3233005"/>
              <a:ext cx="5851525" cy="788421"/>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eqArr>
                      <m:eqArrPr>
                        <m:ctrlPr>
                          <a:rPr lang="en-US" sz="1100" b="0" i="1">
                            <a:latin typeface="Cambria Math" panose="02040503050406030204" pitchFamily="18" charset="0"/>
                          </a:rPr>
                        </m:ctrlPr>
                      </m:eqArrPr>
                      <m:e>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𝑚𝑢𝑙𝑡𝑖</m:t>
                            </m:r>
                            <m:r>
                              <a:rPr lang="en-US" sz="1100" b="0" i="1" baseline="-25000">
                                <a:latin typeface="Cambria Math" panose="02040503050406030204" pitchFamily="18" charset="0"/>
                              </a:rPr>
                              <m:t>𝑎𝑐𝑐𝑒𝑙</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𝑒𝑝𝑜𝑐h</m:t>
                            </m:r>
                          </m:sub>
                        </m:sSub>
                        <m:r>
                          <a:rPr lang="en-US" sz="1100" b="0" i="1">
                            <a:latin typeface="Cambria Math" panose="02040503050406030204" pitchFamily="18" charset="0"/>
                          </a:rPr>
                          <m:t>∗</m:t>
                        </m:r>
                        <m:d>
                          <m:dPr>
                            <m:begChr m:val="["/>
                            <m:endChr m:val="]"/>
                            <m:ctrlPr>
                              <a:rPr lang="en-US" sz="1100" b="0" i="1">
                                <a:latin typeface="Cambria Math" panose="02040503050406030204" pitchFamily="18" charset="0"/>
                              </a:rPr>
                            </m:ctrlPr>
                          </m:dPr>
                          <m:e>
                            <m:d>
                              <m:dPr>
                                <m:ctrlPr>
                                  <a:rPr lang="en-US" sz="1100" b="0" i="1">
                                    <a:latin typeface="Cambria Math" panose="02040503050406030204" pitchFamily="18" charset="0"/>
                                  </a:rPr>
                                </m:ctrlPr>
                              </m:dPr>
                              <m:e>
                                <m:nary>
                                  <m:naryPr>
                                    <m:chr m:val="∑"/>
                                    <m:supHide m:val="on"/>
                                    <m:ctrlPr>
                                      <a:rPr lang="en-US" sz="1100" b="0" i="1">
                                        <a:solidFill>
                                          <a:schemeClr val="tx1"/>
                                        </a:solidFill>
                                        <a:effectLst/>
                                        <a:latin typeface="Cambria Math" panose="02040503050406030204" pitchFamily="18" charset="0"/>
                                        <a:ea typeface="+mn-ea"/>
                                        <a:cs typeface="+mn-cs"/>
                                      </a:rPr>
                                    </m:ctrlPr>
                                  </m:naryPr>
                                  <m:sub>
                                    <m:r>
                                      <a:rPr lang="en-US" sz="1100" b="0" i="1">
                                        <a:solidFill>
                                          <a:schemeClr val="tx1"/>
                                        </a:solidFill>
                                        <a:effectLst/>
                                        <a:latin typeface="Cambria Math" panose="02040503050406030204" pitchFamily="18" charset="0"/>
                                        <a:ea typeface="+mn-ea"/>
                                        <a:cs typeface="+mn-cs"/>
                                      </a:rPr>
                                      <m:t>𝑙</m:t>
                                    </m:r>
                                  </m:sub>
                                  <m:sup/>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𝑓</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r>
                                          <a:rPr lang="en-US" sz="1100" b="0" i="1">
                                            <a:solidFill>
                                              <a:schemeClr val="tx1"/>
                                            </a:solidFill>
                                            <a:effectLst/>
                                            <a:latin typeface="Cambria Math" panose="02040503050406030204" pitchFamily="18" charset="0"/>
                                            <a:ea typeface="+mn-ea"/>
                                            <a:cs typeface="+mn-cs"/>
                                          </a:rPr>
                                          <m:t>𝑓</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𝑏</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r>
                                          <a:rPr lang="en-US" sz="1100" b="0" i="1">
                                            <a:solidFill>
                                              <a:schemeClr val="tx1"/>
                                            </a:solidFill>
                                            <a:effectLst/>
                                            <a:latin typeface="Cambria Math" panose="02040503050406030204" pitchFamily="18" charset="0"/>
                                            <a:ea typeface="+mn-ea"/>
                                            <a:cs typeface="+mn-cs"/>
                                          </a:rPr>
                                          <m:t>𝑏</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e>
                                </m:nary>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𝑤</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m:t>
                                </m:r>
                                <m:f>
                                  <m:fPr>
                                    <m:ctrlPr>
                                      <a:rPr lang="en-US" sz="1100" b="0" i="1">
                                        <a:solidFill>
                                          <a:schemeClr val="tx1"/>
                                        </a:solidFill>
                                        <a:effectLst/>
                                        <a:latin typeface="Cambria Math" panose="02040503050406030204" pitchFamily="18" charset="0"/>
                                        <a:ea typeface="+mn-ea"/>
                                        <a:cs typeface="+mn-cs"/>
                                      </a:rPr>
                                    </m:ctrlPr>
                                  </m:fPr>
                                  <m:num>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𝑠𝑎𝑚𝑝𝑙𝑒</m:t>
                                        </m:r>
                                      </m:sub>
                                    </m:sSub>
                                  </m:num>
                                  <m:den>
                                    <m:r>
                                      <a:rPr lang="en-US" sz="1100" b="0" i="1">
                                        <a:solidFill>
                                          <a:schemeClr val="tx1"/>
                                        </a:solidFill>
                                        <a:effectLst/>
                                        <a:latin typeface="Cambria Math" panose="02040503050406030204" pitchFamily="18" charset="0"/>
                                        <a:ea typeface="+mn-ea"/>
                                        <a:cs typeface="+mn-cs"/>
                                      </a:rPr>
                                      <m:t>𝑄</m:t>
                                    </m:r>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den>
                                </m:f>
                              </m:e>
                            </m:d>
                            <m:r>
                              <a:rPr lang="en-US" sz="1100" b="0" i="1">
                                <a:solidFill>
                                  <a:schemeClr val="tx1"/>
                                </a:solidFill>
                                <a:latin typeface="Cambria Math" panose="02040503050406030204" pitchFamily="18" charset="0"/>
                              </a:rPr>
                              <m:t> </m:t>
                            </m:r>
                            <m:r>
                              <a:rPr lang="en-US" sz="1100" b="0" i="1">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𝑀</m:t>
                                </m:r>
                              </m:e>
                              <m:sub>
                                <m:r>
                                  <a:rPr lang="en-US" sz="1100" b="0" i="1">
                                    <a:solidFill>
                                      <a:schemeClr val="tx1"/>
                                    </a:solidFill>
                                    <a:latin typeface="Cambria Math" panose="02040503050406030204" pitchFamily="18" charset="0"/>
                                  </a:rPr>
                                  <m:t>𝑎𝑙𝑙𝑟𝑒𝑑𝑢𝑐𝑒</m:t>
                                </m:r>
                              </m:sub>
                            </m:sSub>
                          </m:e>
                        </m:d>
                      </m:e>
                    </m:eqArr>
                  </m:oMath>
                  <m:oMath xmlns:m="http://schemas.openxmlformats.org/officeDocument/2006/math">
                    <m:r>
                      <a:rPr lang="en-US" sz="1100" b="0" i="1">
                        <a:latin typeface="Cambria Math" panose="02040503050406030204" pitchFamily="18" charset="0"/>
                      </a:rPr>
                      <m:t>𝑏𝑎𝑠𝑒𝑑</m:t>
                    </m:r>
                    <m:r>
                      <a:rPr lang="en-US" sz="1100" b="0" i="1">
                        <a:latin typeface="Cambria Math" panose="02040503050406030204" pitchFamily="18" charset="0"/>
                      </a:rPr>
                      <m:t> </m:t>
                    </m:r>
                    <m:r>
                      <a:rPr lang="en-US" sz="1100" b="0" i="1">
                        <a:latin typeface="Cambria Math" panose="02040503050406030204" pitchFamily="18" charset="0"/>
                      </a:rPr>
                      <m:t>𝑜𝑛</m:t>
                    </m:r>
                    <m:r>
                      <a:rPr lang="en-US" sz="1100" b="0" i="1">
                        <a:latin typeface="Cambria Math" panose="02040503050406030204" pitchFamily="18" charset="0"/>
                      </a:rPr>
                      <m:t> </m:t>
                    </m:r>
                    <m:r>
                      <a:rPr lang="en-US" sz="1100" b="0" i="1">
                        <a:latin typeface="Cambria Math" panose="02040503050406030204" pitchFamily="18" charset="0"/>
                      </a:rPr>
                      <m:t>𝑀𝐿</m:t>
                    </m:r>
                    <m:r>
                      <a:rPr lang="en-US" sz="1100" b="0" i="1">
                        <a:latin typeface="Cambria Math" panose="02040503050406030204" pitchFamily="18" charset="0"/>
                      </a:rPr>
                      <m:t> </m:t>
                    </m:r>
                    <m:r>
                      <a:rPr lang="en-US" sz="1100" b="0" i="1">
                        <a:latin typeface="Cambria Math" panose="02040503050406030204" pitchFamily="18" charset="0"/>
                      </a:rPr>
                      <m:t>𝑚𝑜𝑑𝑒𝑙</m:t>
                    </m:r>
                    <m:r>
                      <a:rPr lang="en-US" sz="1100" b="0" i="1">
                        <a:latin typeface="Cambria Math" panose="02040503050406030204" pitchFamily="18" charset="0"/>
                      </a:rPr>
                      <m:t> </m:t>
                    </m:r>
                    <m:r>
                      <a:rPr lang="en-US" sz="1100" b="0" i="1">
                        <a:latin typeface="Cambria Math" panose="02040503050406030204" pitchFamily="18" charset="0"/>
                      </a:rPr>
                      <m:t>𝑐𝑜𝑛𝑛𝑒𝑐𝑡𝑖𝑣𝑖𝑡𝑦</m:t>
                    </m:r>
                    <m:r>
                      <a:rPr lang="en-US" sz="1100" b="0" i="1">
                        <a:latin typeface="Cambria Math" panose="02040503050406030204" pitchFamily="18" charset="0"/>
                      </a:rPr>
                      <m:t> </m:t>
                    </m:r>
                    <m:r>
                      <a:rPr lang="en-US" sz="1100" b="0" i="1">
                        <a:latin typeface="Cambria Math" panose="02040503050406030204" pitchFamily="18" charset="0"/>
                      </a:rPr>
                      <m:t>𝑝𝑎𝑟𝑎𝑚𝑒𝑡𝑒𝑟𝑠</m:t>
                    </m:r>
                    <m:r>
                      <a:rPr lang="en-US" sz="1100" b="0" i="1">
                        <a:latin typeface="Cambria Math" panose="02040503050406030204" pitchFamily="18" charset="0"/>
                      </a:rPr>
                      <m:t> , </m:t>
                    </m:r>
                    <m:r>
                      <a:rPr lang="en-US" sz="1100" b="0" i="1">
                        <a:latin typeface="Cambria Math" panose="02040503050406030204" pitchFamily="18" charset="0"/>
                      </a:rPr>
                      <m:t>𝑝𝑎𝑟𝑎𝑙𝑙𝑒𝑙𝑖𝑠𝑎𝑡𝑖𝑜𝑛</m:t>
                    </m:r>
                    <m:r>
                      <a:rPr lang="en-US" sz="1100" b="0" i="1">
                        <a:latin typeface="Cambria Math" panose="02040503050406030204" pitchFamily="18" charset="0"/>
                      </a:rPr>
                      <m:t> </m:t>
                    </m:r>
                    <m:r>
                      <a:rPr lang="en-US" sz="1100" b="0" i="1">
                        <a:latin typeface="Cambria Math" panose="02040503050406030204" pitchFamily="18" charset="0"/>
                      </a:rPr>
                      <m:t>𝑐h𝑜𝑖𝑐𝑒𝑠</m:t>
                    </m:r>
                    <m:r>
                      <a:rPr lang="en-US" sz="1100" b="0" i="1">
                        <a:latin typeface="Cambria Math" panose="02040503050406030204" pitchFamily="18" charset="0"/>
                      </a:rPr>
                      <m:t>, </m:t>
                    </m:r>
                  </m:oMath>
                </m:oMathPara>
              </a14:m>
              <a:br>
                <a:rPr lang="en-US" sz="1100" b="0" i="1">
                  <a:latin typeface="Cambria Math" panose="02040503050406030204" pitchFamily="18" charset="0"/>
                </a:rPr>
              </a:br>
              <a14:m>
                <m:oMath xmlns:m="http://schemas.openxmlformats.org/officeDocument/2006/math">
                  <m:r>
                    <a:rPr lang="en-US" sz="1100" b="0" i="1">
                      <a:latin typeface="Cambria Math" panose="02040503050406030204" pitchFamily="18" charset="0"/>
                    </a:rPr>
                    <m:t>𝑎𝑛𝑑</m:t>
                  </m:r>
                  <m:r>
                    <a:rPr lang="en-US" sz="1100" b="0" i="1">
                      <a:latin typeface="Cambria Math" panose="02040503050406030204" pitchFamily="18" charset="0"/>
                    </a:rPr>
                    <m:t> </m:t>
                  </m:r>
                  <m:r>
                    <a:rPr lang="en-US" sz="1100" b="0" i="1">
                      <a:latin typeface="Cambria Math" panose="02040503050406030204" pitchFamily="18" charset="0"/>
                    </a:rPr>
                    <m:t>𝐻𝑊</m:t>
                  </m:r>
                  <m:r>
                    <a:rPr lang="en-US" sz="1100" b="0" i="1">
                      <a:latin typeface="Cambria Math" panose="02040503050406030204" pitchFamily="18" charset="0"/>
                    </a:rPr>
                    <m:t> </m:t>
                  </m:r>
                  <m:r>
                    <a:rPr lang="en-US" sz="1100" b="0" i="1">
                      <a:latin typeface="Cambria Math" panose="02040503050406030204" pitchFamily="18" charset="0"/>
                    </a:rPr>
                    <m:t>𝑠𝑝𝑒𝑐𝑠</m:t>
                  </m:r>
                  <m:r>
                    <a:rPr lang="en-US" sz="1100" b="0" i="1">
                      <a:latin typeface="Cambria Math" panose="02040503050406030204" pitchFamily="18" charset="0"/>
                    </a:rPr>
                    <m:t> </m:t>
                  </m:r>
                  <m:r>
                    <a:rPr lang="en-US" sz="1100" b="0" i="1">
                      <a:latin typeface="Cambria Math" panose="02040503050406030204" pitchFamily="18" charset="0"/>
                    </a:rPr>
                    <m:t>𝑙𝑖𝑘𝑒</m:t>
                  </m:r>
                  <m:r>
                    <a:rPr lang="en-US" sz="1100" b="0" i="1">
                      <a:latin typeface="Cambria Math" panose="02040503050406030204" pitchFamily="18" charset="0"/>
                    </a:rPr>
                    <m:t> </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𝑀𝐴𝐶</m:t>
                      </m:r>
                    </m:sub>
                  </m:sSub>
                  <m:r>
                    <a:rPr lang="en-US" sz="1100" b="0" i="1">
                      <a:latin typeface="Cambria Math" panose="02040503050406030204" pitchFamily="18" charset="0"/>
                    </a:rPr>
                    <m:t> </m:t>
                  </m:r>
                  <m:r>
                    <a:rPr lang="en-US" sz="1100" b="0" i="1">
                      <a:latin typeface="Cambria Math" panose="02040503050406030204" pitchFamily="18" charset="0"/>
                    </a:rPr>
                    <m:t>𝑎𝑛𝑑</m:t>
                  </m:r>
                  <m:r>
                    <a:rPr lang="en-US" sz="1100" b="0" i="1">
                      <a:latin typeface="Cambria Math" panose="02040503050406030204" pitchFamily="18" charset="0"/>
                    </a:rPr>
                    <m:t> </m:t>
                  </m:r>
                  <m:r>
                    <a:rPr lang="en-US" sz="1100" b="0" i="1">
                      <a:latin typeface="Cambria Math" panose="02040503050406030204" pitchFamily="18" charset="0"/>
                    </a:rPr>
                    <m:t>𝑙𝑎𝑡𝑒𝑛𝑐𝑦</m:t>
                  </m:r>
                  <m:r>
                    <a:rPr lang="en-US" sz="1100" b="0" i="1">
                      <a:latin typeface="Cambria Math" panose="02040503050406030204" pitchFamily="18" charset="0"/>
                    </a:rPr>
                    <m:t> </m:t>
                  </m:r>
                  <m:r>
                    <a:rPr lang="en-US" sz="1100" b="0" i="1">
                      <a:latin typeface="Cambria Math" panose="02040503050406030204" pitchFamily="18" charset="0"/>
                    </a:rPr>
                    <m:t>𝑎𝑛𝑑</m:t>
                  </m:r>
                  <m:r>
                    <a:rPr lang="en-US" sz="1100" b="0" i="1">
                      <a:latin typeface="Cambria Math" panose="02040503050406030204" pitchFamily="18" charset="0"/>
                    </a:rPr>
                    <m:t> </m:t>
                  </m:r>
                  <m:r>
                    <a:rPr lang="en-US" sz="1100" b="0" i="1">
                      <a:latin typeface="Cambria Math" panose="02040503050406030204" pitchFamily="18" charset="0"/>
                    </a:rPr>
                    <m:t>𝐵𝑊</m:t>
                  </m:r>
                  <m:r>
                    <a:rPr lang="en-US" sz="1100" b="0" i="1">
                      <a:latin typeface="Cambria Math" panose="02040503050406030204" pitchFamily="18" charset="0"/>
                    </a:rPr>
                    <m:t> </m:t>
                  </m:r>
                </m:oMath>
              </a14:m>
              <a:r>
                <a:rPr lang="en-GB" sz="1100"/>
                <a:t>(to be extended with more detail on chip)</a:t>
              </a:r>
            </a:p>
          </xdr:txBody>
        </xdr:sp>
      </mc:Choice>
      <mc:Fallback xmlns="">
        <xdr:sp macro="" textlink="">
          <xdr:nvSpPr>
            <xdr:cNvPr id="388" name="TextBox 2">
              <a:extLst>
                <a:ext uri="{FF2B5EF4-FFF2-40B4-BE49-F238E27FC236}">
                  <a16:creationId xmlns:a16="http://schemas.microsoft.com/office/drawing/2014/main" id="{16EE609A-27E5-42A8-AC6E-A5E0242F3346}"/>
                </a:ext>
              </a:extLst>
            </xdr:cNvPr>
            <xdr:cNvSpPr txBox="1"/>
          </xdr:nvSpPr>
          <xdr:spPr>
            <a:xfrm>
              <a:off x="3260481" y="3233005"/>
              <a:ext cx="5851525" cy="788421"/>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█(𝐶_𝑚𝑢𝑙𝑡𝑖</a:t>
              </a:r>
              <a:r>
                <a:rPr lang="en-US" sz="1100" b="0" i="0" baseline="-25000">
                  <a:latin typeface="Cambria Math" panose="02040503050406030204" pitchFamily="18" charset="0"/>
                </a:rPr>
                <a:t>𝑎𝑐𝑐𝑒𝑙</a:t>
              </a:r>
              <a:r>
                <a:rPr lang="en-US" sz="1100" b="0" i="0">
                  <a:latin typeface="Cambria Math" panose="02040503050406030204" pitchFamily="18" charset="0"/>
                </a:rPr>
                <a:t>=𝑁_𝑒𝑝𝑜𝑐ℎ∗[(</a:t>
              </a:r>
              <a:r>
                <a:rPr lang="en-US" sz="1100" b="0" i="0">
                  <a:solidFill>
                    <a:schemeClr val="tx1"/>
                  </a:solidFill>
                  <a:effectLst/>
                  <a:latin typeface="Cambria Math" panose="02040503050406030204" pitchFamily="18" charset="0"/>
                  <a:ea typeface="+mn-ea"/>
                  <a:cs typeface="+mn-cs"/>
                </a:rPr>
                <a:t>∑_𝑙▒〖𝑈_𝑓 (𝑙)+𝑀_𝑓 (𝑙)+𝑈_𝑏 (𝑙)+𝑀_𝑏 (𝑙)〗+𝑈_𝑤 (𝑙))∗𝑁_𝑠𝑎𝑚𝑝𝑙𝑒/𝑄(𝑙) ) </a:t>
              </a:r>
              <a:r>
                <a:rPr lang="en-US" sz="1100" b="0" i="0">
                  <a:solidFill>
                    <a:schemeClr val="tx1"/>
                  </a:solidFill>
                  <a:latin typeface="Cambria Math" panose="02040503050406030204" pitchFamily="18" charset="0"/>
                </a:rPr>
                <a:t> </a:t>
              </a:r>
              <a:r>
                <a:rPr lang="en-US" sz="1100" b="0" i="0">
                  <a:latin typeface="Cambria Math" panose="02040503050406030204" pitchFamily="18" charset="0"/>
                </a:rPr>
                <a:t>+</a:t>
              </a:r>
              <a:r>
                <a:rPr lang="en-US" sz="1100" b="0" i="0">
                  <a:solidFill>
                    <a:schemeClr val="tx1"/>
                  </a:solidFill>
                  <a:latin typeface="Cambria Math" panose="02040503050406030204" pitchFamily="18" charset="0"/>
                </a:rPr>
                <a:t>𝑀_𝑎𝑙𝑙𝑟𝑒𝑑𝑢𝑐𝑒 ] )</a:t>
              </a:r>
              <a:br>
                <a:rPr lang="en-US" sz="1100" b="0" i="1">
                  <a:solidFill>
                    <a:schemeClr val="tx1"/>
                  </a:solidFill>
                  <a:latin typeface="Cambria Math" panose="02040503050406030204" pitchFamily="18" charset="0"/>
                </a:rPr>
              </a:br>
              <a:r>
                <a:rPr lang="en-US" sz="1100" b="0" i="0">
                  <a:latin typeface="Cambria Math" panose="02040503050406030204" pitchFamily="18" charset="0"/>
                </a:rPr>
                <a:t>𝑏𝑎𝑠𝑒𝑑 𝑜𝑛 𝑀𝐿 𝑚𝑜𝑑𝑒𝑙 𝑐𝑜𝑛𝑛𝑒𝑐𝑡𝑖𝑣𝑖𝑡𝑦 𝑝𝑎𝑟𝑎𝑚𝑒𝑡𝑒𝑟𝑠 , 𝑝𝑎𝑟𝑎𝑙𝑙𝑒𝑙𝑖𝑠𝑎𝑡𝑖𝑜𝑛 𝑐ℎ𝑜𝑖𝑐𝑒𝑠, </a:t>
              </a:r>
              <a:br>
                <a:rPr lang="en-US" sz="1100" b="0" i="1">
                  <a:latin typeface="Cambria Math" panose="02040503050406030204" pitchFamily="18" charset="0"/>
                </a:rPr>
              </a:br>
              <a:r>
                <a:rPr lang="en-US" sz="1100" b="0" i="0">
                  <a:latin typeface="Cambria Math" panose="02040503050406030204" pitchFamily="18" charset="0"/>
                </a:rPr>
                <a:t>𝑎𝑛𝑑 𝐻𝑊 𝑠𝑝𝑒𝑐𝑠 𝑙𝑖𝑘𝑒 𝐶_𝑀𝐴𝐶  𝑎𝑛𝑑 𝑙𝑎𝑡𝑒𝑛𝑐𝑦 𝑎𝑛𝑑 𝐵𝑊 </a:t>
              </a:r>
              <a:r>
                <a:rPr lang="en-GB" sz="1100"/>
                <a:t>(to be extended with more detail on chip)</a:t>
              </a:r>
            </a:p>
          </xdr:txBody>
        </xdr:sp>
      </mc:Fallback>
    </mc:AlternateContent>
    <xdr:clientData/>
  </xdr:oneCellAnchor>
  <xdr:oneCellAnchor>
    <xdr:from>
      <xdr:col>1</xdr:col>
      <xdr:colOff>0</xdr:colOff>
      <xdr:row>139</xdr:row>
      <xdr:rowOff>0</xdr:rowOff>
    </xdr:from>
    <xdr:ext cx="4515216" cy="469872"/>
    <mc:AlternateContent xmlns:mc="http://schemas.openxmlformats.org/markup-compatibility/2006" xmlns:a14="http://schemas.microsoft.com/office/drawing/2010/main">
      <mc:Choice Requires="a14">
        <xdr:sp macro="" textlink="">
          <xdr:nvSpPr>
            <xdr:cNvPr id="832" name="TextBox 483">
              <a:extLst>
                <a:ext uri="{FF2B5EF4-FFF2-40B4-BE49-F238E27FC236}">
                  <a16:creationId xmlns:a16="http://schemas.microsoft.com/office/drawing/2014/main" id="{00000000-0008-0000-0500-000040030000}"/>
                </a:ext>
              </a:extLst>
            </xdr:cNvPr>
            <xdr:cNvSpPr txBox="1"/>
          </xdr:nvSpPr>
          <xdr:spPr>
            <a:xfrm>
              <a:off x="3260481" y="28419303"/>
              <a:ext cx="4515216" cy="46987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𝐷</m:t>
                      </m:r>
                    </m:e>
                    <m:sub>
                      <m:r>
                        <a:rPr lang="en-US" sz="1100" b="0" i="1">
                          <a:latin typeface="Cambria Math" panose="02040503050406030204" pitchFamily="18" charset="0"/>
                        </a:rPr>
                        <m:t>𝑐𝑝𝑢</m:t>
                      </m:r>
                      <m:r>
                        <a:rPr lang="en-US" sz="1100" b="0" i="1">
                          <a:latin typeface="Cambria Math" panose="02040503050406030204" pitchFamily="18" charset="0"/>
                        </a:rPr>
                        <m:t>2</m:t>
                      </m:r>
                      <m:r>
                        <a:rPr lang="en-US" sz="1100" b="0" i="1">
                          <a:latin typeface="Cambria Math" panose="02040503050406030204" pitchFamily="18" charset="0"/>
                        </a:rPr>
                        <m:t>𝑎𝑐𝑐𝑒𝑙</m:t>
                      </m:r>
                    </m:sub>
                  </m:sSub>
                  <m:r>
                    <a:rPr lang="en-US" sz="1100" b="0" i="1">
                      <a:latin typeface="Cambria Math" panose="02040503050406030204" pitchFamily="18" charset="0"/>
                    </a:rPr>
                    <m:t>= </m:t>
                  </m:r>
                  <m:nary>
                    <m:naryPr>
                      <m:chr m:val="∑"/>
                      <m:supHide m:val="on"/>
                      <m:ctrlPr>
                        <a:rPr lang="en-US" sz="1100" b="0" i="1">
                          <a:latin typeface="Cambria Math" panose="02040503050406030204" pitchFamily="18" charset="0"/>
                        </a:rPr>
                      </m:ctrlPr>
                    </m:naryPr>
                    <m:sub>
                      <m:r>
                        <m:rPr>
                          <m:brk m:alnAt="7"/>
                        </m:rPr>
                        <a:rPr lang="en-US" sz="1100" b="0" i="1">
                          <a:latin typeface="Cambria Math" panose="02040503050406030204" pitchFamily="18" charset="0"/>
                        </a:rPr>
                        <m:t>𝐿</m:t>
                      </m:r>
                    </m:sub>
                    <m:sup/>
                    <m:e>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𝑐𝑝𝑢</m:t>
                          </m:r>
                          <m:r>
                            <a:rPr lang="en-US" sz="1100" b="0" i="1">
                              <a:latin typeface="Cambria Math" panose="02040503050406030204" pitchFamily="18" charset="0"/>
                            </a:rPr>
                            <m:t>2</m:t>
                          </m:r>
                          <m:r>
                            <a:rPr lang="en-US" sz="1100" b="0" i="1">
                              <a:latin typeface="Cambria Math" panose="02040503050406030204" pitchFamily="18" charset="0"/>
                            </a:rPr>
                            <m:t>𝑎𝑐𝑐𝑒𝑙</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𝑀𝑅</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𝑤𝑒𝑖𝑔h𝑡𝑠</m:t>
                              </m:r>
                            </m:sub>
                          </m:sSub>
                          <m:r>
                            <a:rPr lang="en-US" sz="1100" b="0" i="1">
                              <a:latin typeface="Cambria Math" panose="02040503050406030204" pitchFamily="18" charset="0"/>
                            </a:rPr>
                            <m:t>(</m:t>
                          </m:r>
                          <m:r>
                            <a:rPr lang="en-US" sz="1100" b="0" i="1">
                              <a:latin typeface="Cambria Math" panose="02040503050406030204" pitchFamily="18" charset="0"/>
                            </a:rPr>
                            <m:t>𝑙</m:t>
                          </m:r>
                          <m:r>
                            <a:rPr lang="en-US" sz="1100" b="0" i="1">
                              <a:latin typeface="Cambria Math" panose="02040503050406030204" pitchFamily="18" charset="0"/>
                            </a:rPr>
                            <m:t>)</m:t>
                          </m:r>
                        </m:num>
                        <m:den>
                          <m:r>
                            <a:rPr lang="en-US" sz="1100" b="0" i="1">
                              <a:latin typeface="Cambria Math" panose="02040503050406030204" pitchFamily="18" charset="0"/>
                            </a:rPr>
                            <m:t>𝐵</m:t>
                          </m:r>
                          <m:sSub>
                            <m:sSubPr>
                              <m:ctrlPr>
                                <a:rPr lang="en-US" sz="1100" b="0" i="1">
                                  <a:latin typeface="Cambria Math" panose="02040503050406030204" pitchFamily="18" charset="0"/>
                                </a:rPr>
                              </m:ctrlPr>
                            </m:sSubPr>
                            <m:e>
                              <m:r>
                                <a:rPr lang="en-US" sz="1100" b="0" i="1">
                                  <a:latin typeface="Cambria Math" panose="02040503050406030204" pitchFamily="18" charset="0"/>
                                </a:rPr>
                                <m:t>𝑊</m:t>
                              </m:r>
                            </m:e>
                            <m:sub>
                              <m:r>
                                <a:rPr lang="en-US" sz="1100" b="0" i="1">
                                  <a:latin typeface="Cambria Math" panose="02040503050406030204" pitchFamily="18" charset="0"/>
                                </a:rPr>
                                <m:t>𝑐𝑝𝑢</m:t>
                              </m:r>
                              <m:r>
                                <a:rPr lang="en-US" sz="1100" b="0" i="1">
                                  <a:latin typeface="Cambria Math" panose="02040503050406030204" pitchFamily="18" charset="0"/>
                                </a:rPr>
                                <m:t>2</m:t>
                              </m:r>
                              <m:r>
                                <a:rPr lang="en-US" sz="1100" b="0" i="1">
                                  <a:latin typeface="Cambria Math" panose="02040503050406030204" pitchFamily="18" charset="0"/>
                                </a:rPr>
                                <m:t>𝑎𝑐𝑐𝑒𝑙</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𝑃𝑆</m:t>
                              </m:r>
                            </m:sub>
                          </m:sSub>
                        </m:den>
                      </m:f>
                      <m:r>
                        <a:rPr lang="en-US" sz="1100" b="0" i="1">
                          <a:latin typeface="Cambria Math" panose="02040503050406030204" pitchFamily="18" charset="0"/>
                        </a:rPr>
                        <m:t>)</m:t>
                      </m:r>
                    </m:e>
                  </m:nary>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𝑠𝑎𝑚𝑝𝑙𝑒𝑠</m:t>
                          </m:r>
                        </m:sub>
                      </m:sSub>
                    </m:num>
                    <m:den>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𝑚𝑖𝑛𝑖𝑏𝑎𝑡𝑐h</m:t>
                          </m:r>
                        </m:sub>
                      </m:sSub>
                    </m:den>
                  </m:f>
                </m:oMath>
              </a14:m>
              <a:r>
                <a:rPr lang="en-US" sz="1100" b="0" i="1">
                  <a:latin typeface="Cambria Math" panose="02040503050406030204" pitchFamily="18" charset="0"/>
                </a:rPr>
                <a:t> </a:t>
              </a:r>
            </a:p>
            <a:p>
              <a:pPr/>
              <a14:m>
                <m:oMathPara xmlns:m="http://schemas.openxmlformats.org/officeDocument/2006/math">
                  <m:oMathParaPr>
                    <m:jc m:val="left"/>
                  </m:oMathParaPr>
                  <m:oMath xmlns:m="http://schemas.openxmlformats.org/officeDocument/2006/math">
                    <m:r>
                      <a:rPr lang="en-US" sz="1100" b="0" i="1">
                        <a:solidFill>
                          <a:schemeClr val="bg1">
                            <a:lumMod val="75000"/>
                          </a:schemeClr>
                        </a:solidFill>
                        <a:latin typeface="Cambria Math" panose="02040503050406030204" pitchFamily="18" charset="0"/>
                      </a:rPr>
                      <m:t>𝑓</m:t>
                    </m:r>
                    <m:r>
                      <a:rPr lang="en-US" sz="1100" b="0" i="1">
                        <a:solidFill>
                          <a:schemeClr val="bg1">
                            <a:lumMod val="75000"/>
                          </a:schemeClr>
                        </a:solidFill>
                        <a:latin typeface="Cambria Math" panose="02040503050406030204" pitchFamily="18" charset="0"/>
                      </a:rPr>
                      <m:t>(</m:t>
                    </m:r>
                    <m:r>
                      <a:rPr lang="en-US" sz="1100" b="0" i="1">
                        <a:solidFill>
                          <a:schemeClr val="bg1">
                            <a:lumMod val="75000"/>
                          </a:schemeClr>
                        </a:solidFill>
                        <a:latin typeface="Cambria Math" panose="02040503050406030204" pitchFamily="18" charset="0"/>
                      </a:rPr>
                      <m:t>𝐵𝑊</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𝑙𝑎𝑡</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𝑘𝑒𝑟𝑛𝑒𝑙</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𝑙𝑎𝑢𝑛𝑐h</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𝑠𝑖𝑧𝑒</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𝑎𝑛𝑑</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𝑘𝑒𝑟𝑛𝑒𝑙</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𝑑𝑒𝑝𝑒𝑛𝑑𝑒𝑛𝑐𝑖𝑒𝑠</m:t>
                    </m:r>
                    <m:r>
                      <a:rPr lang="en-US" sz="1100" b="0" i="1">
                        <a:solidFill>
                          <a:schemeClr val="bg1">
                            <a:lumMod val="75000"/>
                          </a:schemeClr>
                        </a:solidFill>
                        <a:latin typeface="Cambria Math" panose="02040503050406030204" pitchFamily="18" charset="0"/>
                      </a:rPr>
                      <m:t>, </m:t>
                    </m:r>
                    <m:r>
                      <a:rPr lang="en-US" sz="1100" b="0" i="1">
                        <a:solidFill>
                          <a:schemeClr val="bg1">
                            <a:lumMod val="75000"/>
                          </a:schemeClr>
                        </a:solidFill>
                        <a:latin typeface="Cambria Math" panose="02040503050406030204" pitchFamily="18" charset="0"/>
                      </a:rPr>
                      <m:t>𝑝𝑖𝑝𝑒𝑙𝑖𝑛𝑖𝑛𝑔</m:t>
                    </m:r>
                    <m:r>
                      <a:rPr lang="en-US" sz="1100" b="0" i="1">
                        <a:solidFill>
                          <a:schemeClr val="bg1">
                            <a:lumMod val="75000"/>
                          </a:schemeClr>
                        </a:solidFill>
                        <a:latin typeface="Cambria Math" panose="02040503050406030204" pitchFamily="18" charset="0"/>
                      </a:rPr>
                      <m:t>) </m:t>
                    </m:r>
                  </m:oMath>
                </m:oMathPara>
              </a14:m>
              <a:endParaRPr lang="en-GB" sz="1100">
                <a:solidFill>
                  <a:schemeClr val="bg1">
                    <a:lumMod val="75000"/>
                  </a:schemeClr>
                </a:solidFill>
              </a:endParaRPr>
            </a:p>
          </xdr:txBody>
        </xdr:sp>
      </mc:Choice>
      <mc:Fallback xmlns="">
        <xdr:sp macro="" textlink="">
          <xdr:nvSpPr>
            <xdr:cNvPr id="484" name="TextBox 483">
              <a:extLst>
                <a:ext uri="{FF2B5EF4-FFF2-40B4-BE49-F238E27FC236}">
                  <a16:creationId xmlns:a16="http://schemas.microsoft.com/office/drawing/2014/main" id="{495ADC61-6B82-455E-98CE-573465A6F22B}"/>
                </a:ext>
              </a:extLst>
            </xdr:cNvPr>
            <xdr:cNvSpPr txBox="1"/>
          </xdr:nvSpPr>
          <xdr:spPr>
            <a:xfrm>
              <a:off x="3260481" y="28419303"/>
              <a:ext cx="4515216" cy="46987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a:latin typeface="Cambria Math" panose="02040503050406030204" pitchFamily="18" charset="0"/>
                </a:rPr>
                <a:t>𝐷_𝑐𝑝𝑢2𝑎𝑐𝑐𝑒𝑙= ∑_𝐿▒〖(𝐶_𝑐𝑝𝑢2𝑎𝑐𝑐𝑒𝑙+𝑁_𝑀𝑅∗(𝑆_𝑤𝑒𝑖𝑔ℎ𝑡𝑠 (𝑙))/(𝐵𝑊_𝑐𝑝𝑢2𝑎𝑐𝑐𝑒𝑙∗𝑁_𝑃𝑆 ))〗∗𝑁_𝑠𝑎𝑚𝑝𝑙𝑒𝑠/𝑆_𝑚𝑖𝑛𝑖𝑏𝑎𝑡𝑐ℎ </a:t>
              </a:r>
              <a:r>
                <a:rPr lang="en-US" sz="1100" b="0" i="1">
                  <a:latin typeface="Cambria Math" panose="02040503050406030204" pitchFamily="18" charset="0"/>
                </a:rPr>
                <a:t> </a:t>
              </a:r>
            </a:p>
            <a:p>
              <a:pPr/>
              <a:r>
                <a:rPr lang="en-US" sz="1100" b="0" i="0">
                  <a:solidFill>
                    <a:schemeClr val="bg1">
                      <a:lumMod val="75000"/>
                    </a:schemeClr>
                  </a:solidFill>
                  <a:latin typeface="Cambria Math" panose="02040503050406030204" pitchFamily="18" charset="0"/>
                </a:rPr>
                <a:t>𝑓(𝐵𝑊, 𝑙𝑎𝑡, 𝑘𝑒𝑟𝑛𝑒𝑙 𝑙𝑎𝑢𝑛𝑐ℎ 𝑠𝑖𝑧𝑒 𝑎𝑛𝑑 𝑘𝑒𝑟𝑛𝑒𝑙 𝑑𝑒𝑝𝑒𝑛𝑑𝑒𝑛𝑐𝑖𝑒𝑠, 𝑝𝑖𝑝𝑒𝑙𝑖𝑛𝑖𝑛𝑔) </a:t>
              </a:r>
              <a:endParaRPr lang="en-GB" sz="1100">
                <a:solidFill>
                  <a:schemeClr val="bg1">
                    <a:lumMod val="75000"/>
                  </a:schemeClr>
                </a:solidFill>
              </a:endParaRPr>
            </a:p>
          </xdr:txBody>
        </xdr:sp>
      </mc:Fallback>
    </mc:AlternateContent>
    <xdr:clientData/>
  </xdr:oneCellAnchor>
  <xdr:oneCellAnchor>
    <xdr:from>
      <xdr:col>1</xdr:col>
      <xdr:colOff>127000</xdr:colOff>
      <xdr:row>81</xdr:row>
      <xdr:rowOff>27215</xdr:rowOff>
    </xdr:from>
    <xdr:ext cx="9543143" cy="673326"/>
    <mc:AlternateContent xmlns:mc="http://schemas.openxmlformats.org/markup-compatibility/2006" xmlns:a14="http://schemas.microsoft.com/office/drawing/2010/main">
      <mc:Choice Requires="a14">
        <xdr:sp macro="" textlink="">
          <xdr:nvSpPr>
            <xdr:cNvPr id="726" name="TextBox 93">
              <a:extLst>
                <a:ext uri="{FF2B5EF4-FFF2-40B4-BE49-F238E27FC236}">
                  <a16:creationId xmlns:a16="http://schemas.microsoft.com/office/drawing/2014/main" id="{00000000-0008-0000-0500-000048020000}"/>
                </a:ext>
              </a:extLst>
            </xdr:cNvPr>
            <xdr:cNvSpPr txBox="1"/>
          </xdr:nvSpPr>
          <xdr:spPr>
            <a:xfrm>
              <a:off x="3537857" y="23522215"/>
              <a:ext cx="9543143" cy="67332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sSub>
                    <m:sSubPr>
                      <m:ctrlPr>
                        <a:rPr lang="en-US" sz="1400" b="0" i="1">
                          <a:solidFill>
                            <a:schemeClr val="tx1"/>
                          </a:solidFill>
                          <a:latin typeface="Cambria Math" panose="02040503050406030204" pitchFamily="18" charset="0"/>
                        </a:rPr>
                      </m:ctrlPr>
                    </m:sSubPr>
                    <m:e>
                      <m:r>
                        <a:rPr lang="en-US" sz="1400" b="0" i="1">
                          <a:solidFill>
                            <a:schemeClr val="tx1"/>
                          </a:solidFill>
                          <a:latin typeface="Cambria Math" panose="02040503050406030204" pitchFamily="18" charset="0"/>
                        </a:rPr>
                        <m:t>𝑈</m:t>
                      </m:r>
                    </m:e>
                    <m:sub>
                      <m:r>
                        <a:rPr lang="en-US" sz="1400" b="0" i="1">
                          <a:solidFill>
                            <a:schemeClr val="tx1"/>
                          </a:solidFill>
                          <a:latin typeface="Cambria Math" panose="02040503050406030204" pitchFamily="18" charset="0"/>
                        </a:rPr>
                        <m:t>𝑏</m:t>
                      </m:r>
                    </m:sub>
                  </m:sSub>
                  <m:r>
                    <a:rPr lang="en-US" sz="1400" b="0" i="1">
                      <a:solidFill>
                        <a:schemeClr val="tx1"/>
                      </a:solidFill>
                      <a:latin typeface="Cambria Math" panose="02040503050406030204" pitchFamily="18" charset="0"/>
                    </a:rPr>
                    <m:t>=</m:t>
                  </m:r>
                  <m:sSub>
                    <m:sSubPr>
                      <m:ctrlPr>
                        <a:rPr lang="en-US" sz="1400" b="0" i="1">
                          <a:solidFill>
                            <a:schemeClr val="tx1"/>
                          </a:solidFill>
                          <a:latin typeface="Cambria Math" panose="02040503050406030204" pitchFamily="18" charset="0"/>
                        </a:rPr>
                      </m:ctrlPr>
                    </m:sSubPr>
                    <m:e>
                      <m:r>
                        <a:rPr lang="en-US" sz="1400" b="0" i="1">
                          <a:solidFill>
                            <a:schemeClr val="tx1"/>
                          </a:solidFill>
                          <a:latin typeface="Cambria Math" panose="02040503050406030204" pitchFamily="18" charset="0"/>
                        </a:rPr>
                        <m:t>𝐶</m:t>
                      </m:r>
                    </m:e>
                    <m:sub>
                      <m:r>
                        <a:rPr lang="en-US" sz="1400" b="0" i="1">
                          <a:solidFill>
                            <a:schemeClr val="tx1"/>
                          </a:solidFill>
                          <a:latin typeface="Cambria Math" panose="02040503050406030204" pitchFamily="18" charset="0"/>
                        </a:rPr>
                        <m:t>𝑀𝐴𝐶</m:t>
                      </m:r>
                    </m:sub>
                  </m:sSub>
                  <m:r>
                    <a:rPr lang="en-US" sz="1400" b="0" i="1">
                      <a:solidFill>
                        <a:schemeClr val="tx1"/>
                      </a:solidFill>
                      <a:latin typeface="Cambria Math" panose="02040503050406030204" pitchFamily="18" charset="0"/>
                    </a:rPr>
                    <m:t>∗</m:t>
                  </m:r>
                  <m:sSup>
                    <m:sSupPr>
                      <m:ctrlPr>
                        <a:rPr lang="en-US" sz="1400" b="0" i="1">
                          <a:solidFill>
                            <a:schemeClr val="tx1"/>
                          </a:solidFill>
                          <a:latin typeface="Cambria Math" panose="02040503050406030204" pitchFamily="18" charset="0"/>
                        </a:rPr>
                      </m:ctrlPr>
                    </m:sSupPr>
                    <m:e>
                      <m:r>
                        <a:rPr lang="en-US" sz="1400" b="0" i="1">
                          <a:solidFill>
                            <a:schemeClr val="tx1"/>
                          </a:solidFill>
                          <a:latin typeface="Cambria Math" panose="02040503050406030204" pitchFamily="18" charset="0"/>
                        </a:rPr>
                        <m:t>𝑊</m:t>
                      </m:r>
                    </m:e>
                    <m:sup>
                      <m:r>
                        <a:rPr lang="en-US" sz="1400" b="0" i="1">
                          <a:solidFill>
                            <a:schemeClr val="tx1"/>
                          </a:solidFill>
                          <a:latin typeface="Cambria Math" panose="02040503050406030204" pitchFamily="18" charset="0"/>
                        </a:rPr>
                        <m:t>′</m:t>
                      </m:r>
                    </m:sup>
                  </m:sSup>
                  <m:d>
                    <m:dPr>
                      <m:ctrlPr>
                        <a:rPr lang="en-US" sz="1400" b="0" i="1">
                          <a:solidFill>
                            <a:schemeClr val="tx1"/>
                          </a:solidFill>
                          <a:latin typeface="Cambria Math" panose="02040503050406030204" pitchFamily="18" charset="0"/>
                        </a:rPr>
                      </m:ctrlPr>
                    </m:dPr>
                    <m:e>
                      <m:r>
                        <a:rPr lang="en-US" sz="1400" b="0" i="1">
                          <a:solidFill>
                            <a:schemeClr val="tx1"/>
                          </a:solidFill>
                          <a:latin typeface="Cambria Math" panose="02040503050406030204" pitchFamily="18" charset="0"/>
                        </a:rPr>
                        <m:t>𝐿</m:t>
                      </m:r>
                      <m:r>
                        <a:rPr lang="en-US" sz="1400" b="0" i="1">
                          <a:solidFill>
                            <a:schemeClr val="tx1"/>
                          </a:solidFill>
                          <a:latin typeface="Cambria Math" panose="02040503050406030204" pitchFamily="18" charset="0"/>
                        </a:rPr>
                        <m:t>,</m:t>
                      </m:r>
                      <m:r>
                        <a:rPr lang="en-US" sz="1400" b="0" i="1">
                          <a:solidFill>
                            <a:schemeClr val="tx1"/>
                          </a:solidFill>
                          <a:latin typeface="Cambria Math" panose="02040503050406030204" pitchFamily="18" charset="0"/>
                        </a:rPr>
                        <m:t>𝑝</m:t>
                      </m:r>
                    </m:e>
                  </m:d>
                  <m:r>
                    <a:rPr lang="en-US" sz="1400" b="0" i="1">
                      <a:solidFill>
                        <a:schemeClr val="tx1"/>
                      </a:solidFill>
                      <a:latin typeface="Cambria Math" panose="02040503050406030204" pitchFamily="18" charset="0"/>
                    </a:rPr>
                    <m:t>∗</m:t>
                  </m:r>
                  <m:r>
                    <a:rPr lang="en-US" sz="1400" b="0" i="1">
                      <a:solidFill>
                        <a:schemeClr val="tx1"/>
                      </a:solidFill>
                      <a:latin typeface="Cambria Math" panose="02040503050406030204" pitchFamily="18" charset="0"/>
                    </a:rPr>
                    <m:t>𝑐𝑒𝑖𝑙</m:t>
                  </m:r>
                  <m:r>
                    <a:rPr lang="en-US" sz="1400" b="0" i="1">
                      <a:solidFill>
                        <a:schemeClr val="tx1"/>
                      </a:solidFill>
                      <a:latin typeface="Cambria Math" panose="02040503050406030204" pitchFamily="18" charset="0"/>
                    </a:rPr>
                    <m:t>[</m:t>
                  </m:r>
                  <m:f>
                    <m:fPr>
                      <m:ctrlPr>
                        <a:rPr lang="en-US" sz="1100" b="0" i="1">
                          <a:solidFill>
                            <a:schemeClr val="tx1"/>
                          </a:solidFill>
                          <a:effectLst/>
                          <a:latin typeface="Cambria Math" panose="02040503050406030204" pitchFamily="18" charset="0"/>
                          <a:ea typeface="+mn-ea"/>
                          <a:cs typeface="+mn-cs"/>
                        </a:rPr>
                      </m:ctrlPr>
                    </m:fPr>
                    <m:num>
                      <m:sSub>
                        <m:sSubPr>
                          <m:ctrlPr>
                            <a:rPr lang="en-US" sz="1100" b="0" i="1">
                              <a:solidFill>
                                <a:schemeClr val="tx1"/>
                              </a:solidFill>
                              <a:effectLst/>
                              <a:latin typeface="Cambria Math" panose="02040503050406030204" pitchFamily="18" charset="0"/>
                              <a:ea typeface="+mn-ea"/>
                              <a:cs typeface="+mn-cs"/>
                            </a:rPr>
                          </m:ctrlPr>
                        </m:sSubPr>
                        <m:e>
                          <m:r>
                            <m:rPr>
                              <m:sty m:val="p"/>
                            </m:rPr>
                            <a:rPr lang="en-US" sz="1100" b="0" i="0">
                              <a:solidFill>
                                <a:schemeClr val="tx1"/>
                              </a:solidFill>
                              <a:effectLst/>
                              <a:latin typeface="Cambria Math" panose="02040503050406030204" pitchFamily="18" charset="0"/>
                              <a:ea typeface="+mn-ea"/>
                              <a:cs typeface="+mn-cs"/>
                            </a:rPr>
                            <m:t>max</m:t>
                          </m:r>
                          <m:r>
                            <a:rPr lang="en-US" sz="1100" b="0" i="1">
                              <a:solidFill>
                                <a:schemeClr val="tx1"/>
                              </a:solidFill>
                              <a:effectLst/>
                              <a:latin typeface="Cambria Math" panose="02040503050406030204" pitchFamily="18" charset="0"/>
                              <a:ea typeface="+mn-ea"/>
                              <a:cs typeface="+mn-cs"/>
                            </a:rPr>
                            <m:t>⁡(</m:t>
                          </m:r>
                          <m:sSup>
                            <m:sSupPr>
                              <m:ctrlPr>
                                <a:rPr lang="en-US" sz="1100" b="0" i="1">
                                  <a:solidFill>
                                    <a:schemeClr val="tx1"/>
                                  </a:solidFill>
                                  <a:effectLst/>
                                  <a:latin typeface="Cambria Math" panose="02040503050406030204" pitchFamily="18" charset="0"/>
                                  <a:ea typeface="+mn-ea"/>
                                  <a:cs typeface="+mn-cs"/>
                                </a:rPr>
                              </m:ctrlPr>
                            </m:sSupPr>
                            <m:e>
                              <m:sSup>
                                <m:sSupPr>
                                  <m:ctrlPr>
                                    <a:rPr lang="en-US" sz="1100" b="0" i="1">
                                      <a:solidFill>
                                        <a:schemeClr val="tx1"/>
                                      </a:solidFill>
                                      <a:effectLst/>
                                      <a:latin typeface="Cambria Math" panose="02040503050406030204" pitchFamily="18" charset="0"/>
                                      <a:ea typeface="+mn-ea"/>
                                      <a:cs typeface="+mn-cs"/>
                                    </a:rPr>
                                  </m:ctrlPr>
                                </m:sSupPr>
                                <m:e>
                                  <m:sSup>
                                    <m:sSupPr>
                                      <m:ctrlPr>
                                        <a:rPr lang="en-US" sz="1100" b="0" i="1">
                                          <a:solidFill>
                                            <a:schemeClr val="tx1"/>
                                          </a:solidFill>
                                          <a:effectLst/>
                                          <a:latin typeface="Cambria Math" panose="02040503050406030204" pitchFamily="18" charset="0"/>
                                          <a:ea typeface="+mn-ea"/>
                                          <a:cs typeface="+mn-cs"/>
                                        </a:rPr>
                                      </m:ctrlPr>
                                    </m:sSupPr>
                                    <m:e>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𝑊</m:t>
                                          </m:r>
                                        </m:e>
                                        <m:sup>
                                          <m:r>
                                            <a:rPr lang="en-US" sz="1100" b="0" i="1">
                                              <a:solidFill>
                                                <a:schemeClr val="tx1"/>
                                              </a:solidFill>
                                              <a:effectLst/>
                                              <a:latin typeface="Cambria Math" panose="02040503050406030204" pitchFamily="18" charset="0"/>
                                              <a:ea typeface="+mn-ea"/>
                                              <a:cs typeface="+mn-cs"/>
                                            </a:rPr>
                                            <m:t>′</m:t>
                                          </m:r>
                                        </m:sup>
                                      </m:sSup>
                                    </m:e>
                                    <m:sup>
                                      <m:r>
                                        <a:rPr lang="en-US" sz="1100" b="0" i="1">
                                          <a:solidFill>
                                            <a:schemeClr val="tx1"/>
                                          </a:solidFill>
                                          <a:effectLst/>
                                          <a:latin typeface="Cambria Math" panose="02040503050406030204" pitchFamily="18" charset="0"/>
                                          <a:ea typeface="+mn-ea"/>
                                          <a:cs typeface="+mn-cs"/>
                                        </a:rPr>
                                        <m:t>′</m:t>
                                      </m:r>
                                    </m:sup>
                                  </m:sSup>
                                </m:e>
                                <m:sup>
                                  <m:r>
                                    <a:rPr lang="en-US" sz="1100" b="0" i="1">
                                      <a:solidFill>
                                        <a:schemeClr val="tx1"/>
                                      </a:solidFill>
                                      <a:effectLst/>
                                      <a:latin typeface="Cambria Math" panose="02040503050406030204" pitchFamily="18" charset="0"/>
                                      <a:ea typeface="+mn-ea"/>
                                      <a:cs typeface="+mn-cs"/>
                                    </a:rPr>
                                    <m:t>′</m:t>
                                  </m:r>
                                </m:sup>
                              </m:sSup>
                            </m:e>
                            <m:sup/>
                          </m:sSup>
                        </m:e>
                        <m:sub>
                          <m:r>
                            <a:rPr lang="en-US" sz="1100" b="0" i="1">
                              <a:solidFill>
                                <a:schemeClr val="tx1"/>
                              </a:solidFill>
                              <a:effectLst/>
                              <a:latin typeface="Cambria Math" panose="02040503050406030204" pitchFamily="18" charset="0"/>
                              <a:ea typeface="+mn-ea"/>
                              <a:cs typeface="+mn-cs"/>
                            </a:rPr>
                            <m:t>𝑝𝑟𝑒𝑐𝑖𝑠𝑖𝑜𝑛</m:t>
                          </m:r>
                        </m:sub>
                      </m:sSub>
                      <m:r>
                        <a:rPr lang="en-US" sz="1100" b="0" i="1">
                          <a:solidFill>
                            <a:schemeClr val="tx1"/>
                          </a:solidFill>
                          <a:effectLst/>
                          <a:latin typeface="Cambria Math" panose="02040503050406030204" pitchFamily="18" charset="0"/>
                          <a:ea typeface="+mn-ea"/>
                          <a:cs typeface="+mn-cs"/>
                        </a:rPr>
                        <m:t> </m:t>
                      </m:r>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𝐿</m:t>
                          </m:r>
                        </m:e>
                      </m:d>
                      <m:r>
                        <a:rPr lang="en-US" sz="1100" b="0" i="1">
                          <a:solidFill>
                            <a:schemeClr val="tx1"/>
                          </a:solidFill>
                          <a:effectLst/>
                          <a:latin typeface="Cambria Math" panose="02040503050406030204" pitchFamily="18" charset="0"/>
                          <a:ea typeface="+mn-ea"/>
                          <a:cs typeface="+mn-cs"/>
                        </a:rPr>
                        <m:t>, </m:t>
                      </m:r>
                      <m:sSub>
                        <m:sSubPr>
                          <m:ctrlPr>
                            <a:rPr lang="en-US" sz="1100" b="0" i="1">
                              <a:solidFill>
                                <a:schemeClr val="tx1"/>
                              </a:solidFill>
                              <a:effectLst/>
                              <a:latin typeface="Cambria Math" panose="02040503050406030204" pitchFamily="18" charset="0"/>
                              <a:ea typeface="+mn-ea"/>
                              <a:cs typeface="+mn-cs"/>
                            </a:rPr>
                          </m:ctrlPr>
                        </m:sSubPr>
                        <m:e>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𝐴</m:t>
                              </m:r>
                            </m:e>
                            <m:sup>
                              <m:r>
                                <a:rPr lang="en-US" sz="1100" b="0" i="1">
                                  <a:solidFill>
                                    <a:schemeClr val="tx1"/>
                                  </a:solidFill>
                                  <a:effectLst/>
                                  <a:latin typeface="Cambria Math" panose="02040503050406030204" pitchFamily="18" charset="0"/>
                                  <a:ea typeface="+mn-ea"/>
                                  <a:cs typeface="+mn-cs"/>
                                </a:rPr>
                                <m:t>′</m:t>
                              </m:r>
                            </m:sup>
                          </m:sSup>
                        </m:e>
                        <m:sub>
                          <m:r>
                            <a:rPr lang="en-US" sz="1100" b="0" i="1">
                              <a:solidFill>
                                <a:schemeClr val="tx1"/>
                              </a:solidFill>
                              <a:effectLst/>
                              <a:latin typeface="Cambria Math" panose="02040503050406030204" pitchFamily="18" charset="0"/>
                              <a:ea typeface="+mn-ea"/>
                              <a:cs typeface="+mn-cs"/>
                            </a:rPr>
                            <m:t>𝑝𝑟𝑒𝑐𝑖𝑠𝑖𝑜𝑛</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𝐿</m:t>
                      </m:r>
                      <m:r>
                        <a:rPr lang="en-US" sz="1100" b="0" i="1">
                          <a:solidFill>
                            <a:schemeClr val="tx1"/>
                          </a:solidFill>
                          <a:effectLst/>
                          <a:latin typeface="Cambria Math" panose="02040503050406030204" pitchFamily="18" charset="0"/>
                          <a:ea typeface="+mn-ea"/>
                          <a:cs typeface="+mn-cs"/>
                        </a:rPr>
                        <m:t>))</m:t>
                      </m:r>
                    </m:num>
                    <m:den>
                      <m:r>
                        <a:rPr lang="en-US" sz="1100" b="0" i="1">
                          <a:solidFill>
                            <a:schemeClr val="tx1"/>
                          </a:solidFill>
                          <a:effectLst/>
                          <a:latin typeface="Cambria Math" panose="02040503050406030204" pitchFamily="18" charset="0"/>
                          <a:ea typeface="+mn-ea"/>
                          <a:cs typeface="+mn-cs"/>
                        </a:rPr>
                        <m:t>𝑀𝐴</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𝑏𝑖𝑡𝑤𝑖𝑑𝑡h</m:t>
                          </m:r>
                        </m:sub>
                      </m:sSub>
                      <m:r>
                        <a:rPr lang="en-US" sz="1100" b="0" i="1">
                          <a:solidFill>
                            <a:schemeClr val="tx1"/>
                          </a:solidFill>
                          <a:effectLst/>
                          <a:latin typeface="Cambria Math" panose="02040503050406030204" pitchFamily="18" charset="0"/>
                          <a:ea typeface="+mn-ea"/>
                          <a:cs typeface="+mn-cs"/>
                        </a:rPr>
                        <m:t> </m:t>
                      </m:r>
                    </m:den>
                  </m:f>
                  <m:r>
                    <a:rPr lang="en-US" sz="1100" b="0" i="1">
                      <a:solidFill>
                        <a:schemeClr val="tx1"/>
                      </a:solidFill>
                      <a:effectLst/>
                      <a:latin typeface="Cambria Math" panose="02040503050406030204" pitchFamily="18" charset="0"/>
                      <a:ea typeface="+mn-ea"/>
                      <a:cs typeface="+mn-cs"/>
                    </a:rPr>
                    <m:t>]</m:t>
                  </m:r>
                  <m:r>
                    <a:rPr lang="en-US" sz="1400" b="0" i="1">
                      <a:solidFill>
                        <a:schemeClr val="tx1"/>
                      </a:solidFill>
                      <a:latin typeface="Cambria Math" panose="02040503050406030204" pitchFamily="18" charset="0"/>
                    </a:rPr>
                    <m:t>+</m:t>
                  </m:r>
                  <m:sSub>
                    <m:sSubPr>
                      <m:ctrlPr>
                        <a:rPr lang="en-US" sz="1400" b="0" i="1">
                          <a:solidFill>
                            <a:schemeClr val="tx1"/>
                          </a:solidFill>
                          <a:latin typeface="Cambria Math" panose="02040503050406030204" pitchFamily="18" charset="0"/>
                        </a:rPr>
                      </m:ctrlPr>
                    </m:sSubPr>
                    <m:e>
                      <m:r>
                        <a:rPr lang="en-US" sz="1400" b="0" i="1">
                          <a:solidFill>
                            <a:schemeClr val="tx1"/>
                          </a:solidFill>
                          <a:latin typeface="Cambria Math" panose="02040503050406030204" pitchFamily="18" charset="0"/>
                        </a:rPr>
                        <m:t>𝑁</m:t>
                      </m:r>
                    </m:e>
                    <m:sub>
                      <m:r>
                        <a:rPr lang="en-US" sz="1400" b="0" i="1">
                          <a:solidFill>
                            <a:schemeClr val="tx1"/>
                          </a:solidFill>
                          <a:latin typeface="Cambria Math" panose="02040503050406030204" pitchFamily="18" charset="0"/>
                        </a:rPr>
                        <m:t>𝑛𝑒𝑢𝑟𝑜𝑛𝑠</m:t>
                      </m:r>
                    </m:sub>
                  </m:sSub>
                  <m:d>
                    <m:dPr>
                      <m:ctrlPr>
                        <a:rPr lang="en-US" sz="1400" b="0" i="1">
                          <a:solidFill>
                            <a:schemeClr val="tx1"/>
                          </a:solidFill>
                          <a:latin typeface="Cambria Math" panose="02040503050406030204" pitchFamily="18" charset="0"/>
                        </a:rPr>
                      </m:ctrlPr>
                    </m:dPr>
                    <m:e>
                      <m:r>
                        <a:rPr lang="en-US" sz="1400" b="0" i="1">
                          <a:solidFill>
                            <a:schemeClr val="tx1"/>
                          </a:solidFill>
                          <a:latin typeface="Cambria Math" panose="02040503050406030204" pitchFamily="18" charset="0"/>
                        </a:rPr>
                        <m:t>𝐿</m:t>
                      </m:r>
                      <m:r>
                        <a:rPr lang="en-US" sz="1400" b="0" i="1">
                          <a:solidFill>
                            <a:schemeClr val="tx1"/>
                          </a:solidFill>
                          <a:latin typeface="Cambria Math" panose="02040503050406030204" pitchFamily="18" charset="0"/>
                        </a:rPr>
                        <m:t>, </m:t>
                      </m:r>
                      <m:r>
                        <a:rPr lang="en-US" sz="1400" b="0" i="1">
                          <a:solidFill>
                            <a:schemeClr val="tx1"/>
                          </a:solidFill>
                          <a:latin typeface="Cambria Math" panose="02040503050406030204" pitchFamily="18" charset="0"/>
                        </a:rPr>
                        <m:t>𝑝</m:t>
                      </m:r>
                    </m:e>
                  </m:d>
                  <m:r>
                    <a:rPr lang="en-US" sz="1400" b="0" i="1">
                      <a:solidFill>
                        <a:schemeClr val="tx1"/>
                      </a:solidFill>
                      <a:latin typeface="Cambria Math" panose="02040503050406030204" pitchFamily="18" charset="0"/>
                    </a:rPr>
                    <m:t>∗</m:t>
                  </m:r>
                  <m:sSub>
                    <m:sSubPr>
                      <m:ctrlPr>
                        <a:rPr lang="en-US" sz="1400" b="0" i="1">
                          <a:solidFill>
                            <a:schemeClr val="tx1"/>
                          </a:solidFill>
                          <a:latin typeface="Cambria Math" panose="02040503050406030204" pitchFamily="18" charset="0"/>
                        </a:rPr>
                      </m:ctrlPr>
                    </m:sSubPr>
                    <m:e>
                      <m:r>
                        <a:rPr lang="en-US" sz="1400" b="0" i="1">
                          <a:solidFill>
                            <a:schemeClr val="tx1"/>
                          </a:solidFill>
                          <a:latin typeface="Cambria Math" panose="02040503050406030204" pitchFamily="18" charset="0"/>
                        </a:rPr>
                        <m:t>𝐶</m:t>
                      </m:r>
                    </m:e>
                    <m:sub>
                      <m:r>
                        <a:rPr lang="en-US" sz="1400" b="0" i="1">
                          <a:solidFill>
                            <a:schemeClr val="tx1"/>
                          </a:solidFill>
                          <a:latin typeface="Cambria Math" panose="02040503050406030204" pitchFamily="18" charset="0"/>
                        </a:rPr>
                        <m:t>𝑒𝑟𝑟</m:t>
                      </m:r>
                    </m:sub>
                  </m:sSub>
                  <m:r>
                    <a:rPr lang="en-US" sz="1400" b="0" i="1">
                      <a:solidFill>
                        <a:schemeClr val="tx1"/>
                      </a:solidFill>
                      <a:latin typeface="Cambria Math" panose="02040503050406030204" pitchFamily="18" charset="0"/>
                    </a:rPr>
                    <m:t> ∗</m:t>
                  </m:r>
                  <m:r>
                    <a:rPr lang="en-US" sz="1400" b="0" i="1">
                      <a:solidFill>
                        <a:schemeClr val="tx1"/>
                      </a:solidFill>
                      <a:latin typeface="Cambria Math" panose="02040503050406030204" pitchFamily="18" charset="0"/>
                    </a:rPr>
                    <m:t>𝑐𝑒𝑖𝑙</m:t>
                  </m:r>
                  <m:r>
                    <a:rPr lang="en-US" sz="1400" b="0" i="1">
                      <a:solidFill>
                        <a:schemeClr val="tx1"/>
                      </a:solidFill>
                      <a:latin typeface="Cambria Math" panose="02040503050406030204" pitchFamily="18" charset="0"/>
                    </a:rPr>
                    <m:t>[</m:t>
                  </m:r>
                  <m:f>
                    <m:fPr>
                      <m:ctrlPr>
                        <a:rPr lang="en-US" sz="1400" b="0" i="1">
                          <a:solidFill>
                            <a:schemeClr val="tx1"/>
                          </a:solidFill>
                          <a:latin typeface="Cambria Math" panose="02040503050406030204" pitchFamily="18" charset="0"/>
                        </a:rPr>
                      </m:ctrlPr>
                    </m:fPr>
                    <m:num>
                      <m:sSub>
                        <m:sSubPr>
                          <m:ctrlPr>
                            <a:rPr lang="en-US" sz="1400" b="0" i="1">
                              <a:solidFill>
                                <a:schemeClr val="tx1"/>
                              </a:solidFill>
                              <a:latin typeface="Cambria Math" panose="02040503050406030204" pitchFamily="18" charset="0"/>
                            </a:rPr>
                          </m:ctrlPr>
                        </m:sSubPr>
                        <m:e>
                          <m:r>
                            <a:rPr lang="en-US" sz="1400" b="0" i="1">
                              <a:solidFill>
                                <a:schemeClr val="tx1"/>
                              </a:solidFill>
                              <a:latin typeface="Cambria Math" panose="02040503050406030204" pitchFamily="18" charset="0"/>
                            </a:rPr>
                            <m:t>𝑁</m:t>
                          </m:r>
                        </m:e>
                        <m:sub>
                          <m:r>
                            <a:rPr lang="en-US" sz="1400" b="0" i="1">
                              <a:solidFill>
                                <a:schemeClr val="tx1"/>
                              </a:solidFill>
                              <a:latin typeface="Cambria Math" panose="02040503050406030204" pitchFamily="18" charset="0"/>
                            </a:rPr>
                            <m:t>𝑝𝑟𝑒𝑐𝑖𝑠𝑖𝑜𝑛</m:t>
                          </m:r>
                        </m:sub>
                      </m:sSub>
                      <m:d>
                        <m:dPr>
                          <m:ctrlPr>
                            <a:rPr lang="en-US" sz="1400" b="0" i="1">
                              <a:solidFill>
                                <a:schemeClr val="tx1"/>
                              </a:solidFill>
                              <a:latin typeface="Cambria Math" panose="02040503050406030204" pitchFamily="18" charset="0"/>
                            </a:rPr>
                          </m:ctrlPr>
                        </m:dPr>
                        <m:e>
                          <m:r>
                            <a:rPr lang="en-US" sz="1400" b="0" i="1">
                              <a:solidFill>
                                <a:schemeClr val="tx1"/>
                              </a:solidFill>
                              <a:latin typeface="Cambria Math" panose="02040503050406030204" pitchFamily="18" charset="0"/>
                            </a:rPr>
                            <m:t>𝐿</m:t>
                          </m:r>
                        </m:e>
                      </m:d>
                    </m:num>
                    <m:den>
                      <m:r>
                        <a:rPr lang="en-US" sz="1400" b="0" i="1">
                          <a:solidFill>
                            <a:schemeClr val="tx1"/>
                          </a:solidFill>
                          <a:latin typeface="Cambria Math" panose="02040503050406030204" pitchFamily="18" charset="0"/>
                        </a:rPr>
                        <m:t>𝐸𝑟𝑟𝑜</m:t>
                      </m:r>
                      <m:sSub>
                        <m:sSubPr>
                          <m:ctrlPr>
                            <a:rPr lang="en-US" sz="1400" b="0" i="1">
                              <a:solidFill>
                                <a:schemeClr val="tx1"/>
                              </a:solidFill>
                              <a:latin typeface="Cambria Math" panose="02040503050406030204" pitchFamily="18" charset="0"/>
                            </a:rPr>
                          </m:ctrlPr>
                        </m:sSubPr>
                        <m:e>
                          <m:r>
                            <a:rPr lang="en-US" sz="1400" b="0" i="1">
                              <a:solidFill>
                                <a:schemeClr val="tx1"/>
                              </a:solidFill>
                              <a:latin typeface="Cambria Math" panose="02040503050406030204" pitchFamily="18" charset="0"/>
                            </a:rPr>
                            <m:t>𝑟</m:t>
                          </m:r>
                        </m:e>
                        <m:sub>
                          <m:r>
                            <a:rPr lang="en-US" sz="1400" b="0" i="1">
                              <a:solidFill>
                                <a:schemeClr val="tx1"/>
                              </a:solidFill>
                              <a:latin typeface="Cambria Math" panose="02040503050406030204" pitchFamily="18" charset="0"/>
                            </a:rPr>
                            <m:t>𝑏𝑖𝑡𝑤𝑖𝑑𝑡h</m:t>
                          </m:r>
                        </m:sub>
                      </m:sSub>
                    </m:den>
                  </m:f>
                </m:oMath>
              </a14:m>
              <a:r>
                <a:rPr lang="en-GB" sz="1400">
                  <a:solidFill>
                    <a:schemeClr val="tx1"/>
                  </a:solidFill>
                </a:rPr>
                <a:t>]</a:t>
              </a:r>
            </a:p>
            <a:p>
              <a:endParaRPr lang="en-GB" sz="1400">
                <a:solidFill>
                  <a:schemeClr val="tx1"/>
                </a:solidFill>
              </a:endParaRPr>
            </a:p>
          </xdr:txBody>
        </xdr:sp>
      </mc:Choice>
      <mc:Fallback xmlns="">
        <xdr:sp macro="" textlink="">
          <xdr:nvSpPr>
            <xdr:cNvPr id="1309" name="TextBox 93">
              <a:extLst>
                <a:ext uri="{FF2B5EF4-FFF2-40B4-BE49-F238E27FC236}">
                  <a16:creationId xmlns:a16="http://schemas.microsoft.com/office/drawing/2014/main" id="{00000000-0008-0000-0500-000048020000}"/>
                </a:ext>
              </a:extLst>
            </xdr:cNvPr>
            <xdr:cNvSpPr txBox="1"/>
          </xdr:nvSpPr>
          <xdr:spPr>
            <a:xfrm>
              <a:off x="3537857" y="23522215"/>
              <a:ext cx="9543143" cy="673326"/>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400" b="0" i="0">
                  <a:solidFill>
                    <a:schemeClr val="tx1"/>
                  </a:solidFill>
                  <a:latin typeface="Cambria Math" panose="02040503050406030204" pitchFamily="18" charset="0"/>
                </a:rPr>
                <a:t>𝑈_𝑏=𝐶_𝑀𝐴𝐶∗𝑊^′ (𝐿,𝑝)∗𝑐𝑒𝑖𝑙[</a:t>
              </a:r>
              <a:r>
                <a:rPr lang="en-US" sz="1100" b="0" i="0">
                  <a:solidFill>
                    <a:schemeClr val="tx1"/>
                  </a:solidFill>
                  <a:effectLst/>
                  <a:latin typeface="Cambria Math" panose="02040503050406030204" pitchFamily="18" charset="0"/>
                  <a:ea typeface="+mn-ea"/>
                  <a:cs typeface="+mn-cs"/>
                </a:rPr>
                <a:t>(〖max⁡(〖〖〖𝑊^′〗^′〗^′〗^ 〗_𝑝𝑟𝑒𝑐𝑖𝑠𝑖𝑜𝑛  (𝐿), 〖〖  𝐴〗^′〗_𝑝𝑟𝑒𝑐𝑖𝑠𝑖𝑜𝑛 (𝐿)))/(𝑀𝐴𝐶_𝑏𝑖𝑡𝑤𝑖𝑑𝑡ℎ  )]</a:t>
              </a:r>
              <a:r>
                <a:rPr lang="en-US" sz="1400" b="0" i="0">
                  <a:solidFill>
                    <a:schemeClr val="tx1"/>
                  </a:solidFill>
                  <a:latin typeface="Cambria Math" panose="02040503050406030204" pitchFamily="18" charset="0"/>
                </a:rPr>
                <a:t>+𝑁_𝑛𝑒𝑢𝑟𝑜𝑛𝑠 (𝐿, 𝑝)∗𝐶_𝑒𝑟𝑟  ∗𝑐𝑒𝑖𝑙[(𝑁_𝑝𝑟𝑒𝑐𝑖𝑠𝑖𝑜𝑛 (𝐿))/(𝐸𝑟𝑟𝑜𝑟_𝑏𝑖𝑡𝑤𝑖𝑑𝑡ℎ )</a:t>
              </a:r>
              <a:r>
                <a:rPr lang="en-GB" sz="1400">
                  <a:solidFill>
                    <a:schemeClr val="tx1"/>
                  </a:solidFill>
                </a:rPr>
                <a:t>]</a:t>
              </a:r>
            </a:p>
            <a:p>
              <a:endParaRPr lang="en-GB" sz="1400">
                <a:solidFill>
                  <a:schemeClr val="tx1"/>
                </a:solidFill>
              </a:endParaRPr>
            </a:p>
          </xdr:txBody>
        </xdr:sp>
      </mc:Fallback>
    </mc:AlternateContent>
    <xdr:clientData/>
  </xdr:oneCellAnchor>
  <xdr:oneCellAnchor>
    <xdr:from>
      <xdr:col>1</xdr:col>
      <xdr:colOff>373184</xdr:colOff>
      <xdr:row>103</xdr:row>
      <xdr:rowOff>36286</xdr:rowOff>
    </xdr:from>
    <xdr:ext cx="6085673" cy="440185"/>
    <mc:AlternateContent xmlns:mc="http://schemas.openxmlformats.org/markup-compatibility/2006" xmlns:a14="http://schemas.microsoft.com/office/drawing/2010/main">
      <mc:Choice Requires="a14">
        <xdr:sp macro="" textlink="">
          <xdr:nvSpPr>
            <xdr:cNvPr id="732" name="TextBox 1">
              <a:extLst>
                <a:ext uri="{FF2B5EF4-FFF2-40B4-BE49-F238E27FC236}">
                  <a16:creationId xmlns:a16="http://schemas.microsoft.com/office/drawing/2014/main" id="{00000000-0008-0000-0500-0000C4020000}"/>
                </a:ext>
              </a:extLst>
            </xdr:cNvPr>
            <xdr:cNvSpPr txBox="1"/>
          </xdr:nvSpPr>
          <xdr:spPr>
            <a:xfrm>
              <a:off x="3784041" y="29228143"/>
              <a:ext cx="6085673" cy="440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𝑈</m:t>
                    </m:r>
                    <m:r>
                      <a:rPr lang="en-US" sz="1100" b="0" i="1">
                        <a:latin typeface="Cambria Math" panose="02040503050406030204" pitchFamily="18" charset="0"/>
                      </a:rPr>
                      <m:t>_</m:t>
                    </m:r>
                    <m:r>
                      <a:rPr lang="en-US" sz="1100" b="0" i="1">
                        <a:latin typeface="Cambria Math" panose="02040503050406030204" pitchFamily="18" charset="0"/>
                      </a:rPr>
                      <m:t>𝑤</m:t>
                    </m:r>
                    <m:r>
                      <a:rPr lang="en-US" sz="1100" b="0" i="1">
                        <a:latin typeface="Cambria Math" panose="02040503050406030204" pitchFamily="18" charset="0"/>
                      </a:rPr>
                      <m:t>=</m:t>
                    </m:r>
                    <m:r>
                      <a:rPr lang="en-US" sz="1100" b="0" i="1">
                        <a:latin typeface="Cambria Math" panose="02040503050406030204" pitchFamily="18" charset="0"/>
                      </a:rPr>
                      <m:t>𝐶</m:t>
                    </m:r>
                    <m:r>
                      <a:rPr lang="en-US" sz="1100" b="0" i="1">
                        <a:latin typeface="Cambria Math" panose="02040503050406030204" pitchFamily="18" charset="0"/>
                      </a:rPr>
                      <m:t>_</m:t>
                    </m:r>
                    <m:r>
                      <a:rPr lang="en-US" sz="1100" b="0" i="1">
                        <a:latin typeface="Cambria Math" panose="02040503050406030204" pitchFamily="18" charset="0"/>
                      </a:rPr>
                      <m:t>𝑀𝐴𝐶</m:t>
                    </m:r>
                    <m:r>
                      <a:rPr lang="en-US" sz="1100" b="0" i="1">
                        <a:latin typeface="Cambria Math" panose="02040503050406030204" pitchFamily="18" charset="0"/>
                      </a:rPr>
                      <m:t>∗</m:t>
                    </m:r>
                    <m:r>
                      <a:rPr lang="en-US" sz="1100" b="0" i="1">
                        <a:latin typeface="Cambria Math" panose="02040503050406030204" pitchFamily="18" charset="0"/>
                      </a:rPr>
                      <m:t>𝑊</m:t>
                    </m:r>
                    <m:r>
                      <a:rPr lang="en-US" sz="1100" b="0" i="1">
                        <a:latin typeface="Cambria Math" panose="02040503050406030204" pitchFamily="18" charset="0"/>
                      </a:rPr>
                      <m:t>(</m:t>
                    </m:r>
                    <m:r>
                      <a:rPr lang="en-US" sz="1100" b="0" i="1">
                        <a:latin typeface="Cambria Math" panose="02040503050406030204" pitchFamily="18" charset="0"/>
                      </a:rPr>
                      <m:t>𝐿</m:t>
                    </m:r>
                    <m:r>
                      <a:rPr lang="en-US" sz="1100" b="0" i="1">
                        <a:latin typeface="Cambria Math" panose="02040503050406030204" pitchFamily="18" charset="0"/>
                      </a:rPr>
                      <m:t>,</m:t>
                    </m:r>
                    <m:r>
                      <a:rPr lang="en-US" sz="1100" b="0" i="1">
                        <a:latin typeface="Cambria Math" panose="02040503050406030204" pitchFamily="18" charset="0"/>
                      </a:rPr>
                      <m:t>𝑝</m:t>
                    </m:r>
                    <m:r>
                      <a:rPr lang="en-US" sz="1100" b="0" i="1">
                        <a:latin typeface="Cambria Math" panose="02040503050406030204" pitchFamily="18" charset="0"/>
                      </a:rPr>
                      <m:t>)∗</m:t>
                    </m:r>
                    <m:f>
                      <m:fPr>
                        <m:ctrlPr>
                          <a:rPr lang="en-US" sz="1100" b="0" i="1">
                            <a:latin typeface="Cambria Math" panose="02040503050406030204" pitchFamily="18" charset="0"/>
                          </a:rPr>
                        </m:ctrlPr>
                      </m:fPr>
                      <m:num>
                        <m:func>
                          <m:funcPr>
                            <m:ctrlPr>
                              <a:rPr lang="en-US" sz="1100" b="0" i="1">
                                <a:latin typeface="Cambria Math" panose="02040503050406030204" pitchFamily="18" charset="0"/>
                              </a:rPr>
                            </m:ctrlPr>
                          </m:funcPr>
                          <m:fName>
                            <m:r>
                              <m:rPr>
                                <m:sty m:val="p"/>
                              </m:rPr>
                              <a:rPr lang="en-US" sz="1100" b="0" i="0">
                                <a:latin typeface="Cambria Math" panose="02040503050406030204" pitchFamily="18" charset="0"/>
                              </a:rPr>
                              <m:t>max</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𝐴</m:t>
                                    </m:r>
                                    <m:r>
                                      <a:rPr lang="en-US" sz="1100" b="0" i="1">
                                        <a:latin typeface="Cambria Math" panose="02040503050406030204" pitchFamily="18" charset="0"/>
                                      </a:rPr>
                                      <m:t>′</m:t>
                                    </m:r>
                                  </m:e>
                                  <m:sub>
                                    <m:r>
                                      <a:rPr lang="en-US" sz="1100" b="0" i="1">
                                        <a:latin typeface="Cambria Math" panose="02040503050406030204" pitchFamily="18" charset="0"/>
                                      </a:rPr>
                                      <m:t>𝑝𝑟𝑒𝑐𝑖𝑠𝑖𝑜𝑛</m:t>
                                    </m:r>
                                  </m:sub>
                                </m:sSub>
                                <m:d>
                                  <m:dPr>
                                    <m:ctrlPr>
                                      <a:rPr lang="en-US" sz="1100" b="0" i="1">
                                        <a:latin typeface="Cambria Math" panose="02040503050406030204" pitchFamily="18" charset="0"/>
                                      </a:rPr>
                                    </m:ctrlPr>
                                  </m:dPr>
                                  <m:e>
                                    <m:r>
                                      <a:rPr lang="en-US" sz="1100" b="0" i="1">
                                        <a:latin typeface="Cambria Math" panose="02040503050406030204" pitchFamily="18" charset="0"/>
                                      </a:rPr>
                                      <m:t>𝐿</m:t>
                                    </m:r>
                                  </m:e>
                                </m:d>
                                <m:r>
                                  <a:rPr lang="en-US" sz="1100" b="0" i="1">
                                    <a:latin typeface="Cambria Math" panose="02040503050406030204" pitchFamily="18" charset="0"/>
                                  </a:rPr>
                                  <m:t>, </m:t>
                                </m:r>
                                <m:sSub>
                                  <m:sSubPr>
                                    <m:ctrlPr>
                                      <a:rPr lang="en-US" sz="1100" b="0" i="1">
                                        <a:latin typeface="Cambria Math" panose="02040503050406030204" pitchFamily="18" charset="0"/>
                                      </a:rPr>
                                    </m:ctrlPr>
                                  </m:sSubPr>
                                  <m:e>
                                    <m:r>
                                      <a:rPr lang="en-US" sz="1100" b="0" i="1">
                                        <a:latin typeface="Cambria Math" panose="02040503050406030204" pitchFamily="18" charset="0"/>
                                      </a:rPr>
                                      <m:t>𝐴</m:t>
                                    </m:r>
                                  </m:e>
                                  <m:sub>
                                    <m:r>
                                      <a:rPr lang="en-US" sz="1100" b="0" i="1">
                                        <a:latin typeface="Cambria Math" panose="02040503050406030204" pitchFamily="18" charset="0"/>
                                      </a:rPr>
                                      <m:t>𝑝𝑟𝑒𝑐𝑖𝑠𝑖𝑜𝑛</m:t>
                                    </m:r>
                                  </m:sub>
                                </m:sSub>
                                <m:d>
                                  <m:dPr>
                                    <m:ctrlPr>
                                      <a:rPr lang="en-US" sz="1100" b="0" i="1">
                                        <a:latin typeface="Cambria Math" panose="02040503050406030204" pitchFamily="18" charset="0"/>
                                      </a:rPr>
                                    </m:ctrlPr>
                                  </m:dPr>
                                  <m:e>
                                    <m:r>
                                      <a:rPr lang="en-US" sz="1100" b="0" i="1">
                                        <a:latin typeface="Cambria Math" panose="02040503050406030204" pitchFamily="18" charset="0"/>
                                      </a:rPr>
                                      <m:t>𝐿</m:t>
                                    </m:r>
                                  </m:e>
                                </m:d>
                              </m:e>
                            </m:d>
                          </m:e>
                        </m:func>
                      </m:num>
                      <m:den>
                        <m:r>
                          <a:rPr lang="en-US" sz="1100" b="0" i="1">
                            <a:latin typeface="Cambria Math" panose="02040503050406030204" pitchFamily="18" charset="0"/>
                          </a:rPr>
                          <m:t>𝑀𝐴</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𝑏𝑖𝑡𝑤𝑖𝑑𝑡h</m:t>
                            </m:r>
                          </m:sub>
                        </m:sSub>
                      </m:den>
                    </m:f>
                  </m:oMath>
                </m:oMathPara>
              </a14:m>
              <a:endParaRPr lang="nl-BE" sz="1100"/>
            </a:p>
          </xdr:txBody>
        </xdr:sp>
      </mc:Choice>
      <mc:Fallback xmlns="">
        <xdr:sp macro="" textlink="">
          <xdr:nvSpPr>
            <xdr:cNvPr id="1323" name="TextBox 1">
              <a:extLst>
                <a:ext uri="{FF2B5EF4-FFF2-40B4-BE49-F238E27FC236}">
                  <a16:creationId xmlns:a16="http://schemas.microsoft.com/office/drawing/2014/main" id="{00000000-0008-0000-0500-0000C4020000}"/>
                </a:ext>
              </a:extLst>
            </xdr:cNvPr>
            <xdr:cNvSpPr txBox="1"/>
          </xdr:nvSpPr>
          <xdr:spPr>
            <a:xfrm>
              <a:off x="3784041" y="29228143"/>
              <a:ext cx="6085673" cy="440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𝑈_𝑤=𝐶_𝑀𝐴𝐶∗𝑊(𝐿,𝑝)∗max⁡(〖𝐴′〗_𝑝𝑟𝑒𝑐𝑖𝑠𝑖𝑜𝑛 (𝐿), 𝐴_𝑝𝑟𝑒𝑐𝑖𝑠𝑖𝑜𝑛 (𝐿))/(𝑀𝐴𝐶_𝑏𝑖𝑡𝑤𝑖𝑑𝑡ℎ )</a:t>
              </a:r>
              <a:endParaRPr lang="nl-BE" sz="1100"/>
            </a:p>
          </xdr:txBody>
        </xdr:sp>
      </mc:Fallback>
    </mc:AlternateContent>
    <xdr:clientData/>
  </xdr:oneCellAnchor>
  <xdr:oneCellAnchor>
    <xdr:from>
      <xdr:col>1</xdr:col>
      <xdr:colOff>18143</xdr:colOff>
      <xdr:row>68</xdr:row>
      <xdr:rowOff>27213</xdr:rowOff>
    </xdr:from>
    <xdr:ext cx="6894286" cy="335220"/>
    <mc:AlternateContent xmlns:mc="http://schemas.openxmlformats.org/markup-compatibility/2006" xmlns:a14="http://schemas.microsoft.com/office/drawing/2010/main">
      <mc:Choice Requires="a14">
        <xdr:sp macro="" textlink="">
          <xdr:nvSpPr>
            <xdr:cNvPr id="1088" name="TextBox 90">
              <a:extLst>
                <a:ext uri="{FF2B5EF4-FFF2-40B4-BE49-F238E27FC236}">
                  <a16:creationId xmlns:a16="http://schemas.microsoft.com/office/drawing/2014/main" id="{00000000-0008-0000-0500-0000EE030000}"/>
                </a:ext>
              </a:extLst>
            </xdr:cNvPr>
            <xdr:cNvSpPr txBox="1"/>
          </xdr:nvSpPr>
          <xdr:spPr>
            <a:xfrm>
              <a:off x="3429000" y="12500427"/>
              <a:ext cx="6894286" cy="33522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n-US" sz="1400" b="0" i="1">
                      <a:solidFill>
                        <a:schemeClr val="tx1"/>
                      </a:solidFill>
                      <a:latin typeface="Cambria Math" panose="02040503050406030204" pitchFamily="18" charset="0"/>
                    </a:rPr>
                    <m:t>𝑀</m:t>
                  </m:r>
                  <m:r>
                    <a:rPr lang="en-US" sz="1400" b="0" i="1" baseline="-25000">
                      <a:solidFill>
                        <a:schemeClr val="tx1"/>
                      </a:solidFill>
                      <a:latin typeface="Cambria Math" panose="02040503050406030204" pitchFamily="18" charset="0"/>
                    </a:rPr>
                    <m:t>𝑓</m:t>
                  </m:r>
                  <m:r>
                    <a:rPr lang="en-US" sz="1400" b="0" i="1" baseline="0">
                      <a:solidFill>
                        <a:schemeClr val="tx1"/>
                      </a:solidFill>
                      <a:latin typeface="Cambria Math" panose="02040503050406030204" pitchFamily="18" charset="0"/>
                    </a:rPr>
                    <m:t>= </m:t>
                  </m:r>
                  <m:r>
                    <a:rPr lang="en-GB" sz="1400" i="1">
                      <a:solidFill>
                        <a:schemeClr val="tx1"/>
                      </a:solidFill>
                      <a:latin typeface="Cambria Math" panose="02040503050406030204" pitchFamily="18" charset="0"/>
                    </a:rPr>
                    <m:t> </m:t>
                  </m:r>
                  <m:r>
                    <m:rPr>
                      <m:sty m:val="p"/>
                    </m:rPr>
                    <a:rPr lang="en-US" sz="1400" b="0" i="0">
                      <a:solidFill>
                        <a:schemeClr val="tx1"/>
                      </a:solidFill>
                      <a:latin typeface="Cambria Math" panose="02040503050406030204" pitchFamily="18" charset="0"/>
                    </a:rPr>
                    <m:t>max</m:t>
                  </m:r>
                  <m:r>
                    <a:rPr lang="en-US" sz="1400" b="0" i="1">
                      <a:solidFill>
                        <a:schemeClr val="tx1"/>
                      </a:solidFill>
                      <a:latin typeface="Cambria Math" panose="02040503050406030204" pitchFamily="18" charset="0"/>
                    </a:rPr>
                    <m:t>⁡[</m:t>
                  </m:r>
                  <m:sSub>
                    <m:sSubPr>
                      <m:ctrlPr>
                        <a:rPr lang="en-US" sz="1400" b="0" i="1">
                          <a:solidFill>
                            <a:schemeClr val="tx1"/>
                          </a:solidFill>
                          <a:latin typeface="Cambria Math" panose="02040503050406030204" pitchFamily="18" charset="0"/>
                        </a:rPr>
                      </m:ctrlPr>
                    </m:sSubPr>
                    <m:e>
                      <m:r>
                        <a:rPr lang="en-US" sz="1400" b="0" i="1">
                          <a:solidFill>
                            <a:schemeClr val="tx1"/>
                          </a:solidFill>
                          <a:latin typeface="Cambria Math" panose="02040503050406030204" pitchFamily="18" charset="0"/>
                        </a:rPr>
                        <m:t>𝐶</m:t>
                      </m:r>
                    </m:e>
                    <m:sub>
                      <m:r>
                        <a:rPr lang="en-US" sz="1400" b="0" i="1">
                          <a:solidFill>
                            <a:schemeClr val="tx1"/>
                          </a:solidFill>
                          <a:latin typeface="Cambria Math" panose="02040503050406030204" pitchFamily="18" charset="0"/>
                        </a:rPr>
                        <m:t>𝑖𝑛𝑡𝑟𝑎</m:t>
                      </m:r>
                    </m:sub>
                  </m:sSub>
                  <m:r>
                    <a:rPr lang="en-GB" sz="1400" i="1" baseline="0">
                      <a:solidFill>
                        <a:schemeClr val="tx1"/>
                      </a:solidFill>
                      <a:latin typeface="Cambria Math" panose="02040503050406030204" pitchFamily="18" charset="0"/>
                    </a:rPr>
                    <m:t>  + </m:t>
                  </m:r>
                  <m:sSub>
                    <m:sSubPr>
                      <m:ctrlPr>
                        <a:rPr lang="en-GB" sz="1400" i="1" baseline="0">
                          <a:solidFill>
                            <a:schemeClr val="tx1"/>
                          </a:solidFill>
                          <a:latin typeface="Cambria Math" panose="02040503050406030204" pitchFamily="18" charset="0"/>
                        </a:rPr>
                      </m:ctrlPr>
                    </m:sSubPr>
                    <m:e>
                      <m:r>
                        <a:rPr lang="en-GB" sz="1400" i="1" baseline="0">
                          <a:solidFill>
                            <a:schemeClr val="tx1"/>
                          </a:solidFill>
                          <a:latin typeface="Cambria Math" panose="02040503050406030204" pitchFamily="18" charset="0"/>
                        </a:rPr>
                        <m:t>𝑁</m:t>
                      </m:r>
                    </m:e>
                    <m:sub>
                      <m:r>
                        <a:rPr lang="en-GB" sz="1400" i="1" baseline="0">
                          <a:solidFill>
                            <a:schemeClr val="tx1"/>
                          </a:solidFill>
                          <a:latin typeface="Cambria Math" panose="02040503050406030204" pitchFamily="18" charset="0"/>
                        </a:rPr>
                        <m:t>𝑎𝑐</m:t>
                      </m:r>
                      <m:sSub>
                        <m:sSubPr>
                          <m:ctrlPr>
                            <a:rPr lang="en-US" sz="1400" b="0" i="1" baseline="0">
                              <a:solidFill>
                                <a:schemeClr val="tx1"/>
                              </a:solidFill>
                              <a:latin typeface="Cambria Math" panose="02040503050406030204" pitchFamily="18" charset="0"/>
                            </a:rPr>
                          </m:ctrlPr>
                        </m:sSubPr>
                        <m:e>
                          <m:r>
                            <a:rPr lang="en-US" sz="1400" b="0" i="1" baseline="0">
                              <a:solidFill>
                                <a:schemeClr val="tx1"/>
                              </a:solidFill>
                              <a:latin typeface="Cambria Math" panose="02040503050406030204" pitchFamily="18" charset="0"/>
                            </a:rPr>
                            <m:t>𝑡</m:t>
                          </m:r>
                        </m:e>
                        <m:sub>
                          <m:r>
                            <a:rPr lang="en-US" sz="1400" b="0" i="1" baseline="0">
                              <a:solidFill>
                                <a:schemeClr val="tx1"/>
                              </a:solidFill>
                              <a:latin typeface="Cambria Math" panose="02040503050406030204" pitchFamily="18" charset="0"/>
                            </a:rPr>
                            <m:t>𝑖𝑛𝑡𝑟𝑎</m:t>
                          </m:r>
                        </m:sub>
                      </m:sSub>
                    </m:sub>
                  </m:sSub>
                  <m:r>
                    <a:rPr lang="en-US" sz="1400" b="0" i="1" baseline="0">
                      <a:solidFill>
                        <a:schemeClr val="tx1"/>
                      </a:solidFill>
                      <a:latin typeface="Cambria Math" panose="02040503050406030204" pitchFamily="18" charset="0"/>
                    </a:rPr>
                    <m:t>(</m:t>
                  </m:r>
                  <m:r>
                    <a:rPr lang="en-US" sz="1400" b="0" i="1" baseline="0">
                      <a:solidFill>
                        <a:schemeClr val="tx1"/>
                      </a:solidFill>
                      <a:latin typeface="Cambria Math" panose="02040503050406030204" pitchFamily="18" charset="0"/>
                    </a:rPr>
                    <m:t>𝐿</m:t>
                  </m:r>
                  <m:r>
                    <a:rPr lang="en-US" sz="1400" b="0" i="1" baseline="0">
                      <a:solidFill>
                        <a:schemeClr val="tx1"/>
                      </a:solidFill>
                      <a:latin typeface="Cambria Math" panose="02040503050406030204" pitchFamily="18" charset="0"/>
                    </a:rPr>
                    <m:t>, </m:t>
                  </m:r>
                  <m:r>
                    <a:rPr lang="en-US" sz="1400" b="0" i="1" baseline="0">
                      <a:solidFill>
                        <a:schemeClr val="tx1"/>
                      </a:solidFill>
                      <a:latin typeface="Cambria Math" panose="02040503050406030204" pitchFamily="18" charset="0"/>
                    </a:rPr>
                    <m:t>𝑝</m:t>
                  </m:r>
                  <m:r>
                    <a:rPr lang="en-US" sz="1400" b="0" i="1" baseline="0">
                      <a:solidFill>
                        <a:schemeClr val="tx1"/>
                      </a:solidFill>
                      <a:latin typeface="Cambria Math" panose="02040503050406030204" pitchFamily="18" charset="0"/>
                    </a:rPr>
                    <m:t>) ∗ </m:t>
                  </m:r>
                  <m:f>
                    <m:fPr>
                      <m:ctrlPr>
                        <a:rPr lang="en-GB" sz="1400" i="1" baseline="0">
                          <a:solidFill>
                            <a:schemeClr val="tx1"/>
                          </a:solidFill>
                          <a:latin typeface="Cambria Math" panose="02040503050406030204" pitchFamily="18" charset="0"/>
                        </a:rPr>
                      </m:ctrlPr>
                    </m:fPr>
                    <m:num>
                      <m:sSub>
                        <m:sSubPr>
                          <m:ctrlPr>
                            <a:rPr lang="en-US" sz="1400" b="0" i="1" baseline="0">
                              <a:solidFill>
                                <a:schemeClr val="tx1"/>
                              </a:solidFill>
                              <a:latin typeface="Cambria Math" panose="02040503050406030204" pitchFamily="18" charset="0"/>
                            </a:rPr>
                          </m:ctrlPr>
                        </m:sSubPr>
                        <m:e>
                          <m:r>
                            <a:rPr lang="en-US" sz="1400" b="0" i="1" baseline="0">
                              <a:solidFill>
                                <a:schemeClr val="tx1"/>
                              </a:solidFill>
                              <a:latin typeface="Cambria Math" panose="02040503050406030204" pitchFamily="18" charset="0"/>
                            </a:rPr>
                            <m:t>𝑆</m:t>
                          </m:r>
                        </m:e>
                        <m:sub>
                          <m:r>
                            <a:rPr lang="en-US" sz="1400" b="0" i="1" baseline="0">
                              <a:solidFill>
                                <a:schemeClr val="tx1"/>
                              </a:solidFill>
                              <a:latin typeface="Cambria Math" panose="02040503050406030204" pitchFamily="18" charset="0"/>
                            </a:rPr>
                            <m:t>𝑎𝑐𝑡𝑖𝑣𝑎𝑡𝑖𝑜𝑛</m:t>
                          </m:r>
                        </m:sub>
                      </m:sSub>
                    </m:num>
                    <m:den>
                      <m:r>
                        <a:rPr lang="en-US" sz="1400" b="0" i="1" baseline="0">
                          <a:solidFill>
                            <a:schemeClr val="tx1"/>
                          </a:solidFill>
                          <a:latin typeface="Cambria Math" panose="02040503050406030204" pitchFamily="18" charset="0"/>
                        </a:rPr>
                        <m:t>𝐵</m:t>
                      </m:r>
                      <m:sSub>
                        <m:sSubPr>
                          <m:ctrlPr>
                            <a:rPr lang="en-US" sz="1400" b="0" i="1" baseline="0">
                              <a:solidFill>
                                <a:schemeClr val="tx1"/>
                              </a:solidFill>
                              <a:latin typeface="Cambria Math" panose="02040503050406030204" pitchFamily="18" charset="0"/>
                            </a:rPr>
                          </m:ctrlPr>
                        </m:sSubPr>
                        <m:e>
                          <m:r>
                            <a:rPr lang="en-US" sz="1400" b="0" i="1" baseline="0">
                              <a:solidFill>
                                <a:schemeClr val="tx1"/>
                              </a:solidFill>
                              <a:latin typeface="Cambria Math" panose="02040503050406030204" pitchFamily="18" charset="0"/>
                            </a:rPr>
                            <m:t>𝑊</m:t>
                          </m:r>
                        </m:e>
                        <m:sub>
                          <m:r>
                            <a:rPr lang="en-US" sz="1400" b="0" i="1" baseline="0">
                              <a:solidFill>
                                <a:schemeClr val="tx1"/>
                              </a:solidFill>
                              <a:latin typeface="Cambria Math" panose="02040503050406030204" pitchFamily="18" charset="0"/>
                            </a:rPr>
                            <m:t>𝑖𝑛𝑡𝑟𝑎</m:t>
                          </m:r>
                        </m:sub>
                      </m:sSub>
                    </m:den>
                  </m:f>
                  <m:r>
                    <a:rPr lang="en-GB" sz="1400" i="1" baseline="0">
                      <a:solidFill>
                        <a:schemeClr val="tx1"/>
                      </a:solidFill>
                      <a:latin typeface="Cambria Math" panose="02040503050406030204" pitchFamily="18" charset="0"/>
                    </a:rPr>
                    <m:t> </m:t>
                  </m:r>
                </m:oMath>
              </a14:m>
              <a:r>
                <a:rPr lang="en-GB" sz="1400" baseline="0">
                  <a:solidFill>
                    <a:schemeClr val="tx1"/>
                  </a:solidFill>
                </a:rPr>
                <a:t>, </a:t>
              </a:r>
              <a14:m>
                <m:oMath xmlns:m="http://schemas.openxmlformats.org/officeDocument/2006/math">
                  <m:sSub>
                    <m:sSubPr>
                      <m:ctrlPr>
                        <a:rPr lang="en-US" sz="1400" b="0" i="1">
                          <a:solidFill>
                            <a:schemeClr val="tx1"/>
                          </a:solidFill>
                          <a:effectLst/>
                          <a:latin typeface="Cambria Math" panose="02040503050406030204" pitchFamily="18" charset="0"/>
                          <a:ea typeface="+mn-ea"/>
                          <a:cs typeface="+mn-cs"/>
                        </a:rPr>
                      </m:ctrlPr>
                    </m:sSubPr>
                    <m:e>
                      <m:r>
                        <a:rPr lang="en-US" sz="1400" b="0" i="1">
                          <a:solidFill>
                            <a:schemeClr val="tx1"/>
                          </a:solidFill>
                          <a:effectLst/>
                          <a:latin typeface="Cambria Math" panose="02040503050406030204" pitchFamily="18" charset="0"/>
                          <a:ea typeface="+mn-ea"/>
                          <a:cs typeface="+mn-cs"/>
                        </a:rPr>
                        <m:t>𝐶</m:t>
                      </m:r>
                    </m:e>
                    <m:sub>
                      <m:r>
                        <a:rPr lang="en-US" sz="1400" b="0" i="1">
                          <a:solidFill>
                            <a:schemeClr val="tx1"/>
                          </a:solidFill>
                          <a:effectLst/>
                          <a:latin typeface="Cambria Math" panose="02040503050406030204" pitchFamily="18" charset="0"/>
                          <a:ea typeface="+mn-ea"/>
                          <a:cs typeface="+mn-cs"/>
                        </a:rPr>
                        <m:t>𝑖𝑛𝑡𝑒𝑟</m:t>
                      </m:r>
                    </m:sub>
                  </m:sSub>
                  <m:r>
                    <a:rPr lang="en-GB" sz="1400" i="1" baseline="0">
                      <a:solidFill>
                        <a:schemeClr val="tx1"/>
                      </a:solidFill>
                      <a:effectLst/>
                      <a:latin typeface="Cambria Math" panose="02040503050406030204" pitchFamily="18" charset="0"/>
                      <a:ea typeface="+mn-ea"/>
                      <a:cs typeface="+mn-cs"/>
                    </a:rPr>
                    <m:t>  + </m:t>
                  </m:r>
                  <m:sSub>
                    <m:sSubPr>
                      <m:ctrlPr>
                        <a:rPr lang="en-GB" sz="1400" i="1" baseline="0">
                          <a:solidFill>
                            <a:schemeClr val="tx1"/>
                          </a:solidFill>
                          <a:effectLst/>
                          <a:latin typeface="Cambria Math" panose="02040503050406030204" pitchFamily="18" charset="0"/>
                          <a:ea typeface="+mn-ea"/>
                          <a:cs typeface="+mn-cs"/>
                        </a:rPr>
                      </m:ctrlPr>
                    </m:sSubPr>
                    <m:e>
                      <m:r>
                        <a:rPr lang="en-GB" sz="1400" i="1" baseline="0">
                          <a:solidFill>
                            <a:schemeClr val="tx1"/>
                          </a:solidFill>
                          <a:effectLst/>
                          <a:latin typeface="Cambria Math" panose="02040503050406030204" pitchFamily="18" charset="0"/>
                          <a:ea typeface="+mn-ea"/>
                          <a:cs typeface="+mn-cs"/>
                        </a:rPr>
                        <m:t>𝑁</m:t>
                      </m:r>
                    </m:e>
                    <m:sub>
                      <m:r>
                        <a:rPr lang="en-GB" sz="1400" i="1" baseline="0">
                          <a:solidFill>
                            <a:schemeClr val="tx1"/>
                          </a:solidFill>
                          <a:effectLst/>
                          <a:latin typeface="Cambria Math" panose="02040503050406030204" pitchFamily="18" charset="0"/>
                          <a:ea typeface="+mn-ea"/>
                          <a:cs typeface="+mn-cs"/>
                        </a:rPr>
                        <m:t>𝑎𝑐</m:t>
                      </m:r>
                      <m:sSub>
                        <m:sSubPr>
                          <m:ctrlPr>
                            <a:rPr lang="en-US" sz="1400" b="0" i="1" baseline="0">
                              <a:solidFill>
                                <a:schemeClr val="tx1"/>
                              </a:solidFill>
                              <a:effectLst/>
                              <a:latin typeface="Cambria Math" panose="02040503050406030204" pitchFamily="18" charset="0"/>
                              <a:ea typeface="+mn-ea"/>
                              <a:cs typeface="+mn-cs"/>
                            </a:rPr>
                          </m:ctrlPr>
                        </m:sSubPr>
                        <m:e>
                          <m:r>
                            <a:rPr lang="en-US" sz="1400" b="0" i="1" baseline="0">
                              <a:solidFill>
                                <a:schemeClr val="tx1"/>
                              </a:solidFill>
                              <a:effectLst/>
                              <a:latin typeface="Cambria Math" panose="02040503050406030204" pitchFamily="18" charset="0"/>
                              <a:ea typeface="+mn-ea"/>
                              <a:cs typeface="+mn-cs"/>
                            </a:rPr>
                            <m:t>𝑡</m:t>
                          </m:r>
                        </m:e>
                        <m:sub>
                          <m:r>
                            <a:rPr lang="en-US" sz="1400" b="0" i="1" baseline="0">
                              <a:solidFill>
                                <a:schemeClr val="tx1"/>
                              </a:solidFill>
                              <a:effectLst/>
                              <a:latin typeface="Cambria Math" panose="02040503050406030204" pitchFamily="18" charset="0"/>
                              <a:ea typeface="+mn-ea"/>
                              <a:cs typeface="+mn-cs"/>
                            </a:rPr>
                            <m:t>𝑖𝑛𝑡𝑒𝑟</m:t>
                          </m:r>
                        </m:sub>
                      </m:sSub>
                    </m:sub>
                  </m:sSub>
                  <m:r>
                    <a:rPr lang="en-US" sz="1400" b="0" i="1" baseline="0">
                      <a:solidFill>
                        <a:schemeClr val="tx1"/>
                      </a:solidFill>
                      <a:effectLst/>
                      <a:latin typeface="Cambria Math" panose="02040503050406030204" pitchFamily="18" charset="0"/>
                      <a:ea typeface="+mn-ea"/>
                      <a:cs typeface="+mn-cs"/>
                    </a:rPr>
                    <m:t>(</m:t>
                  </m:r>
                  <m:r>
                    <a:rPr lang="en-US" sz="1400" b="0" i="1" baseline="0">
                      <a:solidFill>
                        <a:schemeClr val="tx1"/>
                      </a:solidFill>
                      <a:effectLst/>
                      <a:latin typeface="Cambria Math" panose="02040503050406030204" pitchFamily="18" charset="0"/>
                      <a:ea typeface="+mn-ea"/>
                      <a:cs typeface="+mn-cs"/>
                    </a:rPr>
                    <m:t>𝐿</m:t>
                  </m:r>
                  <m:r>
                    <a:rPr lang="en-US" sz="1400" b="0" i="1" baseline="0">
                      <a:solidFill>
                        <a:schemeClr val="tx1"/>
                      </a:solidFill>
                      <a:effectLst/>
                      <a:latin typeface="Cambria Math" panose="02040503050406030204" pitchFamily="18" charset="0"/>
                      <a:ea typeface="+mn-ea"/>
                      <a:cs typeface="+mn-cs"/>
                    </a:rPr>
                    <m:t>, </m:t>
                  </m:r>
                  <m:r>
                    <a:rPr lang="en-US" sz="1400" b="0" i="1" baseline="0">
                      <a:solidFill>
                        <a:schemeClr val="tx1"/>
                      </a:solidFill>
                      <a:effectLst/>
                      <a:latin typeface="Cambria Math" panose="02040503050406030204" pitchFamily="18" charset="0"/>
                      <a:ea typeface="+mn-ea"/>
                      <a:cs typeface="+mn-cs"/>
                    </a:rPr>
                    <m:t>𝑝</m:t>
                  </m:r>
                  <m:r>
                    <a:rPr lang="en-US" sz="1400" b="0" i="1" baseline="0">
                      <a:solidFill>
                        <a:schemeClr val="tx1"/>
                      </a:solidFill>
                      <a:effectLst/>
                      <a:latin typeface="Cambria Math" panose="02040503050406030204" pitchFamily="18" charset="0"/>
                      <a:ea typeface="+mn-ea"/>
                      <a:cs typeface="+mn-cs"/>
                    </a:rPr>
                    <m:t>) ∗ </m:t>
                  </m:r>
                  <m:f>
                    <m:fPr>
                      <m:ctrlPr>
                        <a:rPr lang="en-GB" sz="1400" i="1" baseline="0">
                          <a:solidFill>
                            <a:schemeClr val="tx1"/>
                          </a:solidFill>
                          <a:effectLst/>
                          <a:latin typeface="Cambria Math" panose="02040503050406030204" pitchFamily="18" charset="0"/>
                          <a:ea typeface="+mn-ea"/>
                          <a:cs typeface="+mn-cs"/>
                        </a:rPr>
                      </m:ctrlPr>
                    </m:fPr>
                    <m:num>
                      <m:sSub>
                        <m:sSubPr>
                          <m:ctrlPr>
                            <a:rPr lang="en-US" sz="1400" b="0" i="1" baseline="0">
                              <a:solidFill>
                                <a:schemeClr val="tx1"/>
                              </a:solidFill>
                              <a:effectLst/>
                              <a:latin typeface="Cambria Math" panose="02040503050406030204" pitchFamily="18" charset="0"/>
                              <a:ea typeface="+mn-ea"/>
                              <a:cs typeface="+mn-cs"/>
                            </a:rPr>
                          </m:ctrlPr>
                        </m:sSubPr>
                        <m:e>
                          <m:r>
                            <a:rPr lang="en-US" sz="1400" b="0" i="1" baseline="0">
                              <a:solidFill>
                                <a:schemeClr val="tx1"/>
                              </a:solidFill>
                              <a:effectLst/>
                              <a:latin typeface="Cambria Math" panose="02040503050406030204" pitchFamily="18" charset="0"/>
                              <a:ea typeface="+mn-ea"/>
                              <a:cs typeface="+mn-cs"/>
                            </a:rPr>
                            <m:t>𝑆</m:t>
                          </m:r>
                        </m:e>
                        <m:sub>
                          <m:r>
                            <a:rPr lang="en-US" sz="1400" b="0" i="1" baseline="0">
                              <a:solidFill>
                                <a:schemeClr val="tx1"/>
                              </a:solidFill>
                              <a:effectLst/>
                              <a:latin typeface="Cambria Math" panose="02040503050406030204" pitchFamily="18" charset="0"/>
                              <a:ea typeface="+mn-ea"/>
                              <a:cs typeface="+mn-cs"/>
                            </a:rPr>
                            <m:t>𝑎𝑐𝑡𝑖𝑣𝑎𝑡𝑖𝑜𝑛</m:t>
                          </m:r>
                        </m:sub>
                      </m:sSub>
                    </m:num>
                    <m:den>
                      <m:r>
                        <a:rPr lang="en-US" sz="1400" b="0" i="1" baseline="0">
                          <a:solidFill>
                            <a:schemeClr val="tx1"/>
                          </a:solidFill>
                          <a:effectLst/>
                          <a:latin typeface="Cambria Math" panose="02040503050406030204" pitchFamily="18" charset="0"/>
                          <a:ea typeface="+mn-ea"/>
                          <a:cs typeface="+mn-cs"/>
                        </a:rPr>
                        <m:t>𝐵</m:t>
                      </m:r>
                      <m:sSub>
                        <m:sSubPr>
                          <m:ctrlPr>
                            <a:rPr lang="en-US" sz="1400" b="0" i="1" baseline="0">
                              <a:solidFill>
                                <a:schemeClr val="tx1"/>
                              </a:solidFill>
                              <a:effectLst/>
                              <a:latin typeface="Cambria Math" panose="02040503050406030204" pitchFamily="18" charset="0"/>
                              <a:ea typeface="+mn-ea"/>
                              <a:cs typeface="+mn-cs"/>
                            </a:rPr>
                          </m:ctrlPr>
                        </m:sSubPr>
                        <m:e>
                          <m:r>
                            <a:rPr lang="en-US" sz="1400" b="0" i="1" baseline="0">
                              <a:solidFill>
                                <a:schemeClr val="tx1"/>
                              </a:solidFill>
                              <a:effectLst/>
                              <a:latin typeface="Cambria Math" panose="02040503050406030204" pitchFamily="18" charset="0"/>
                              <a:ea typeface="+mn-ea"/>
                              <a:cs typeface="+mn-cs"/>
                            </a:rPr>
                            <m:t>𝑊</m:t>
                          </m:r>
                        </m:e>
                        <m:sub>
                          <m:r>
                            <a:rPr lang="en-US" sz="1400" b="0" i="1" baseline="0">
                              <a:solidFill>
                                <a:schemeClr val="tx1"/>
                              </a:solidFill>
                              <a:effectLst/>
                              <a:latin typeface="Cambria Math" panose="02040503050406030204" pitchFamily="18" charset="0"/>
                              <a:ea typeface="+mn-ea"/>
                              <a:cs typeface="+mn-cs"/>
                            </a:rPr>
                            <m:t>𝑖𝑛𝑡𝑒𝑟</m:t>
                          </m:r>
                        </m:sub>
                      </m:sSub>
                    </m:den>
                  </m:f>
                  <m:r>
                    <a:rPr lang="en-US" sz="1400" b="0" i="1" baseline="0">
                      <a:solidFill>
                        <a:schemeClr val="tx1"/>
                      </a:solidFill>
                      <a:effectLst/>
                      <a:latin typeface="Cambria Math" panose="02040503050406030204" pitchFamily="18" charset="0"/>
                      <a:ea typeface="+mn-ea"/>
                      <a:cs typeface="+mn-cs"/>
                    </a:rPr>
                    <m:t>]</m:t>
                  </m:r>
                </m:oMath>
              </a14:m>
              <a:endParaRPr lang="en-GB" sz="1400" baseline="0">
                <a:solidFill>
                  <a:schemeClr val="tx1"/>
                </a:solidFill>
              </a:endParaRPr>
            </a:p>
          </xdr:txBody>
        </xdr:sp>
      </mc:Choice>
      <mc:Fallback xmlns="">
        <xdr:sp macro="" textlink="">
          <xdr:nvSpPr>
            <xdr:cNvPr id="1006" name="TextBox 90">
              <a:extLst>
                <a:ext uri="{FF2B5EF4-FFF2-40B4-BE49-F238E27FC236}">
                  <a16:creationId xmlns:a16="http://schemas.microsoft.com/office/drawing/2014/main" id="{00000000-0008-0000-0500-0000EE030000}"/>
                </a:ext>
              </a:extLst>
            </xdr:cNvPr>
            <xdr:cNvSpPr txBox="1"/>
          </xdr:nvSpPr>
          <xdr:spPr>
            <a:xfrm>
              <a:off x="3429000" y="12500427"/>
              <a:ext cx="6894286" cy="33522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400" b="0" i="0">
                  <a:solidFill>
                    <a:schemeClr val="tx1"/>
                  </a:solidFill>
                  <a:latin typeface="Cambria Math" panose="02040503050406030204" pitchFamily="18" charset="0"/>
                </a:rPr>
                <a:t>𝑀</a:t>
              </a:r>
              <a:r>
                <a:rPr lang="en-US" sz="1400" b="0" i="0" baseline="-25000">
                  <a:solidFill>
                    <a:schemeClr val="tx1"/>
                  </a:solidFill>
                  <a:latin typeface="Cambria Math" panose="02040503050406030204" pitchFamily="18" charset="0"/>
                </a:rPr>
                <a:t>𝑓</a:t>
              </a:r>
              <a:r>
                <a:rPr lang="en-US" sz="1400" b="0" i="0" baseline="0">
                  <a:solidFill>
                    <a:schemeClr val="tx1"/>
                  </a:solidFill>
                  <a:latin typeface="Cambria Math" panose="02040503050406030204" pitchFamily="18" charset="0"/>
                </a:rPr>
                <a:t>= </a:t>
              </a:r>
              <a:r>
                <a:rPr lang="en-GB" sz="1400" i="0">
                  <a:solidFill>
                    <a:schemeClr val="tx1"/>
                  </a:solidFill>
                  <a:latin typeface="Cambria Math" panose="02040503050406030204" pitchFamily="18" charset="0"/>
                </a:rPr>
                <a:t> </a:t>
              </a:r>
              <a:r>
                <a:rPr lang="en-US" sz="1400" b="0" i="0">
                  <a:solidFill>
                    <a:schemeClr val="tx1"/>
                  </a:solidFill>
                  <a:latin typeface="Cambria Math" panose="02040503050406030204" pitchFamily="18" charset="0"/>
                </a:rPr>
                <a:t>max⁡[𝐶_𝑖𝑛𝑡𝑟𝑎</a:t>
              </a:r>
              <a:r>
                <a:rPr lang="en-GB" sz="1400" b="0" i="0" baseline="0">
                  <a:solidFill>
                    <a:schemeClr val="tx1"/>
                  </a:solidFill>
                  <a:latin typeface="Cambria Math" panose="02040503050406030204" pitchFamily="18" charset="0"/>
                </a:rPr>
                <a:t> </a:t>
              </a:r>
              <a:r>
                <a:rPr lang="en-GB" sz="1400" i="0" baseline="0">
                  <a:solidFill>
                    <a:schemeClr val="tx1"/>
                  </a:solidFill>
                  <a:latin typeface="Cambria Math" panose="02040503050406030204" pitchFamily="18" charset="0"/>
                </a:rPr>
                <a:t>  + 𝑁_(𝑎𝑐</a:t>
              </a:r>
              <a:r>
                <a:rPr lang="en-US" sz="1400" b="0" i="0" baseline="0">
                  <a:solidFill>
                    <a:schemeClr val="tx1"/>
                  </a:solidFill>
                  <a:latin typeface="Cambria Math" panose="02040503050406030204" pitchFamily="18" charset="0"/>
                </a:rPr>
                <a:t>𝑡_𝑖𝑛𝑡𝑟𝑎 </a:t>
              </a:r>
              <a:r>
                <a:rPr lang="en-GB" sz="1400" b="0" i="0" baseline="0">
                  <a:solidFill>
                    <a:schemeClr val="tx1"/>
                  </a:solidFill>
                  <a:latin typeface="Cambria Math" panose="02040503050406030204" pitchFamily="18" charset="0"/>
                </a:rPr>
                <a:t>)</a:t>
              </a:r>
              <a:r>
                <a:rPr lang="en-US" sz="1400" b="0" i="0" baseline="0">
                  <a:solidFill>
                    <a:schemeClr val="tx1"/>
                  </a:solidFill>
                  <a:latin typeface="Cambria Math" panose="02040503050406030204" pitchFamily="18" charset="0"/>
                </a:rPr>
                <a:t> (𝐿, 𝑝) ∗  𝑆_𝑎𝑐𝑡𝑖𝑣𝑎𝑡𝑖𝑜𝑛</a:t>
              </a:r>
              <a:r>
                <a:rPr lang="en-GB" sz="1400" b="0" i="0" baseline="0">
                  <a:solidFill>
                    <a:schemeClr val="tx1"/>
                  </a:solidFill>
                  <a:latin typeface="Cambria Math" panose="02040503050406030204" pitchFamily="18" charset="0"/>
                </a:rPr>
                <a:t>/(</a:t>
              </a:r>
              <a:r>
                <a:rPr lang="en-US" sz="1400" b="0" i="0" baseline="0">
                  <a:solidFill>
                    <a:schemeClr val="tx1"/>
                  </a:solidFill>
                  <a:latin typeface="Cambria Math" panose="02040503050406030204" pitchFamily="18" charset="0"/>
                </a:rPr>
                <a:t>𝐵𝑊_𝑖𝑛𝑡𝑟𝑎 </a:t>
              </a:r>
              <a:r>
                <a:rPr lang="en-GB" sz="1400" b="0" i="0" baseline="0">
                  <a:solidFill>
                    <a:schemeClr val="tx1"/>
                  </a:solidFill>
                  <a:latin typeface="Cambria Math" panose="02040503050406030204" pitchFamily="18" charset="0"/>
                </a:rPr>
                <a:t>) </a:t>
              </a:r>
              <a:r>
                <a:rPr lang="en-GB" sz="1400" i="0" baseline="0">
                  <a:solidFill>
                    <a:schemeClr val="tx1"/>
                  </a:solidFill>
                  <a:latin typeface="Cambria Math" panose="02040503050406030204" pitchFamily="18" charset="0"/>
                </a:rPr>
                <a:t> </a:t>
              </a:r>
              <a:r>
                <a:rPr lang="en-GB" sz="1400" baseline="0">
                  <a:solidFill>
                    <a:schemeClr val="tx1"/>
                  </a:solidFill>
                </a:rPr>
                <a:t>, </a:t>
              </a:r>
              <a:r>
                <a:rPr lang="en-US" sz="1400" b="0" i="0">
                  <a:solidFill>
                    <a:schemeClr val="tx1"/>
                  </a:solidFill>
                  <a:effectLst/>
                  <a:latin typeface="Cambria Math" panose="02040503050406030204" pitchFamily="18" charset="0"/>
                  <a:ea typeface="+mn-ea"/>
                  <a:cs typeface="+mn-cs"/>
                </a:rPr>
                <a:t>𝐶_𝑖𝑛𝑡𝑒𝑟</a:t>
              </a:r>
              <a:r>
                <a:rPr lang="en-GB" sz="1400" b="0" i="0" baseline="0">
                  <a:solidFill>
                    <a:schemeClr val="tx1"/>
                  </a:solidFill>
                  <a:effectLst/>
                  <a:latin typeface="Cambria Math" panose="02040503050406030204" pitchFamily="18" charset="0"/>
                  <a:ea typeface="+mn-ea"/>
                  <a:cs typeface="+mn-cs"/>
                </a:rPr>
                <a:t> </a:t>
              </a:r>
              <a:r>
                <a:rPr lang="en-GB" sz="1400" i="0" baseline="0">
                  <a:solidFill>
                    <a:schemeClr val="tx1"/>
                  </a:solidFill>
                  <a:effectLst/>
                  <a:latin typeface="Cambria Math" panose="02040503050406030204" pitchFamily="18" charset="0"/>
                  <a:ea typeface="+mn-ea"/>
                  <a:cs typeface="+mn-cs"/>
                </a:rPr>
                <a:t>  + 𝑁_(𝑎𝑐</a:t>
              </a:r>
              <a:r>
                <a:rPr lang="en-US" sz="1400" b="0" i="0" baseline="0">
                  <a:solidFill>
                    <a:schemeClr val="tx1"/>
                  </a:solidFill>
                  <a:effectLst/>
                  <a:latin typeface="Cambria Math" panose="02040503050406030204" pitchFamily="18" charset="0"/>
                  <a:ea typeface="+mn-ea"/>
                  <a:cs typeface="+mn-cs"/>
                </a:rPr>
                <a:t>𝑡_𝑖𝑛𝑡𝑒𝑟 </a:t>
              </a:r>
              <a:r>
                <a:rPr lang="en-GB" sz="1400" b="0" i="0" baseline="0">
                  <a:solidFill>
                    <a:schemeClr val="tx1"/>
                  </a:solidFill>
                  <a:effectLst/>
                  <a:latin typeface="Cambria Math" panose="02040503050406030204" pitchFamily="18" charset="0"/>
                  <a:ea typeface="+mn-ea"/>
                  <a:cs typeface="+mn-cs"/>
                </a:rPr>
                <a:t>)</a:t>
              </a:r>
              <a:r>
                <a:rPr lang="en-US" sz="1400" b="0" i="0" baseline="0">
                  <a:solidFill>
                    <a:schemeClr val="tx1"/>
                  </a:solidFill>
                  <a:effectLst/>
                  <a:latin typeface="Cambria Math" panose="02040503050406030204" pitchFamily="18" charset="0"/>
                  <a:ea typeface="+mn-ea"/>
                  <a:cs typeface="+mn-cs"/>
                </a:rPr>
                <a:t> (𝐿, 𝑝) ∗  𝑆_𝑎𝑐𝑡𝑖𝑣𝑎𝑡𝑖𝑜𝑛</a:t>
              </a:r>
              <a:r>
                <a:rPr lang="en-GB" sz="1400" b="0" i="0" baseline="0">
                  <a:solidFill>
                    <a:schemeClr val="tx1"/>
                  </a:solidFill>
                  <a:effectLst/>
                  <a:latin typeface="Cambria Math" panose="02040503050406030204" pitchFamily="18" charset="0"/>
                  <a:ea typeface="+mn-ea"/>
                  <a:cs typeface="+mn-cs"/>
                </a:rPr>
                <a:t>/(</a:t>
              </a:r>
              <a:r>
                <a:rPr lang="en-US" sz="1400" b="0" i="0" baseline="0">
                  <a:solidFill>
                    <a:schemeClr val="tx1"/>
                  </a:solidFill>
                  <a:effectLst/>
                  <a:latin typeface="Cambria Math" panose="02040503050406030204" pitchFamily="18" charset="0"/>
                  <a:ea typeface="+mn-ea"/>
                  <a:cs typeface="+mn-cs"/>
                </a:rPr>
                <a:t>𝐵𝑊_𝑖𝑛𝑡𝑒𝑟 </a:t>
              </a:r>
              <a:r>
                <a:rPr lang="en-GB" sz="1400" b="0" i="0" baseline="0">
                  <a:solidFill>
                    <a:schemeClr val="tx1"/>
                  </a:solidFill>
                  <a:effectLst/>
                  <a:latin typeface="Cambria Math" panose="02040503050406030204" pitchFamily="18" charset="0"/>
                  <a:ea typeface="+mn-ea"/>
                  <a:cs typeface="+mn-cs"/>
                </a:rPr>
                <a:t>)</a:t>
              </a:r>
              <a:r>
                <a:rPr lang="en-US" sz="1400" b="0" i="0" baseline="0">
                  <a:solidFill>
                    <a:schemeClr val="tx1"/>
                  </a:solidFill>
                  <a:effectLst/>
                  <a:latin typeface="Cambria Math" panose="02040503050406030204" pitchFamily="18" charset="0"/>
                  <a:ea typeface="+mn-ea"/>
                  <a:cs typeface="+mn-cs"/>
                </a:rPr>
                <a:t>]</a:t>
              </a:r>
              <a:endParaRPr lang="en-GB" sz="1400" baseline="0">
                <a:solidFill>
                  <a:schemeClr val="tx1"/>
                </a:solidFill>
              </a:endParaRPr>
            </a:p>
          </xdr:txBody>
        </xdr:sp>
      </mc:Fallback>
    </mc:AlternateContent>
    <xdr:clientData/>
  </xdr:oneCellAnchor>
  <xdr:oneCellAnchor>
    <xdr:from>
      <xdr:col>1</xdr:col>
      <xdr:colOff>0</xdr:colOff>
      <xdr:row>93</xdr:row>
      <xdr:rowOff>0</xdr:rowOff>
    </xdr:from>
    <xdr:ext cx="5995866" cy="346570"/>
    <mc:AlternateContent xmlns:mc="http://schemas.openxmlformats.org/markup-compatibility/2006" xmlns:a14="http://schemas.microsoft.com/office/drawing/2010/main">
      <mc:Choice Requires="a14">
        <xdr:sp macro="" textlink="">
          <xdr:nvSpPr>
            <xdr:cNvPr id="707" name="TextBox 95">
              <a:extLst>
                <a:ext uri="{FF2B5EF4-FFF2-40B4-BE49-F238E27FC236}">
                  <a16:creationId xmlns:a16="http://schemas.microsoft.com/office/drawing/2014/main" id="{00000000-0008-0000-0500-0000C3020000}"/>
                </a:ext>
              </a:extLst>
            </xdr:cNvPr>
            <xdr:cNvSpPr txBox="1"/>
          </xdr:nvSpPr>
          <xdr:spPr>
            <a:xfrm>
              <a:off x="3260481" y="15936058"/>
              <a:ext cx="5995866" cy="34657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𝑀</m:t>
                        </m:r>
                      </m:e>
                      <m:sub>
                        <m:r>
                          <a:rPr lang="en-US" sz="1100" b="0" i="1">
                            <a:solidFill>
                              <a:schemeClr val="tx1"/>
                            </a:solidFill>
                            <a:latin typeface="Cambria Math" panose="02040503050406030204" pitchFamily="18" charset="0"/>
                          </a:rPr>
                          <m:t>𝑏</m:t>
                        </m:r>
                      </m:sub>
                    </m:sSub>
                    <m:r>
                      <a:rPr lang="en-US" sz="1100" b="0" i="1">
                        <a:solidFill>
                          <a:schemeClr val="tx1"/>
                        </a:solidFill>
                        <a:latin typeface="Cambria Math" panose="02040503050406030204" pitchFamily="18" charset="0"/>
                      </a:rPr>
                      <m:t>=</m:t>
                    </m:r>
                    <m:r>
                      <m:rPr>
                        <m:sty m:val="p"/>
                      </m:rPr>
                      <a:rPr lang="en-US" sz="1100" b="0" i="0">
                        <a:solidFill>
                          <a:schemeClr val="tx1"/>
                        </a:solidFill>
                        <a:latin typeface="Cambria Math" panose="02040503050406030204" pitchFamily="18" charset="0"/>
                      </a:rPr>
                      <m:t>max</m:t>
                    </m:r>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𝐶</m:t>
                        </m:r>
                      </m:e>
                      <m:sub>
                        <m:r>
                          <a:rPr lang="en-US" sz="1100" b="0" i="1">
                            <a:solidFill>
                              <a:schemeClr val="tx1"/>
                            </a:solidFill>
                            <a:latin typeface="Cambria Math" panose="02040503050406030204" pitchFamily="18" charset="0"/>
                          </a:rPr>
                          <m:t>𝑖𝑛𝑡𝑟𝑎</m:t>
                        </m:r>
                      </m:sub>
                    </m:sSub>
                    <m:r>
                      <a:rPr lang="en-GB" sz="1100" i="1" baseline="0">
                        <a:solidFill>
                          <a:schemeClr val="tx1"/>
                        </a:solidFill>
                        <a:effectLst/>
                        <a:latin typeface="Cambria Math" panose="02040503050406030204" pitchFamily="18" charset="0"/>
                        <a:ea typeface="+mn-ea"/>
                        <a:cs typeface="+mn-cs"/>
                      </a:rPr>
                      <m:t>  +</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𝑒𝑟</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𝑟</m:t>
                            </m:r>
                          </m:e>
                          <m:sub>
                            <m:r>
                              <a:rPr lang="en-US" sz="1100" b="0" i="1" baseline="0">
                                <a:solidFill>
                                  <a:schemeClr val="tx1"/>
                                </a:solidFill>
                                <a:effectLst/>
                                <a:latin typeface="Cambria Math" panose="02040503050406030204" pitchFamily="18" charset="0"/>
                                <a:ea typeface="+mn-ea"/>
                                <a:cs typeface="+mn-cs"/>
                              </a:rPr>
                              <m:t>𝑖𝑛𝑡𝑟𝑎</m:t>
                            </m:r>
                          </m:sub>
                        </m:sSub>
                      </m:sub>
                    </m:sSub>
                    <m:r>
                      <a:rPr lang="en-US" sz="1100" b="0" i="1" baseline="0">
                        <a:solidFill>
                          <a:schemeClr val="tx1"/>
                        </a:solidFill>
                        <a:effectLst/>
                        <a:latin typeface="Cambria Math" panose="02040503050406030204" pitchFamily="18" charset="0"/>
                        <a:ea typeface="+mn-ea"/>
                        <a:cs typeface="+mn-cs"/>
                      </a:rPr>
                      <m:t>(</m:t>
                    </m:r>
                    <m:r>
                      <a:rPr lang="en-US" sz="1100" b="0" i="1" baseline="0">
                        <a:solidFill>
                          <a:schemeClr val="tx1"/>
                        </a:solidFill>
                        <a:effectLst/>
                        <a:latin typeface="Cambria Math" panose="02040503050406030204" pitchFamily="18" charset="0"/>
                        <a:ea typeface="+mn-ea"/>
                        <a:cs typeface="+mn-cs"/>
                      </a:rPr>
                      <m:t>𝐿</m:t>
                    </m:r>
                    <m:r>
                      <a:rPr lang="en-US" sz="1100" b="0" i="1" baseline="0">
                        <a:solidFill>
                          <a:schemeClr val="tx1"/>
                        </a:solidFill>
                        <a:effectLst/>
                        <a:latin typeface="Cambria Math" panose="02040503050406030204" pitchFamily="18" charset="0"/>
                        <a:ea typeface="+mn-ea"/>
                        <a:cs typeface="+mn-cs"/>
                      </a:rPr>
                      <m:t>, </m:t>
                    </m:r>
                    <m:r>
                      <a:rPr lang="en-US" sz="1100" b="0" i="1" baseline="0">
                        <a:solidFill>
                          <a:schemeClr val="tx1"/>
                        </a:solidFill>
                        <a:effectLst/>
                        <a:latin typeface="Cambria Math" panose="02040503050406030204" pitchFamily="18" charset="0"/>
                        <a:ea typeface="+mn-ea"/>
                        <a:cs typeface="+mn-cs"/>
                      </a:rPr>
                      <m:t>𝑝</m:t>
                    </m:r>
                    <m:r>
                      <a:rPr lang="en-US" sz="1100" b="0" i="1" baseline="0">
                        <a:solidFill>
                          <a:schemeClr val="tx1"/>
                        </a:solidFill>
                        <a:effectLst/>
                        <a:latin typeface="Cambria Math" panose="02040503050406030204" pitchFamily="18" charset="0"/>
                        <a:ea typeface="+mn-ea"/>
                        <a:cs typeface="+mn-cs"/>
                      </a:rPr>
                      <m:t>) ∗ </m:t>
                    </m:r>
                    <m:f>
                      <m:fPr>
                        <m:ctrlPr>
                          <a:rPr lang="en-GB" sz="110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𝑒𝑟𝑟</m:t>
                            </m:r>
                          </m:sub>
                        </m:sSub>
                      </m:num>
                      <m:den>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𝑖𝑛𝑡𝑟𝑎</m:t>
                            </m:r>
                          </m:sub>
                        </m:sSub>
                      </m:den>
                    </m:f>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𝐶</m:t>
                        </m:r>
                      </m:e>
                      <m:sub>
                        <m:r>
                          <a:rPr lang="en-US" sz="1100" b="0" i="1" baseline="0">
                            <a:solidFill>
                              <a:schemeClr val="tx1"/>
                            </a:solidFill>
                            <a:effectLst/>
                            <a:latin typeface="Cambria Math" panose="02040503050406030204" pitchFamily="18" charset="0"/>
                            <a:ea typeface="+mn-ea"/>
                            <a:cs typeface="+mn-cs"/>
                          </a:rPr>
                          <m:t>𝑖𝑛𝑡𝑒𝑟</m:t>
                        </m:r>
                      </m:sub>
                    </m:sSub>
                    <m:r>
                      <a:rPr lang="en-US" sz="1100" b="0" i="1" baseline="0">
                        <a:solidFill>
                          <a:schemeClr val="tx1"/>
                        </a:solidFill>
                        <a:effectLst/>
                        <a:latin typeface="Cambria Math" panose="02040503050406030204" pitchFamily="18" charset="0"/>
                        <a:ea typeface="+mn-ea"/>
                        <a:cs typeface="+mn-cs"/>
                      </a:rPr>
                      <m:t>+</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𝑁</m:t>
                        </m:r>
                      </m:e>
                      <m:sub>
                        <m:r>
                          <a:rPr lang="en-US" sz="1100" b="0" i="1" baseline="0">
                            <a:solidFill>
                              <a:schemeClr val="tx1"/>
                            </a:solidFill>
                            <a:effectLst/>
                            <a:latin typeface="Cambria Math" panose="02040503050406030204" pitchFamily="18" charset="0"/>
                            <a:ea typeface="+mn-ea"/>
                            <a:cs typeface="+mn-cs"/>
                          </a:rPr>
                          <m:t>𝑒𝑟</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𝑟</m:t>
                            </m:r>
                          </m:e>
                          <m:sub>
                            <m:r>
                              <a:rPr lang="en-US" sz="1100" b="0" i="1" baseline="0">
                                <a:solidFill>
                                  <a:schemeClr val="tx1"/>
                                </a:solidFill>
                                <a:effectLst/>
                                <a:latin typeface="Cambria Math" panose="02040503050406030204" pitchFamily="18" charset="0"/>
                                <a:ea typeface="+mn-ea"/>
                                <a:cs typeface="+mn-cs"/>
                              </a:rPr>
                              <m:t>𝑖𝑛𝑡𝑒𝑟</m:t>
                            </m:r>
                          </m:sub>
                        </m:sSub>
                      </m:sub>
                    </m:sSub>
                    <m:r>
                      <a:rPr lang="en-US" sz="1100" b="0" i="1" baseline="0">
                        <a:solidFill>
                          <a:schemeClr val="tx1"/>
                        </a:solidFill>
                        <a:effectLst/>
                        <a:latin typeface="Cambria Math" panose="02040503050406030204" pitchFamily="18" charset="0"/>
                        <a:ea typeface="+mn-ea"/>
                        <a:cs typeface="+mn-cs"/>
                      </a:rPr>
                      <m:t>∗</m:t>
                    </m:r>
                    <m:f>
                      <m:fPr>
                        <m:ctrlPr>
                          <a:rPr lang="en-US" sz="1100" b="0" i="1" baseline="0">
                            <a:solidFill>
                              <a:schemeClr val="tx1"/>
                            </a:solidFill>
                            <a:effectLst/>
                            <a:latin typeface="Cambria Math" panose="02040503050406030204" pitchFamily="18" charset="0"/>
                            <a:ea typeface="+mn-ea"/>
                            <a:cs typeface="+mn-cs"/>
                          </a:rPr>
                        </m:ctrlPr>
                      </m:fPr>
                      <m:num>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𝑆</m:t>
                            </m:r>
                          </m:e>
                          <m:sub>
                            <m:r>
                              <a:rPr lang="en-US" sz="1100" b="0" i="1" baseline="0">
                                <a:solidFill>
                                  <a:schemeClr val="tx1"/>
                                </a:solidFill>
                                <a:effectLst/>
                                <a:latin typeface="Cambria Math" panose="02040503050406030204" pitchFamily="18" charset="0"/>
                                <a:ea typeface="+mn-ea"/>
                                <a:cs typeface="+mn-cs"/>
                              </a:rPr>
                              <m:t>𝑒𝑟𝑟</m:t>
                            </m:r>
                          </m:sub>
                        </m:sSub>
                      </m:num>
                      <m:den>
                        <m:r>
                          <a:rPr lang="en-US" sz="1100" b="0" i="1" baseline="0">
                            <a:solidFill>
                              <a:schemeClr val="tx1"/>
                            </a:solidFill>
                            <a:effectLst/>
                            <a:latin typeface="Cambria Math" panose="02040503050406030204" pitchFamily="18" charset="0"/>
                            <a:ea typeface="+mn-ea"/>
                            <a:cs typeface="+mn-cs"/>
                          </a:rPr>
                          <m:t>𝐵</m:t>
                        </m:r>
                        <m:sSub>
                          <m:sSubPr>
                            <m:ctrlPr>
                              <a:rPr lang="en-US" sz="1100" b="0" i="1" baseline="0">
                                <a:solidFill>
                                  <a:schemeClr val="tx1"/>
                                </a:solidFill>
                                <a:effectLst/>
                                <a:latin typeface="Cambria Math" panose="02040503050406030204" pitchFamily="18" charset="0"/>
                                <a:ea typeface="+mn-ea"/>
                                <a:cs typeface="+mn-cs"/>
                              </a:rPr>
                            </m:ctrlPr>
                          </m:sSubPr>
                          <m:e>
                            <m:r>
                              <a:rPr lang="en-US" sz="1100" b="0" i="1" baseline="0">
                                <a:solidFill>
                                  <a:schemeClr val="tx1"/>
                                </a:solidFill>
                                <a:effectLst/>
                                <a:latin typeface="Cambria Math" panose="02040503050406030204" pitchFamily="18" charset="0"/>
                                <a:ea typeface="+mn-ea"/>
                                <a:cs typeface="+mn-cs"/>
                              </a:rPr>
                              <m:t>𝑊</m:t>
                            </m:r>
                          </m:e>
                          <m:sub>
                            <m:r>
                              <a:rPr lang="en-US" sz="1100" b="0" i="1" baseline="0">
                                <a:solidFill>
                                  <a:schemeClr val="tx1"/>
                                </a:solidFill>
                                <a:effectLst/>
                                <a:latin typeface="Cambria Math" panose="02040503050406030204" pitchFamily="18" charset="0"/>
                                <a:ea typeface="+mn-ea"/>
                                <a:cs typeface="+mn-cs"/>
                              </a:rPr>
                              <m:t>𝑖𝑛𝑡𝑒𝑟</m:t>
                            </m:r>
                          </m:sub>
                        </m:sSub>
                      </m:den>
                    </m:f>
                    <m:r>
                      <a:rPr lang="en-US" sz="1100" b="0" i="1" baseline="0">
                        <a:solidFill>
                          <a:schemeClr val="tx1"/>
                        </a:solidFill>
                        <a:effectLst/>
                        <a:latin typeface="Cambria Math" panose="02040503050406030204" pitchFamily="18" charset="0"/>
                        <a:ea typeface="+mn-ea"/>
                        <a:cs typeface="+mn-cs"/>
                      </a:rPr>
                      <m:t>]</m:t>
                    </m:r>
                    <m:r>
                      <a:rPr lang="en-GB" sz="1100" i="1" baseline="0">
                        <a:solidFill>
                          <a:schemeClr val="tx1"/>
                        </a:solidFill>
                        <a:effectLst/>
                        <a:latin typeface="Cambria Math" panose="02040503050406030204" pitchFamily="18" charset="0"/>
                        <a:ea typeface="+mn-ea"/>
                        <a:cs typeface="+mn-cs"/>
                      </a:rPr>
                      <m:t> </m:t>
                    </m:r>
                  </m:oMath>
                </m:oMathPara>
              </a14:m>
              <a:endParaRPr lang="en-GB" sz="1100">
                <a:solidFill>
                  <a:srgbClr val="FF0000"/>
                </a:solidFill>
              </a:endParaRPr>
            </a:p>
          </xdr:txBody>
        </xdr:sp>
      </mc:Choice>
      <mc:Fallback xmlns="">
        <xdr:sp macro="" textlink="">
          <xdr:nvSpPr>
            <xdr:cNvPr id="13" name="TextBox 95">
              <a:extLst>
                <a:ext uri="{FF2B5EF4-FFF2-40B4-BE49-F238E27FC236}">
                  <a16:creationId xmlns:a16="http://schemas.microsoft.com/office/drawing/2014/main" id="{A6DB3F73-D7B7-4EDC-891D-7476B439CDB9}"/>
                </a:ext>
              </a:extLst>
            </xdr:cNvPr>
            <xdr:cNvSpPr txBox="1"/>
          </xdr:nvSpPr>
          <xdr:spPr>
            <a:xfrm>
              <a:off x="3260481" y="15936058"/>
              <a:ext cx="5995866" cy="34657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chemeClr val="tx1"/>
                  </a:solidFill>
                  <a:latin typeface="Cambria Math" panose="02040503050406030204" pitchFamily="18" charset="0"/>
                </a:rPr>
                <a:t>𝑀_𝑏=max[𝐶_𝑖𝑛𝑡𝑟𝑎</a:t>
              </a:r>
              <a:r>
                <a:rPr lang="en-GB" sz="1100" b="0" i="0" baseline="0">
                  <a:solidFill>
                    <a:schemeClr val="tx1"/>
                  </a:solidFill>
                  <a:effectLst/>
                  <a:latin typeface="Cambria Math" panose="02040503050406030204" pitchFamily="18" charset="0"/>
                  <a:ea typeface="+mn-ea"/>
                  <a:cs typeface="+mn-cs"/>
                </a:rPr>
                <a:t> </a:t>
              </a:r>
              <a:r>
                <a:rPr lang="en-GB" sz="1100" i="0" baseline="0">
                  <a:solidFill>
                    <a:schemeClr val="tx1"/>
                  </a:solidFill>
                  <a:effectLst/>
                  <a:latin typeface="Cambria Math" panose="02040503050406030204" pitchFamily="18" charset="0"/>
                  <a:ea typeface="+mn-ea"/>
                  <a:cs typeface="+mn-cs"/>
                </a:rPr>
                <a:t>  +</a:t>
              </a:r>
              <a:r>
                <a:rPr lang="en-US" sz="1100" b="0" i="0" baseline="0">
                  <a:solidFill>
                    <a:schemeClr val="tx1"/>
                  </a:solidFill>
                  <a:effectLst/>
                  <a:latin typeface="Cambria Math" panose="02040503050406030204" pitchFamily="18" charset="0"/>
                  <a:ea typeface="+mn-ea"/>
                  <a:cs typeface="+mn-cs"/>
                </a:rPr>
                <a:t>𝑁_(𝑒𝑟𝑟_𝑖𝑛𝑡𝑟𝑎 ) (𝐿, 𝑝) ∗  𝑆_𝑒𝑟𝑟</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𝐵𝑊_𝑖𝑛𝑡𝑟𝑎 </a:t>
              </a:r>
              <a:r>
                <a:rPr lang="en-GB" sz="1100" b="0" i="0" baseline="0">
                  <a:solidFill>
                    <a:schemeClr val="tx1"/>
                  </a:solidFill>
                  <a:effectLst/>
                  <a:latin typeface="Cambria Math" panose="02040503050406030204" pitchFamily="18" charset="0"/>
                  <a:ea typeface="+mn-ea"/>
                  <a:cs typeface="+mn-cs"/>
                </a:rPr>
                <a:t>)</a:t>
              </a:r>
              <a:r>
                <a:rPr lang="en-US" sz="1100" b="0" i="0" baseline="0">
                  <a:solidFill>
                    <a:schemeClr val="tx1"/>
                  </a:solidFill>
                  <a:effectLst/>
                  <a:latin typeface="Cambria Math" panose="02040503050406030204" pitchFamily="18" charset="0"/>
                  <a:ea typeface="+mn-ea"/>
                  <a:cs typeface="+mn-cs"/>
                </a:rPr>
                <a:t>,𝐶_𝑖𝑛𝑡𝑒𝑟+𝑁_(𝑒𝑟𝑟_𝑖𝑛𝑡𝑒𝑟 )∗𝑆_𝑒𝑟𝑟/(𝐵𝑊_𝑖𝑛𝑡𝑒𝑟 )]</a:t>
              </a:r>
              <a:r>
                <a:rPr lang="en-GB" sz="1100" i="0" baseline="0">
                  <a:solidFill>
                    <a:schemeClr val="tx1"/>
                  </a:solidFill>
                  <a:effectLst/>
                  <a:latin typeface="Cambria Math" panose="02040503050406030204" pitchFamily="18" charset="0"/>
                  <a:ea typeface="+mn-ea"/>
                  <a:cs typeface="+mn-cs"/>
                </a:rPr>
                <a:t> </a:t>
              </a:r>
              <a:endParaRPr lang="en-GB" sz="1100">
                <a:solidFill>
                  <a:srgbClr val="FF0000"/>
                </a:solidFill>
              </a:endParaRPr>
            </a:p>
          </xdr:txBody>
        </xdr:sp>
      </mc:Fallback>
    </mc:AlternateContent>
    <xdr:clientData/>
  </xdr:oneCellAnchor>
  <xdr:oneCellAnchor>
    <xdr:from>
      <xdr:col>1</xdr:col>
      <xdr:colOff>0</xdr:colOff>
      <xdr:row>127</xdr:row>
      <xdr:rowOff>0</xdr:rowOff>
    </xdr:from>
    <xdr:ext cx="5189904" cy="349968"/>
    <mc:AlternateContent xmlns:mc="http://schemas.openxmlformats.org/markup-compatibility/2006" xmlns:a14="http://schemas.microsoft.com/office/drawing/2010/main">
      <mc:Choice Requires="a14">
        <xdr:sp macro="" textlink="">
          <xdr:nvSpPr>
            <xdr:cNvPr id="768" name="TextBox 90">
              <a:extLst>
                <a:ext uri="{FF2B5EF4-FFF2-40B4-BE49-F238E27FC236}">
                  <a16:creationId xmlns:a16="http://schemas.microsoft.com/office/drawing/2014/main" id="{00000000-0008-0000-0500-000000030000}"/>
                </a:ext>
              </a:extLst>
            </xdr:cNvPr>
            <xdr:cNvSpPr txBox="1"/>
          </xdr:nvSpPr>
          <xdr:spPr>
            <a:xfrm>
              <a:off x="3260481" y="25332837"/>
              <a:ext cx="5189904" cy="34996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𝑀</m:t>
                        </m:r>
                      </m:e>
                      <m:sub>
                        <m:r>
                          <a:rPr lang="en-US" sz="1100" b="0" i="1">
                            <a:solidFill>
                              <a:srgbClr val="FF0000"/>
                            </a:solidFill>
                            <a:latin typeface="Cambria Math" panose="02040503050406030204" pitchFamily="18" charset="0"/>
                          </a:rPr>
                          <m:t>𝑎𝑙𝑙𝑟𝑒𝑑𝑢𝑐𝑒</m:t>
                        </m:r>
                      </m:sub>
                    </m:sSub>
                    <m:r>
                      <a:rPr lang="en-US" sz="1100" b="0" i="1" baseline="0">
                        <a:solidFill>
                          <a:srgbClr val="FF0000"/>
                        </a:solidFill>
                        <a:latin typeface="Cambria Math" panose="02040503050406030204" pitchFamily="18" charset="0"/>
                      </a:rPr>
                      <m:t>= </m:t>
                    </m:r>
                    <m:r>
                      <a:rPr lang="en-GB" sz="1100" i="1">
                        <a:solidFill>
                          <a:srgbClr val="FF0000"/>
                        </a:solidFill>
                        <a:latin typeface="Cambria Math" panose="02040503050406030204" pitchFamily="18" charset="0"/>
                      </a:rPr>
                      <m:t> </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𝑚𝑎𝑥</m:t>
                        </m:r>
                        <m:r>
                          <a:rPr lang="en-US" sz="1100" b="0" i="1">
                            <a:solidFill>
                              <a:srgbClr val="FF0000"/>
                            </a:solidFill>
                            <a:latin typeface="Cambria Math" panose="02040503050406030204" pitchFamily="18" charset="0"/>
                          </a:rPr>
                          <m:t>(</m:t>
                        </m:r>
                        <m:r>
                          <a:rPr lang="en-US" sz="1100" b="0" i="1">
                            <a:solidFill>
                              <a:srgbClr val="FF0000"/>
                            </a:solidFill>
                            <a:latin typeface="Cambria Math" panose="02040503050406030204" pitchFamily="18" charset="0"/>
                          </a:rPr>
                          <m:t>𝐶</m:t>
                        </m:r>
                      </m:e>
                      <m:sub>
                        <m:r>
                          <a:rPr lang="en-US" sz="1100" b="0" i="1">
                            <a:solidFill>
                              <a:srgbClr val="FF0000"/>
                            </a:solidFill>
                            <a:latin typeface="Cambria Math" panose="02040503050406030204" pitchFamily="18" charset="0"/>
                          </a:rPr>
                          <m:t>𝑖𝑛𝑡𝑟𝑎</m:t>
                        </m:r>
                      </m:sub>
                    </m:sSub>
                    <m:r>
                      <a:rPr lang="en-GB" sz="1100" i="1" baseline="0">
                        <a:solidFill>
                          <a:srgbClr val="FF0000"/>
                        </a:solidFill>
                        <a:latin typeface="Cambria Math" panose="02040503050406030204" pitchFamily="18" charset="0"/>
                      </a:rPr>
                      <m:t>  + </m:t>
                    </m:r>
                    <m:r>
                      <a:rPr lang="en-US" sz="1100" b="0" i="1" baseline="0">
                        <a:solidFill>
                          <a:srgbClr val="FF0000"/>
                        </a:solidFill>
                        <a:latin typeface="Cambria Math" panose="02040503050406030204" pitchFamily="18" charset="0"/>
                      </a:rPr>
                      <m:t> </m:t>
                    </m:r>
                    <m:f>
                      <m:fPr>
                        <m:ctrlPr>
                          <a:rPr lang="en-GB" sz="1100" i="1" baseline="0">
                            <a:solidFill>
                              <a:srgbClr val="FF0000"/>
                            </a:solidFill>
                            <a:latin typeface="Cambria Math" panose="02040503050406030204" pitchFamily="18" charset="0"/>
                          </a:rPr>
                        </m:ctrlPr>
                      </m:fPr>
                      <m:num>
                        <m:r>
                          <a:rPr lang="en-US" sz="1100" b="0" i="1" baseline="0">
                            <a:solidFill>
                              <a:srgbClr val="FF0000"/>
                            </a:solidFill>
                            <a:latin typeface="Cambria Math" panose="02040503050406030204" pitchFamily="18" charset="0"/>
                          </a:rPr>
                          <m:t>𝑎</m:t>
                        </m:r>
                      </m:num>
                      <m:den>
                        <m:r>
                          <a:rPr lang="en-US" sz="1100" b="0" i="1" baseline="0">
                            <a:solidFill>
                              <a:srgbClr val="FF0000"/>
                            </a:solidFill>
                            <a:latin typeface="Cambria Math" panose="02040503050406030204" pitchFamily="18" charset="0"/>
                          </a:rPr>
                          <m:t>𝐵</m:t>
                        </m:r>
                        <m:sSub>
                          <m:sSubPr>
                            <m:ctrlPr>
                              <a:rPr lang="en-US" sz="1100" b="0" i="1" baseline="0">
                                <a:solidFill>
                                  <a:srgbClr val="FF0000"/>
                                </a:solidFill>
                                <a:latin typeface="Cambria Math" panose="02040503050406030204" pitchFamily="18" charset="0"/>
                              </a:rPr>
                            </m:ctrlPr>
                          </m:sSubPr>
                          <m:e>
                            <m:r>
                              <a:rPr lang="en-US" sz="1100" b="0" i="1" baseline="0">
                                <a:solidFill>
                                  <a:srgbClr val="FF0000"/>
                                </a:solidFill>
                                <a:latin typeface="Cambria Math" panose="02040503050406030204" pitchFamily="18" charset="0"/>
                              </a:rPr>
                              <m:t>𝑊</m:t>
                            </m:r>
                          </m:e>
                          <m:sub>
                            <m:r>
                              <a:rPr lang="en-US" sz="1100" b="0" i="1" baseline="0">
                                <a:solidFill>
                                  <a:srgbClr val="FF0000"/>
                                </a:solidFill>
                                <a:latin typeface="Cambria Math" panose="02040503050406030204" pitchFamily="18" charset="0"/>
                              </a:rPr>
                              <m:t>𝑖𝑛𝑡𝑟𝑎</m:t>
                            </m:r>
                          </m:sub>
                        </m:sSub>
                      </m:den>
                    </m:f>
                    <m:r>
                      <a:rPr lang="en-GB" sz="1100" i="1" baseline="0">
                        <a:solidFill>
                          <a:srgbClr val="FF0000"/>
                        </a:solidFill>
                        <a:latin typeface="Cambria Math" panose="02040503050406030204" pitchFamily="18" charset="0"/>
                      </a:rPr>
                      <m:t> </m:t>
                    </m:r>
                    <m:r>
                      <a:rPr lang="en-US" sz="1100" b="0" i="1" baseline="0">
                        <a:solidFill>
                          <a:srgbClr val="FF0000"/>
                        </a:solidFill>
                        <a:latin typeface="Cambria Math" panose="02040503050406030204" pitchFamily="18" charset="0"/>
                      </a:rPr>
                      <m:t>, </m:t>
                    </m:r>
                    <m:sSub>
                      <m:sSubPr>
                        <m:ctrlPr>
                          <a:rPr lang="en-US" sz="1100" b="0" i="1" baseline="0">
                            <a:solidFill>
                              <a:srgbClr val="FF0000"/>
                            </a:solidFill>
                            <a:latin typeface="Cambria Math" panose="02040503050406030204" pitchFamily="18" charset="0"/>
                          </a:rPr>
                        </m:ctrlPr>
                      </m:sSubPr>
                      <m:e>
                        <m:r>
                          <a:rPr lang="en-US" sz="1100" b="0" i="1" baseline="0">
                            <a:solidFill>
                              <a:srgbClr val="FF0000"/>
                            </a:solidFill>
                            <a:latin typeface="Cambria Math" panose="02040503050406030204" pitchFamily="18" charset="0"/>
                          </a:rPr>
                          <m:t>𝐶</m:t>
                        </m:r>
                      </m:e>
                      <m:sub>
                        <m:r>
                          <a:rPr lang="en-US" sz="1100" b="0" i="1" baseline="0">
                            <a:solidFill>
                              <a:srgbClr val="FF0000"/>
                            </a:solidFill>
                            <a:latin typeface="Cambria Math" panose="02040503050406030204" pitchFamily="18" charset="0"/>
                          </a:rPr>
                          <m:t>𝑖𝑛𝑡𝑒𝑟</m:t>
                        </m:r>
                      </m:sub>
                    </m:sSub>
                    <m:r>
                      <a:rPr lang="en-US" sz="1100" b="0" i="1" baseline="0">
                        <a:solidFill>
                          <a:srgbClr val="FF0000"/>
                        </a:solidFill>
                        <a:latin typeface="Cambria Math" panose="02040503050406030204" pitchFamily="18" charset="0"/>
                      </a:rPr>
                      <m:t>+</m:t>
                    </m:r>
                    <m:f>
                      <m:fPr>
                        <m:ctrlPr>
                          <a:rPr lang="en-US" sz="1100" b="0" i="1" baseline="0">
                            <a:solidFill>
                              <a:srgbClr val="FF0000"/>
                            </a:solidFill>
                            <a:latin typeface="Cambria Math" panose="02040503050406030204" pitchFamily="18" charset="0"/>
                          </a:rPr>
                        </m:ctrlPr>
                      </m:fPr>
                      <m:num>
                        <m:r>
                          <a:rPr lang="en-US" sz="1100" b="0" i="1" baseline="0">
                            <a:solidFill>
                              <a:srgbClr val="FF0000"/>
                            </a:solidFill>
                            <a:latin typeface="Cambria Math" panose="02040503050406030204" pitchFamily="18" charset="0"/>
                          </a:rPr>
                          <m:t>𝑏</m:t>
                        </m:r>
                      </m:num>
                      <m:den>
                        <m:r>
                          <a:rPr lang="en-US" sz="1100" b="0" i="1" baseline="0">
                            <a:solidFill>
                              <a:srgbClr val="FF0000"/>
                            </a:solidFill>
                            <a:latin typeface="Cambria Math" panose="02040503050406030204" pitchFamily="18" charset="0"/>
                          </a:rPr>
                          <m:t>𝐵</m:t>
                        </m:r>
                        <m:sSub>
                          <m:sSubPr>
                            <m:ctrlPr>
                              <a:rPr lang="en-US" sz="1100" b="0" i="1" baseline="0">
                                <a:solidFill>
                                  <a:srgbClr val="FF0000"/>
                                </a:solidFill>
                                <a:latin typeface="Cambria Math" panose="02040503050406030204" pitchFamily="18" charset="0"/>
                              </a:rPr>
                            </m:ctrlPr>
                          </m:sSubPr>
                          <m:e>
                            <m:r>
                              <a:rPr lang="en-US" sz="1100" b="0" i="1" baseline="0">
                                <a:solidFill>
                                  <a:srgbClr val="FF0000"/>
                                </a:solidFill>
                                <a:latin typeface="Cambria Math" panose="02040503050406030204" pitchFamily="18" charset="0"/>
                              </a:rPr>
                              <m:t>𝑊</m:t>
                            </m:r>
                          </m:e>
                          <m:sub>
                            <m:r>
                              <a:rPr lang="en-US" sz="1100" b="0" i="1" baseline="0">
                                <a:solidFill>
                                  <a:srgbClr val="FF0000"/>
                                </a:solidFill>
                                <a:latin typeface="Cambria Math" panose="02040503050406030204" pitchFamily="18" charset="0"/>
                              </a:rPr>
                              <m:t>𝑖𝑛𝑡𝑒𝑟</m:t>
                            </m:r>
                          </m:sub>
                        </m:sSub>
                      </m:den>
                    </m:f>
                    <m:r>
                      <a:rPr lang="en-US" sz="1100" b="0" i="1" baseline="0">
                        <a:solidFill>
                          <a:srgbClr val="FF0000"/>
                        </a:solidFill>
                        <a:latin typeface="Cambria Math" panose="02040503050406030204" pitchFamily="18" charset="0"/>
                      </a:rPr>
                      <m:t>)</m:t>
                    </m:r>
                  </m:oMath>
                </m:oMathPara>
              </a14:m>
              <a:endParaRPr lang="en-GB" sz="1100" baseline="0">
                <a:solidFill>
                  <a:srgbClr val="FF0000"/>
                </a:solidFill>
              </a:endParaRPr>
            </a:p>
          </xdr:txBody>
        </xdr:sp>
      </mc:Choice>
      <mc:Fallback xmlns="">
        <xdr:sp macro="" textlink="">
          <xdr:nvSpPr>
            <xdr:cNvPr id="14" name="TextBox 90">
              <a:extLst>
                <a:ext uri="{FF2B5EF4-FFF2-40B4-BE49-F238E27FC236}">
                  <a16:creationId xmlns:a16="http://schemas.microsoft.com/office/drawing/2014/main" id="{A82EABF8-1049-4C6A-888A-AAF9A6CAE241}"/>
                </a:ext>
              </a:extLst>
            </xdr:cNvPr>
            <xdr:cNvSpPr txBox="1"/>
          </xdr:nvSpPr>
          <xdr:spPr>
            <a:xfrm>
              <a:off x="3260481" y="25332837"/>
              <a:ext cx="5189904" cy="34996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rgbClr val="FF0000"/>
                  </a:solidFill>
                  <a:latin typeface="Cambria Math" panose="02040503050406030204" pitchFamily="18" charset="0"/>
                </a:rPr>
                <a:t>𝑀_𝑎𝑙𝑙𝑟𝑒𝑑𝑢𝑐𝑒</a:t>
              </a:r>
              <a:r>
                <a:rPr lang="en-US" sz="1100" b="0" i="0" baseline="0">
                  <a:solidFill>
                    <a:srgbClr val="FF0000"/>
                  </a:solidFill>
                  <a:latin typeface="Cambria Math" panose="02040503050406030204" pitchFamily="18" charset="0"/>
                </a:rPr>
                <a:t>= </a:t>
              </a:r>
              <a:r>
                <a:rPr lang="en-GB" sz="1100" i="0">
                  <a:solidFill>
                    <a:srgbClr val="FF0000"/>
                  </a:solidFill>
                  <a:latin typeface="Cambria Math" panose="02040503050406030204" pitchFamily="18" charset="0"/>
                </a:rPr>
                <a:t> </a:t>
              </a:r>
              <a:r>
                <a:rPr lang="en-US" sz="1100" b="0" i="0">
                  <a:solidFill>
                    <a:srgbClr val="FF0000"/>
                  </a:solidFill>
                  <a:latin typeface="Cambria Math" panose="02040503050406030204" pitchFamily="18" charset="0"/>
                </a:rPr>
                <a:t>〖𝑚𝑎𝑥(𝐶〗_𝑖𝑛𝑡𝑟𝑎</a:t>
              </a:r>
              <a:r>
                <a:rPr lang="en-GB" sz="1100" b="0" i="0" baseline="0">
                  <a:solidFill>
                    <a:srgbClr val="FF0000"/>
                  </a:solidFill>
                  <a:latin typeface="Cambria Math" panose="02040503050406030204" pitchFamily="18" charset="0"/>
                </a:rPr>
                <a:t> </a:t>
              </a:r>
              <a:r>
                <a:rPr lang="en-GB" sz="1100" i="0" baseline="0">
                  <a:solidFill>
                    <a:srgbClr val="FF0000"/>
                  </a:solidFill>
                  <a:latin typeface="Cambria Math" panose="02040503050406030204" pitchFamily="18" charset="0"/>
                </a:rPr>
                <a:t>  + </a:t>
              </a:r>
              <a:r>
                <a:rPr lang="en-US" sz="1100" b="0" i="0" baseline="0">
                  <a:solidFill>
                    <a:srgbClr val="FF0000"/>
                  </a:solidFill>
                  <a:latin typeface="Cambria Math" panose="02040503050406030204" pitchFamily="18" charset="0"/>
                </a:rPr>
                <a:t>  𝑎</a:t>
              </a:r>
              <a:r>
                <a:rPr lang="en-GB" sz="1100" b="0" i="0" baseline="0">
                  <a:solidFill>
                    <a:srgbClr val="FF0000"/>
                  </a:solidFill>
                  <a:latin typeface="Cambria Math" panose="02040503050406030204" pitchFamily="18" charset="0"/>
                </a:rPr>
                <a:t>/(</a:t>
              </a:r>
              <a:r>
                <a:rPr lang="en-US" sz="1100" b="0" i="0" baseline="0">
                  <a:solidFill>
                    <a:srgbClr val="FF0000"/>
                  </a:solidFill>
                  <a:latin typeface="Cambria Math" panose="02040503050406030204" pitchFamily="18" charset="0"/>
                </a:rPr>
                <a:t>𝐵𝑊_𝑖𝑛𝑡𝑟𝑎 </a:t>
              </a:r>
              <a:r>
                <a:rPr lang="en-GB" sz="1100" b="0" i="0" baseline="0">
                  <a:solidFill>
                    <a:srgbClr val="FF0000"/>
                  </a:solidFill>
                  <a:latin typeface="Cambria Math" panose="02040503050406030204" pitchFamily="18" charset="0"/>
                </a:rPr>
                <a:t>) </a:t>
              </a:r>
              <a:r>
                <a:rPr lang="en-GB" sz="1100" i="0" baseline="0">
                  <a:solidFill>
                    <a:srgbClr val="FF0000"/>
                  </a:solidFill>
                  <a:latin typeface="Cambria Math" panose="02040503050406030204" pitchFamily="18" charset="0"/>
                </a:rPr>
                <a:t> </a:t>
              </a:r>
              <a:r>
                <a:rPr lang="en-US" sz="1100" b="0" i="0" baseline="0">
                  <a:solidFill>
                    <a:srgbClr val="FF0000"/>
                  </a:solidFill>
                  <a:latin typeface="Cambria Math" panose="02040503050406030204" pitchFamily="18" charset="0"/>
                </a:rPr>
                <a:t>, 𝐶_𝑖𝑛𝑡𝑒𝑟+𝑏/(𝐵𝑊_𝑖𝑛𝑡𝑒𝑟 ))</a:t>
              </a:r>
              <a:endParaRPr lang="en-GB" sz="1100" baseline="0">
                <a:solidFill>
                  <a:srgbClr val="FF0000"/>
                </a:solidFill>
              </a:endParaRPr>
            </a:p>
          </xdr:txBody>
        </xdr:sp>
      </mc:Fallback>
    </mc:AlternateContent>
    <xdr:clientData/>
  </xdr:oneCellAnchor>
  <xdr:oneCellAnchor>
    <xdr:from>
      <xdr:col>1</xdr:col>
      <xdr:colOff>0</xdr:colOff>
      <xdr:row>57</xdr:row>
      <xdr:rowOff>0</xdr:rowOff>
    </xdr:from>
    <xdr:ext cx="2505075" cy="619125"/>
    <mc:AlternateContent xmlns:mc="http://schemas.openxmlformats.org/markup-compatibility/2006" xmlns:a14="http://schemas.microsoft.com/office/drawing/2010/main">
      <mc:Choice Requires="a14">
        <xdr:sp macro="" textlink="">
          <xdr:nvSpPr>
            <xdr:cNvPr id="132" name="TextBox 76">
              <a:extLst>
                <a:ext uri="{FF2B5EF4-FFF2-40B4-BE49-F238E27FC236}">
                  <a16:creationId xmlns:a16="http://schemas.microsoft.com/office/drawing/2014/main" id="{00000000-0008-0000-0500-0000EB030000}"/>
                </a:ext>
              </a:extLst>
            </xdr:cNvPr>
            <xdr:cNvSpPr txBox="1"/>
          </xdr:nvSpPr>
          <xdr:spPr>
            <a:xfrm>
              <a:off x="3257550" y="9953625"/>
              <a:ext cx="2505075" cy="619125"/>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200" b="0" i="1">
                          <a:solidFill>
                            <a:sysClr val="windowText" lastClr="000000"/>
                          </a:solidFill>
                          <a:latin typeface="Cambria Math" panose="02040503050406030204" pitchFamily="18" charset="0"/>
                        </a:rPr>
                      </m:ctrlPr>
                    </m:sSubPr>
                    <m:e>
                      <m:r>
                        <a:rPr lang="en-US" sz="1200" b="0" i="1">
                          <a:solidFill>
                            <a:sysClr val="windowText" lastClr="000000"/>
                          </a:solidFill>
                          <a:latin typeface="Cambria Math" panose="02040503050406030204" pitchFamily="18" charset="0"/>
                        </a:rPr>
                        <m:t>𝐶</m:t>
                      </m:r>
                    </m:e>
                    <m:sub>
                      <m:r>
                        <a:rPr lang="en-US" sz="1200" b="0" i="1">
                          <a:solidFill>
                            <a:sysClr val="windowText" lastClr="000000"/>
                          </a:solidFill>
                          <a:latin typeface="Cambria Math" panose="02040503050406030204" pitchFamily="18" charset="0"/>
                        </a:rPr>
                        <m:t>𝑀𝐴𝐶</m:t>
                      </m:r>
                    </m:sub>
                  </m:sSub>
                  <m:r>
                    <a:rPr lang="en-US" sz="1200" b="0" i="1">
                      <a:solidFill>
                        <a:sysClr val="windowText" lastClr="000000"/>
                      </a:solidFill>
                      <a:latin typeface="Cambria Math" panose="02040503050406030204" pitchFamily="18" charset="0"/>
                    </a:rPr>
                    <m:t>=</m:t>
                  </m:r>
                  <m:f>
                    <m:fPr>
                      <m:ctrlPr>
                        <a:rPr lang="en-US" sz="1200" b="0" i="1">
                          <a:solidFill>
                            <a:sysClr val="windowText" lastClr="000000"/>
                          </a:solidFill>
                          <a:latin typeface="Cambria Math" panose="02040503050406030204" pitchFamily="18" charset="0"/>
                        </a:rPr>
                      </m:ctrlPr>
                    </m:fPr>
                    <m:num>
                      <m:sSub>
                        <m:sSubPr>
                          <m:ctrlPr>
                            <a:rPr lang="en-US" sz="1200" b="0" i="1">
                              <a:solidFill>
                                <a:sysClr val="windowText" lastClr="000000"/>
                              </a:solidFill>
                              <a:latin typeface="Cambria Math" panose="02040503050406030204" pitchFamily="18" charset="0"/>
                            </a:rPr>
                          </m:ctrlPr>
                        </m:sSubPr>
                        <m:e>
                          <m:r>
                            <a:rPr lang="en-US" sz="1200" b="0" i="1">
                              <a:solidFill>
                                <a:sysClr val="windowText" lastClr="000000"/>
                              </a:solidFill>
                              <a:latin typeface="Cambria Math" panose="02040503050406030204" pitchFamily="18" charset="0"/>
                            </a:rPr>
                            <m:t>𝑆</m:t>
                          </m:r>
                        </m:e>
                        <m:sub>
                          <m:r>
                            <a:rPr lang="en-US" sz="1200" b="0" i="1">
                              <a:solidFill>
                                <a:sysClr val="windowText" lastClr="000000"/>
                              </a:solidFill>
                              <a:latin typeface="Cambria Math" panose="02040503050406030204" pitchFamily="18" charset="0"/>
                            </a:rPr>
                            <m:t>𝑜𝑝</m:t>
                          </m:r>
                        </m:sub>
                      </m:sSub>
                    </m:num>
                    <m:den>
                      <m:r>
                        <a:rPr lang="en-US" sz="1200" b="0" i="1">
                          <a:solidFill>
                            <a:sysClr val="windowText" lastClr="000000"/>
                          </a:solidFill>
                          <a:latin typeface="Cambria Math" panose="02040503050406030204" pitchFamily="18" charset="0"/>
                        </a:rPr>
                        <m:t>𝑓</m:t>
                      </m:r>
                      <m:r>
                        <a:rPr lang="en-US" sz="1200" b="0" i="1">
                          <a:solidFill>
                            <a:sysClr val="windowText" lastClr="000000"/>
                          </a:solidFill>
                          <a:latin typeface="Cambria Math" panose="02040503050406030204" pitchFamily="18" charset="0"/>
                        </a:rPr>
                        <m:t>∗</m:t>
                      </m:r>
                      <m:sSub>
                        <m:sSubPr>
                          <m:ctrlPr>
                            <a:rPr lang="en-US" sz="1200" b="0" i="1">
                              <a:solidFill>
                                <a:sysClr val="windowText" lastClr="000000"/>
                              </a:solidFill>
                              <a:latin typeface="Cambria Math" panose="02040503050406030204" pitchFamily="18" charset="0"/>
                            </a:rPr>
                          </m:ctrlPr>
                        </m:sSubPr>
                        <m:e>
                          <m:r>
                            <a:rPr lang="en-US" sz="1200" b="0" i="1">
                              <a:solidFill>
                                <a:sysClr val="windowText" lastClr="000000"/>
                              </a:solidFill>
                              <a:latin typeface="Cambria Math" panose="02040503050406030204" pitchFamily="18" charset="0"/>
                            </a:rPr>
                            <m:t>𝑁</m:t>
                          </m:r>
                        </m:e>
                        <m:sub>
                          <m:r>
                            <a:rPr lang="en-US" sz="1200" b="0" i="1">
                              <a:solidFill>
                                <a:sysClr val="windowText" lastClr="000000"/>
                              </a:solidFill>
                              <a:latin typeface="Cambria Math" panose="02040503050406030204" pitchFamily="18" charset="0"/>
                            </a:rPr>
                            <m:t>𝑐𝑜𝑟𝑒𝑠</m:t>
                          </m:r>
                        </m:sub>
                      </m:sSub>
                      <m:r>
                        <a:rPr lang="en-US" sz="1200" b="0" i="1">
                          <a:solidFill>
                            <a:sysClr val="windowText" lastClr="000000"/>
                          </a:solidFill>
                          <a:latin typeface="Cambria Math" panose="02040503050406030204" pitchFamily="18" charset="0"/>
                        </a:rPr>
                        <m:t>∗</m:t>
                      </m:r>
                      <m:sSub>
                        <m:sSubPr>
                          <m:ctrlPr>
                            <a:rPr lang="en-US" sz="1200" b="0" i="1">
                              <a:solidFill>
                                <a:sysClr val="windowText" lastClr="000000"/>
                              </a:solidFill>
                              <a:latin typeface="Cambria Math" panose="02040503050406030204" pitchFamily="18" charset="0"/>
                            </a:rPr>
                          </m:ctrlPr>
                        </m:sSubPr>
                        <m:e>
                          <m:r>
                            <a:rPr lang="en-US" sz="1200" b="0" i="1">
                              <a:solidFill>
                                <a:sysClr val="windowText" lastClr="000000"/>
                              </a:solidFill>
                              <a:latin typeface="Cambria Math" panose="02040503050406030204" pitchFamily="18" charset="0"/>
                            </a:rPr>
                            <m:t>𝑁</m:t>
                          </m:r>
                        </m:e>
                        <m:sub>
                          <m:r>
                            <a:rPr lang="en-US" sz="1200" b="0" i="1">
                              <a:solidFill>
                                <a:sysClr val="windowText" lastClr="000000"/>
                              </a:solidFill>
                              <a:latin typeface="Cambria Math" panose="02040503050406030204" pitchFamily="18" charset="0"/>
                            </a:rPr>
                            <m:t>𝐹𝑈</m:t>
                          </m:r>
                        </m:sub>
                      </m:sSub>
                      <m:r>
                        <a:rPr lang="en-US" sz="1200" b="0" i="1">
                          <a:solidFill>
                            <a:sysClr val="windowText" lastClr="000000"/>
                          </a:solidFill>
                          <a:latin typeface="Cambria Math" panose="02040503050406030204" pitchFamily="18" charset="0"/>
                        </a:rPr>
                        <m:t>∗</m:t>
                      </m:r>
                      <m:sSub>
                        <m:sSubPr>
                          <m:ctrlPr>
                            <a:rPr lang="en-US" sz="1200" b="0" i="1">
                              <a:solidFill>
                                <a:sysClr val="windowText" lastClr="000000"/>
                              </a:solidFill>
                              <a:latin typeface="Cambria Math" panose="02040503050406030204" pitchFamily="18" charset="0"/>
                            </a:rPr>
                          </m:ctrlPr>
                        </m:sSubPr>
                        <m:e>
                          <m:r>
                            <a:rPr lang="en-US" sz="1200" b="0" i="1">
                              <a:solidFill>
                                <a:sysClr val="windowText" lastClr="000000"/>
                              </a:solidFill>
                              <a:latin typeface="Cambria Math" panose="02040503050406030204" pitchFamily="18" charset="0"/>
                            </a:rPr>
                            <m:t>𝑆</m:t>
                          </m:r>
                        </m:e>
                        <m:sub>
                          <m:r>
                            <a:rPr lang="en-US" sz="1200" b="0" i="1">
                              <a:solidFill>
                                <a:sysClr val="windowText" lastClr="000000"/>
                              </a:solidFill>
                              <a:latin typeface="Cambria Math" panose="02040503050406030204" pitchFamily="18" charset="0"/>
                            </a:rPr>
                            <m:t>𝐹𝑈</m:t>
                          </m:r>
                        </m:sub>
                      </m:sSub>
                    </m:den>
                  </m:f>
                </m:oMath>
              </a14:m>
              <a:r>
                <a:rPr lang="en-GB" sz="1200" i="1"/>
                <a:t> </a:t>
              </a:r>
            </a:p>
          </xdr:txBody>
        </xdr:sp>
      </mc:Choice>
      <mc:Fallback xmlns="">
        <xdr:sp macro="" textlink="">
          <xdr:nvSpPr>
            <xdr:cNvPr id="15" name="TextBox 76">
              <a:extLst>
                <a:ext uri="{FF2B5EF4-FFF2-40B4-BE49-F238E27FC236}">
                  <a16:creationId xmlns:a16="http://schemas.microsoft.com/office/drawing/2014/main" id="{45547777-F4C2-41CE-9E52-DB3C9770D658}"/>
                </a:ext>
              </a:extLst>
            </xdr:cNvPr>
            <xdr:cNvSpPr txBox="1"/>
          </xdr:nvSpPr>
          <xdr:spPr>
            <a:xfrm>
              <a:off x="3257550" y="9953625"/>
              <a:ext cx="2505075" cy="619125"/>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200" b="0" i="0">
                  <a:solidFill>
                    <a:sysClr val="windowText" lastClr="000000"/>
                  </a:solidFill>
                  <a:latin typeface="Cambria Math" panose="02040503050406030204" pitchFamily="18" charset="0"/>
                </a:rPr>
                <a:t>𝐶_𝑀𝐴𝐶=𝑆_𝑜𝑝/(𝑓∗𝑁_𝑐𝑜𝑟𝑒𝑠∗𝑁_𝐹𝑈∗𝑆_𝐹𝑈 )</a:t>
              </a:r>
              <a:r>
                <a:rPr lang="en-GB" sz="1200" i="1"/>
                <a:t> </a:t>
              </a:r>
            </a:p>
          </xdr:txBody>
        </xdr:sp>
      </mc:Fallback>
    </mc:AlternateContent>
    <xdr:clientData/>
  </xdr:oneCellAnchor>
  <xdr:twoCellAnchor>
    <xdr:from>
      <xdr:col>8</xdr:col>
      <xdr:colOff>276224</xdr:colOff>
      <xdr:row>2</xdr:row>
      <xdr:rowOff>142874</xdr:rowOff>
    </xdr:from>
    <xdr:to>
      <xdr:col>12</xdr:col>
      <xdr:colOff>990600</xdr:colOff>
      <xdr:row>12</xdr:row>
      <xdr:rowOff>219075</xdr:rowOff>
    </xdr:to>
    <xdr:graphicFrame macro="">
      <xdr:nvGraphicFramePr>
        <xdr:cNvPr id="1029" name="Chart 3">
          <a:extLst>
            <a:ext uri="{FF2B5EF4-FFF2-40B4-BE49-F238E27FC236}">
              <a16:creationId xmlns:a16="http://schemas.microsoft.com/office/drawing/2014/main" id="{00000000-0008-0000-0500-00000504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507389</xdr:colOff>
      <xdr:row>5</xdr:row>
      <xdr:rowOff>711994</xdr:rowOff>
    </xdr:from>
    <xdr:ext cx="65" cy="172227"/>
    <xdr:sp macro="" textlink="">
      <xdr:nvSpPr>
        <xdr:cNvPr id="960" name="TextBox 8">
          <a:extLst>
            <a:ext uri="{FF2B5EF4-FFF2-40B4-BE49-F238E27FC236}">
              <a16:creationId xmlns:a16="http://schemas.microsoft.com/office/drawing/2014/main" id="{00000000-0008-0000-0500-0000C0030000}"/>
            </a:ext>
          </a:extLst>
        </xdr:cNvPr>
        <xdr:cNvSpPr txBox="1"/>
      </xdr:nvSpPr>
      <xdr:spPr>
        <a:xfrm>
          <a:off x="6600825" y="16335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xdr:col>
      <xdr:colOff>0</xdr:colOff>
      <xdr:row>12</xdr:row>
      <xdr:rowOff>0</xdr:rowOff>
    </xdr:from>
    <xdr:ext cx="5851525" cy="788421"/>
    <mc:AlternateContent xmlns:mc="http://schemas.openxmlformats.org/markup-compatibility/2006" xmlns:a14="http://schemas.microsoft.com/office/drawing/2010/main">
      <mc:Choice Requires="a14">
        <xdr:sp macro="" textlink="">
          <xdr:nvSpPr>
            <xdr:cNvPr id="976" name="TextBox 2">
              <a:extLst>
                <a:ext uri="{FF2B5EF4-FFF2-40B4-BE49-F238E27FC236}">
                  <a16:creationId xmlns:a16="http://schemas.microsoft.com/office/drawing/2014/main" id="{00000000-0008-0000-0500-0000D0030000}"/>
                </a:ext>
              </a:extLst>
            </xdr:cNvPr>
            <xdr:cNvSpPr txBox="1"/>
          </xdr:nvSpPr>
          <xdr:spPr>
            <a:xfrm>
              <a:off x="3260481" y="3233005"/>
              <a:ext cx="5851525" cy="788421"/>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eqArr>
                      <m:eqArrPr>
                        <m:ctrlPr>
                          <a:rPr lang="en-US" sz="1100" b="0" i="1">
                            <a:latin typeface="Cambria Math" panose="02040503050406030204" pitchFamily="18" charset="0"/>
                          </a:rPr>
                        </m:ctrlPr>
                      </m:eqArrPr>
                      <m:e>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𝑚𝑢𝑙𝑡𝑖</m:t>
                            </m:r>
                            <m:r>
                              <a:rPr lang="en-US" sz="1100" b="0" i="1" baseline="-25000">
                                <a:latin typeface="Cambria Math" panose="02040503050406030204" pitchFamily="18" charset="0"/>
                              </a:rPr>
                              <m:t>𝑎𝑐𝑐𝑒𝑙</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𝑒𝑝𝑜𝑐h</m:t>
                            </m:r>
                          </m:sub>
                        </m:sSub>
                        <m:r>
                          <a:rPr lang="en-US" sz="1100" b="0" i="1">
                            <a:latin typeface="Cambria Math" panose="02040503050406030204" pitchFamily="18" charset="0"/>
                          </a:rPr>
                          <m:t>∗</m:t>
                        </m:r>
                        <m:d>
                          <m:dPr>
                            <m:begChr m:val="["/>
                            <m:endChr m:val="]"/>
                            <m:ctrlPr>
                              <a:rPr lang="en-US" sz="1100" b="0" i="1">
                                <a:latin typeface="Cambria Math" panose="02040503050406030204" pitchFamily="18" charset="0"/>
                              </a:rPr>
                            </m:ctrlPr>
                          </m:dPr>
                          <m:e>
                            <m:d>
                              <m:dPr>
                                <m:ctrlPr>
                                  <a:rPr lang="en-US" sz="1100" b="0" i="1">
                                    <a:latin typeface="Cambria Math" panose="02040503050406030204" pitchFamily="18" charset="0"/>
                                  </a:rPr>
                                </m:ctrlPr>
                              </m:dPr>
                              <m:e>
                                <m:nary>
                                  <m:naryPr>
                                    <m:chr m:val="∑"/>
                                    <m:supHide m:val="on"/>
                                    <m:ctrlPr>
                                      <a:rPr lang="en-US" sz="1100" b="0" i="1">
                                        <a:solidFill>
                                          <a:schemeClr val="tx1"/>
                                        </a:solidFill>
                                        <a:effectLst/>
                                        <a:latin typeface="Cambria Math" panose="02040503050406030204" pitchFamily="18" charset="0"/>
                                        <a:ea typeface="+mn-ea"/>
                                        <a:cs typeface="+mn-cs"/>
                                      </a:rPr>
                                    </m:ctrlPr>
                                  </m:naryPr>
                                  <m:sub>
                                    <m:r>
                                      <a:rPr lang="en-US" sz="1100" b="0" i="1">
                                        <a:solidFill>
                                          <a:schemeClr val="tx1"/>
                                        </a:solidFill>
                                        <a:effectLst/>
                                        <a:latin typeface="Cambria Math" panose="02040503050406030204" pitchFamily="18" charset="0"/>
                                        <a:ea typeface="+mn-ea"/>
                                        <a:cs typeface="+mn-cs"/>
                                      </a:rPr>
                                      <m:t>𝑙</m:t>
                                    </m:r>
                                  </m:sub>
                                  <m:sup/>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𝑓</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r>
                                          <a:rPr lang="en-US" sz="1100" b="0" i="1">
                                            <a:solidFill>
                                              <a:schemeClr val="tx1"/>
                                            </a:solidFill>
                                            <a:effectLst/>
                                            <a:latin typeface="Cambria Math" panose="02040503050406030204" pitchFamily="18" charset="0"/>
                                            <a:ea typeface="+mn-ea"/>
                                            <a:cs typeface="+mn-cs"/>
                                          </a:rPr>
                                          <m:t>𝑓</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𝑏</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𝑀</m:t>
                                        </m:r>
                                      </m:e>
                                      <m:sub>
                                        <m:r>
                                          <a:rPr lang="en-US" sz="1100" b="0" i="1">
                                            <a:solidFill>
                                              <a:schemeClr val="tx1"/>
                                            </a:solidFill>
                                            <a:effectLst/>
                                            <a:latin typeface="Cambria Math" panose="02040503050406030204" pitchFamily="18" charset="0"/>
                                            <a:ea typeface="+mn-ea"/>
                                            <a:cs typeface="+mn-cs"/>
                                          </a:rPr>
                                          <m:t>𝑏</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𝑙</m:t>
                                    </m:r>
                                    <m:r>
                                      <a:rPr lang="en-US" sz="1100" b="0" i="1">
                                        <a:solidFill>
                                          <a:schemeClr val="tx1"/>
                                        </a:solidFill>
                                        <a:effectLst/>
                                        <a:latin typeface="Cambria Math" panose="02040503050406030204" pitchFamily="18" charset="0"/>
                                        <a:ea typeface="+mn-ea"/>
                                        <a:cs typeface="+mn-cs"/>
                                      </a:rPr>
                                      <m:t>)</m:t>
                                    </m:r>
                                  </m:e>
                                </m:nary>
                                <m:r>
                                  <a:rPr lang="en-US" sz="1100" b="0" i="1">
                                    <a:solidFill>
                                      <a:schemeClr val="tx1"/>
                                    </a:solidFill>
                                    <a:effectLst/>
                                    <a:latin typeface="Cambria Math" panose="02040503050406030204" pitchFamily="18" charset="0"/>
                                    <a:ea typeface="+mn-ea"/>
                                    <a:cs typeface="+mn-cs"/>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𝑈</m:t>
                                    </m:r>
                                  </m:e>
                                  <m:sub>
                                    <m:r>
                                      <a:rPr lang="en-US" sz="1100" b="0" i="1">
                                        <a:solidFill>
                                          <a:schemeClr val="tx1"/>
                                        </a:solidFill>
                                        <a:effectLst/>
                                        <a:latin typeface="Cambria Math" panose="02040503050406030204" pitchFamily="18" charset="0"/>
                                        <a:ea typeface="+mn-ea"/>
                                        <a:cs typeface="+mn-cs"/>
                                      </a:rPr>
                                      <m:t>𝑤</m:t>
                                    </m:r>
                                  </m:sub>
                                </m:sSub>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r>
                                  <a:rPr lang="en-US" sz="1100" b="0" i="1">
                                    <a:solidFill>
                                      <a:schemeClr val="tx1"/>
                                    </a:solidFill>
                                    <a:effectLst/>
                                    <a:latin typeface="Cambria Math" panose="02040503050406030204" pitchFamily="18" charset="0"/>
                                    <a:ea typeface="+mn-ea"/>
                                    <a:cs typeface="+mn-cs"/>
                                  </a:rPr>
                                  <m:t>)∗</m:t>
                                </m:r>
                                <m:f>
                                  <m:fPr>
                                    <m:ctrlPr>
                                      <a:rPr lang="en-US" sz="1100" b="0" i="1">
                                        <a:solidFill>
                                          <a:schemeClr val="tx1"/>
                                        </a:solidFill>
                                        <a:effectLst/>
                                        <a:latin typeface="Cambria Math" panose="02040503050406030204" pitchFamily="18" charset="0"/>
                                        <a:ea typeface="+mn-ea"/>
                                        <a:cs typeface="+mn-cs"/>
                                      </a:rPr>
                                    </m:ctrlPr>
                                  </m:fPr>
                                  <m:num>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𝑁</m:t>
                                        </m:r>
                                      </m:e>
                                      <m:sub>
                                        <m:r>
                                          <a:rPr lang="en-US" sz="1100" b="0" i="1">
                                            <a:solidFill>
                                              <a:schemeClr val="tx1"/>
                                            </a:solidFill>
                                            <a:effectLst/>
                                            <a:latin typeface="Cambria Math" panose="02040503050406030204" pitchFamily="18" charset="0"/>
                                            <a:ea typeface="+mn-ea"/>
                                            <a:cs typeface="+mn-cs"/>
                                          </a:rPr>
                                          <m:t>𝑠𝑎𝑚𝑝𝑙𝑒</m:t>
                                        </m:r>
                                      </m:sub>
                                    </m:sSub>
                                  </m:num>
                                  <m:den>
                                    <m:r>
                                      <a:rPr lang="en-US" sz="1100" b="0" i="1">
                                        <a:solidFill>
                                          <a:schemeClr val="tx1"/>
                                        </a:solidFill>
                                        <a:effectLst/>
                                        <a:latin typeface="Cambria Math" panose="02040503050406030204" pitchFamily="18" charset="0"/>
                                        <a:ea typeface="+mn-ea"/>
                                        <a:cs typeface="+mn-cs"/>
                                      </a:rPr>
                                      <m:t>𝑄</m:t>
                                    </m:r>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𝑙</m:t>
                                        </m:r>
                                      </m:e>
                                    </m:d>
                                  </m:den>
                                </m:f>
                              </m:e>
                            </m:d>
                            <m:r>
                              <a:rPr lang="en-US" sz="1100" b="0" i="1">
                                <a:solidFill>
                                  <a:schemeClr val="tx1"/>
                                </a:solidFill>
                                <a:latin typeface="Cambria Math" panose="02040503050406030204" pitchFamily="18" charset="0"/>
                              </a:rPr>
                              <m:t> </m:t>
                            </m:r>
                            <m:r>
                              <a:rPr lang="en-US" sz="1100" b="0" i="1">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𝑀</m:t>
                                </m:r>
                              </m:e>
                              <m:sub>
                                <m:r>
                                  <a:rPr lang="en-US" sz="1100" b="0" i="1">
                                    <a:solidFill>
                                      <a:schemeClr val="tx1"/>
                                    </a:solidFill>
                                    <a:latin typeface="Cambria Math" panose="02040503050406030204" pitchFamily="18" charset="0"/>
                                  </a:rPr>
                                  <m:t>𝑎𝑙𝑙𝑟𝑒𝑑𝑢𝑐𝑒</m:t>
                                </m:r>
                              </m:sub>
                            </m:sSub>
                          </m:e>
                        </m:d>
                      </m:e>
                    </m:eqArr>
                  </m:oMath>
                  <m:oMath xmlns:m="http://schemas.openxmlformats.org/officeDocument/2006/math">
                    <m:r>
                      <a:rPr lang="en-US" sz="1100" b="0" i="1">
                        <a:latin typeface="Cambria Math" panose="02040503050406030204" pitchFamily="18" charset="0"/>
                      </a:rPr>
                      <m:t>𝑏𝑎𝑠𝑒𝑑</m:t>
                    </m:r>
                    <m:r>
                      <a:rPr lang="en-US" sz="1100" b="0" i="1">
                        <a:latin typeface="Cambria Math" panose="02040503050406030204" pitchFamily="18" charset="0"/>
                      </a:rPr>
                      <m:t> </m:t>
                    </m:r>
                    <m:r>
                      <a:rPr lang="en-US" sz="1100" b="0" i="1">
                        <a:latin typeface="Cambria Math" panose="02040503050406030204" pitchFamily="18" charset="0"/>
                      </a:rPr>
                      <m:t>𝑜𝑛</m:t>
                    </m:r>
                    <m:r>
                      <a:rPr lang="en-US" sz="1100" b="0" i="1">
                        <a:latin typeface="Cambria Math" panose="02040503050406030204" pitchFamily="18" charset="0"/>
                      </a:rPr>
                      <m:t> </m:t>
                    </m:r>
                    <m:r>
                      <a:rPr lang="en-US" sz="1100" b="0" i="1">
                        <a:latin typeface="Cambria Math" panose="02040503050406030204" pitchFamily="18" charset="0"/>
                      </a:rPr>
                      <m:t>𝑀𝐿</m:t>
                    </m:r>
                    <m:r>
                      <a:rPr lang="en-US" sz="1100" b="0" i="1">
                        <a:latin typeface="Cambria Math" panose="02040503050406030204" pitchFamily="18" charset="0"/>
                      </a:rPr>
                      <m:t> </m:t>
                    </m:r>
                    <m:r>
                      <a:rPr lang="en-US" sz="1100" b="0" i="1">
                        <a:latin typeface="Cambria Math" panose="02040503050406030204" pitchFamily="18" charset="0"/>
                      </a:rPr>
                      <m:t>𝑚𝑜𝑑𝑒𝑙</m:t>
                    </m:r>
                    <m:r>
                      <a:rPr lang="en-US" sz="1100" b="0" i="1">
                        <a:latin typeface="Cambria Math" panose="02040503050406030204" pitchFamily="18" charset="0"/>
                      </a:rPr>
                      <m:t> </m:t>
                    </m:r>
                    <m:r>
                      <a:rPr lang="en-US" sz="1100" b="0" i="1">
                        <a:latin typeface="Cambria Math" panose="02040503050406030204" pitchFamily="18" charset="0"/>
                      </a:rPr>
                      <m:t>𝑐𝑜𝑛𝑛𝑒𝑐𝑡𝑖𝑣𝑖𝑡𝑦</m:t>
                    </m:r>
                    <m:r>
                      <a:rPr lang="en-US" sz="1100" b="0" i="1">
                        <a:latin typeface="Cambria Math" panose="02040503050406030204" pitchFamily="18" charset="0"/>
                      </a:rPr>
                      <m:t> </m:t>
                    </m:r>
                    <m:r>
                      <a:rPr lang="en-US" sz="1100" b="0" i="1">
                        <a:latin typeface="Cambria Math" panose="02040503050406030204" pitchFamily="18" charset="0"/>
                      </a:rPr>
                      <m:t>𝑝𝑎𝑟𝑎𝑚𝑒𝑡𝑒𝑟𝑠</m:t>
                    </m:r>
                    <m:r>
                      <a:rPr lang="en-US" sz="1100" b="0" i="1">
                        <a:latin typeface="Cambria Math" panose="02040503050406030204" pitchFamily="18" charset="0"/>
                      </a:rPr>
                      <m:t> , </m:t>
                    </m:r>
                    <m:r>
                      <a:rPr lang="en-US" sz="1100" b="0" i="1">
                        <a:latin typeface="Cambria Math" panose="02040503050406030204" pitchFamily="18" charset="0"/>
                      </a:rPr>
                      <m:t>𝑝𝑎𝑟𝑎𝑙𝑙𝑒𝑙𝑖𝑠𝑎𝑡𝑖𝑜𝑛</m:t>
                    </m:r>
                    <m:r>
                      <a:rPr lang="en-US" sz="1100" b="0" i="1">
                        <a:latin typeface="Cambria Math" panose="02040503050406030204" pitchFamily="18" charset="0"/>
                      </a:rPr>
                      <m:t> </m:t>
                    </m:r>
                    <m:r>
                      <a:rPr lang="en-US" sz="1100" b="0" i="1">
                        <a:latin typeface="Cambria Math" panose="02040503050406030204" pitchFamily="18" charset="0"/>
                      </a:rPr>
                      <m:t>𝑐h𝑜𝑖𝑐𝑒𝑠</m:t>
                    </m:r>
                    <m:r>
                      <a:rPr lang="en-US" sz="1100" b="0" i="1">
                        <a:latin typeface="Cambria Math" panose="02040503050406030204" pitchFamily="18" charset="0"/>
                      </a:rPr>
                      <m:t>, </m:t>
                    </m:r>
                  </m:oMath>
                </m:oMathPara>
              </a14:m>
              <a:br>
                <a:rPr lang="en-US" sz="1100" b="0" i="1">
                  <a:latin typeface="Cambria Math" panose="02040503050406030204" pitchFamily="18" charset="0"/>
                </a:rPr>
              </a:br>
              <a14:m>
                <m:oMath xmlns:m="http://schemas.openxmlformats.org/officeDocument/2006/math">
                  <m:r>
                    <a:rPr lang="en-US" sz="1100" b="0" i="1">
                      <a:latin typeface="Cambria Math" panose="02040503050406030204" pitchFamily="18" charset="0"/>
                    </a:rPr>
                    <m:t>𝑎𝑛𝑑</m:t>
                  </m:r>
                  <m:r>
                    <a:rPr lang="en-US" sz="1100" b="0" i="1">
                      <a:latin typeface="Cambria Math" panose="02040503050406030204" pitchFamily="18" charset="0"/>
                    </a:rPr>
                    <m:t> </m:t>
                  </m:r>
                  <m:r>
                    <a:rPr lang="en-US" sz="1100" b="0" i="1">
                      <a:latin typeface="Cambria Math" panose="02040503050406030204" pitchFamily="18" charset="0"/>
                    </a:rPr>
                    <m:t>𝐻𝑊</m:t>
                  </m:r>
                  <m:r>
                    <a:rPr lang="en-US" sz="1100" b="0" i="1">
                      <a:latin typeface="Cambria Math" panose="02040503050406030204" pitchFamily="18" charset="0"/>
                    </a:rPr>
                    <m:t> </m:t>
                  </m:r>
                  <m:r>
                    <a:rPr lang="en-US" sz="1100" b="0" i="1">
                      <a:latin typeface="Cambria Math" panose="02040503050406030204" pitchFamily="18" charset="0"/>
                    </a:rPr>
                    <m:t>𝑠𝑝𝑒𝑐𝑠</m:t>
                  </m:r>
                  <m:r>
                    <a:rPr lang="en-US" sz="1100" b="0" i="1">
                      <a:latin typeface="Cambria Math" panose="02040503050406030204" pitchFamily="18" charset="0"/>
                    </a:rPr>
                    <m:t> </m:t>
                  </m:r>
                  <m:r>
                    <a:rPr lang="en-US" sz="1100" b="0" i="1">
                      <a:latin typeface="Cambria Math" panose="02040503050406030204" pitchFamily="18" charset="0"/>
                    </a:rPr>
                    <m:t>𝑙𝑖𝑘𝑒</m:t>
                  </m:r>
                  <m:r>
                    <a:rPr lang="en-US" sz="1100" b="0" i="1">
                      <a:latin typeface="Cambria Math" panose="02040503050406030204" pitchFamily="18" charset="0"/>
                    </a:rPr>
                    <m:t> </m:t>
                  </m:r>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𝑀𝐴𝐶</m:t>
                      </m:r>
                    </m:sub>
                  </m:sSub>
                  <m:r>
                    <a:rPr lang="en-US" sz="1100" b="0" i="1">
                      <a:latin typeface="Cambria Math" panose="02040503050406030204" pitchFamily="18" charset="0"/>
                    </a:rPr>
                    <m:t> </m:t>
                  </m:r>
                  <m:r>
                    <a:rPr lang="en-US" sz="1100" b="0" i="1">
                      <a:latin typeface="Cambria Math" panose="02040503050406030204" pitchFamily="18" charset="0"/>
                    </a:rPr>
                    <m:t>𝑎𝑛𝑑</m:t>
                  </m:r>
                  <m:r>
                    <a:rPr lang="en-US" sz="1100" b="0" i="1">
                      <a:latin typeface="Cambria Math" panose="02040503050406030204" pitchFamily="18" charset="0"/>
                    </a:rPr>
                    <m:t> </m:t>
                  </m:r>
                  <m:r>
                    <a:rPr lang="en-US" sz="1100" b="0" i="1">
                      <a:latin typeface="Cambria Math" panose="02040503050406030204" pitchFamily="18" charset="0"/>
                    </a:rPr>
                    <m:t>𝑙𝑎𝑡𝑒𝑛𝑐𝑦</m:t>
                  </m:r>
                  <m:r>
                    <a:rPr lang="en-US" sz="1100" b="0" i="1">
                      <a:latin typeface="Cambria Math" panose="02040503050406030204" pitchFamily="18" charset="0"/>
                    </a:rPr>
                    <m:t> </m:t>
                  </m:r>
                  <m:r>
                    <a:rPr lang="en-US" sz="1100" b="0" i="1">
                      <a:latin typeface="Cambria Math" panose="02040503050406030204" pitchFamily="18" charset="0"/>
                    </a:rPr>
                    <m:t>𝑎𝑛𝑑</m:t>
                  </m:r>
                  <m:r>
                    <a:rPr lang="en-US" sz="1100" b="0" i="1">
                      <a:latin typeface="Cambria Math" panose="02040503050406030204" pitchFamily="18" charset="0"/>
                    </a:rPr>
                    <m:t> </m:t>
                  </m:r>
                  <m:r>
                    <a:rPr lang="en-US" sz="1100" b="0" i="1">
                      <a:latin typeface="Cambria Math" panose="02040503050406030204" pitchFamily="18" charset="0"/>
                    </a:rPr>
                    <m:t>𝐵𝑊</m:t>
                  </m:r>
                  <m:r>
                    <a:rPr lang="en-US" sz="1100" b="0" i="1">
                      <a:latin typeface="Cambria Math" panose="02040503050406030204" pitchFamily="18" charset="0"/>
                    </a:rPr>
                    <m:t> </m:t>
                  </m:r>
                </m:oMath>
              </a14:m>
              <a:r>
                <a:rPr lang="en-GB" sz="1100"/>
                <a:t>(to be extended with more detail on chip)</a:t>
              </a:r>
            </a:p>
          </xdr:txBody>
        </xdr:sp>
      </mc:Choice>
      <mc:Fallback xmlns="">
        <xdr:sp macro="" textlink="">
          <xdr:nvSpPr>
            <xdr:cNvPr id="388" name="TextBox 2">
              <a:extLst>
                <a:ext uri="{FF2B5EF4-FFF2-40B4-BE49-F238E27FC236}">
                  <a16:creationId xmlns:a16="http://schemas.microsoft.com/office/drawing/2014/main" id="{16EE609A-27E5-42A8-AC6E-A5E0242F3346}"/>
                </a:ext>
              </a:extLst>
            </xdr:cNvPr>
            <xdr:cNvSpPr txBox="1"/>
          </xdr:nvSpPr>
          <xdr:spPr>
            <a:xfrm>
              <a:off x="3260481" y="3233005"/>
              <a:ext cx="5851525" cy="788421"/>
            </a:xfrm>
            <a:prstGeom prst="rect">
              <a:avLst/>
            </a:prstGeom>
            <a:solidFill>
              <a:sysClr val="window" lastClr="FFFFFF"/>
            </a:solidFill>
            <a:ln w="28575">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█(𝐶_𝑚𝑢𝑙𝑡𝑖</a:t>
              </a:r>
              <a:r>
                <a:rPr lang="en-US" sz="1100" b="0" i="0" baseline="-25000">
                  <a:latin typeface="Cambria Math" panose="02040503050406030204" pitchFamily="18" charset="0"/>
                </a:rPr>
                <a:t>𝑎𝑐𝑐𝑒𝑙</a:t>
              </a:r>
              <a:r>
                <a:rPr lang="en-US" sz="1100" b="0" i="0">
                  <a:latin typeface="Cambria Math" panose="02040503050406030204" pitchFamily="18" charset="0"/>
                </a:rPr>
                <a:t>=𝑁_𝑒𝑝𝑜𝑐ℎ∗[(</a:t>
              </a:r>
              <a:r>
                <a:rPr lang="en-US" sz="1100" b="0" i="0">
                  <a:solidFill>
                    <a:schemeClr val="tx1"/>
                  </a:solidFill>
                  <a:effectLst/>
                  <a:latin typeface="Cambria Math" panose="02040503050406030204" pitchFamily="18" charset="0"/>
                  <a:ea typeface="+mn-ea"/>
                  <a:cs typeface="+mn-cs"/>
                </a:rPr>
                <a:t>∑_𝑙▒〖〖(𝑈〗_𝑓 (𝑙)+𝑀_𝑓 (𝑙)+𝑈_𝑏 (𝑙)+𝑀_𝑏 (𝑙)〗+𝑈_𝑤 (𝑙))∗𝑁_𝑠𝑎𝑚𝑝𝑙𝑒/𝑄(𝑙) ) </a:t>
              </a:r>
              <a:r>
                <a:rPr lang="en-US" sz="1100" b="0" i="0">
                  <a:solidFill>
                    <a:schemeClr val="tx1"/>
                  </a:solidFill>
                  <a:latin typeface="Cambria Math" panose="02040503050406030204" pitchFamily="18" charset="0"/>
                </a:rPr>
                <a:t> </a:t>
              </a:r>
              <a:r>
                <a:rPr lang="en-US" sz="1100" b="0" i="0">
                  <a:latin typeface="Cambria Math" panose="02040503050406030204" pitchFamily="18" charset="0"/>
                </a:rPr>
                <a:t>+</a:t>
              </a:r>
              <a:r>
                <a:rPr lang="en-US" sz="1100" b="0" i="0">
                  <a:solidFill>
                    <a:schemeClr val="tx1"/>
                  </a:solidFill>
                  <a:latin typeface="Cambria Math" panose="02040503050406030204" pitchFamily="18" charset="0"/>
                </a:rPr>
                <a:t>𝑀_𝑎𝑙𝑙𝑟𝑒𝑑𝑢𝑐𝑒 ] )</a:t>
              </a:r>
              <a:br>
                <a:rPr lang="en-US" sz="1100" b="0" i="1">
                  <a:solidFill>
                    <a:schemeClr val="tx1"/>
                  </a:solidFill>
                  <a:latin typeface="Cambria Math" panose="02040503050406030204" pitchFamily="18" charset="0"/>
                </a:rPr>
              </a:br>
              <a:r>
                <a:rPr lang="en-US" sz="1100" b="0" i="0">
                  <a:latin typeface="Cambria Math" panose="02040503050406030204" pitchFamily="18" charset="0"/>
                </a:rPr>
                <a:t>𝑏𝑎𝑠𝑒𝑑 𝑜𝑛 𝑀𝐿 𝑚𝑜𝑑𝑒𝑙 𝑐𝑜𝑛𝑛𝑒𝑐𝑡𝑖𝑣𝑖𝑡𝑦 𝑝𝑎𝑟𝑎𝑚𝑒𝑡𝑒𝑟𝑠 , 𝑝𝑎𝑟𝑎𝑙𝑙𝑒𝑙𝑖𝑠𝑎𝑡𝑖𝑜𝑛 𝑐ℎ𝑜𝑖𝑐𝑒𝑠, </a:t>
              </a:r>
              <a:br>
                <a:rPr lang="en-US" sz="1100" b="0" i="1">
                  <a:latin typeface="Cambria Math" panose="02040503050406030204" pitchFamily="18" charset="0"/>
                </a:rPr>
              </a:br>
              <a:r>
                <a:rPr lang="en-US" sz="1100" b="0" i="0">
                  <a:latin typeface="Cambria Math" panose="02040503050406030204" pitchFamily="18" charset="0"/>
                </a:rPr>
                <a:t>𝑎𝑛𝑑 𝐻𝑊 𝑠𝑝𝑒𝑐𝑠 𝑙𝑖𝑘𝑒 𝐶_𝑀𝐴𝐶  𝑎𝑛𝑑 𝑙𝑎𝑡𝑒𝑛𝑐𝑦 𝑎𝑛𝑑 𝐵𝑊 </a:t>
              </a:r>
              <a:r>
                <a:rPr lang="en-GB" sz="1100"/>
                <a:t>(to be extended with more detail on chip)</a:t>
              </a:r>
            </a:p>
          </xdr:txBody>
        </xdr:sp>
      </mc:Fallback>
    </mc:AlternateContent>
    <xdr:clientData/>
  </xdr:oneCellAnchor>
  <xdr:oneCellAnchor>
    <xdr:from>
      <xdr:col>1</xdr:col>
      <xdr:colOff>0</xdr:colOff>
      <xdr:row>57</xdr:row>
      <xdr:rowOff>0</xdr:rowOff>
    </xdr:from>
    <xdr:ext cx="2505075" cy="619125"/>
    <mc:AlternateContent xmlns:mc="http://schemas.openxmlformats.org/markup-compatibility/2006" xmlns:a14="http://schemas.microsoft.com/office/drawing/2010/main">
      <mc:Choice Requires="a14">
        <xdr:sp macro="" textlink="">
          <xdr:nvSpPr>
            <xdr:cNvPr id="131" name="TextBox 76">
              <a:extLst>
                <a:ext uri="{FF2B5EF4-FFF2-40B4-BE49-F238E27FC236}">
                  <a16:creationId xmlns:a16="http://schemas.microsoft.com/office/drawing/2014/main" id="{00000000-0008-0000-0500-0000EC030000}"/>
                </a:ext>
              </a:extLst>
            </xdr:cNvPr>
            <xdr:cNvSpPr txBox="1"/>
          </xdr:nvSpPr>
          <xdr:spPr>
            <a:xfrm>
              <a:off x="3257550" y="9953625"/>
              <a:ext cx="2505075" cy="619125"/>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𝐶</m:t>
                      </m:r>
                    </m:e>
                    <m:sub>
                      <m:r>
                        <a:rPr lang="en-US" sz="1400" b="0" i="1">
                          <a:solidFill>
                            <a:sysClr val="windowText" lastClr="000000"/>
                          </a:solidFill>
                          <a:latin typeface="Cambria Math" panose="02040503050406030204" pitchFamily="18" charset="0"/>
                        </a:rPr>
                        <m:t>𝑀𝐴𝐶</m:t>
                      </m:r>
                    </m:sub>
                  </m:sSub>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𝑆</m:t>
                          </m:r>
                        </m:e>
                        <m:sub>
                          <m:r>
                            <a:rPr lang="en-US" sz="1400" b="0" i="1">
                              <a:solidFill>
                                <a:sysClr val="windowText" lastClr="000000"/>
                              </a:solidFill>
                              <a:latin typeface="Cambria Math" panose="02040503050406030204" pitchFamily="18" charset="0"/>
                            </a:rPr>
                            <m:t>𝑜𝑝</m:t>
                          </m:r>
                        </m:sub>
                      </m:sSub>
                    </m:num>
                    <m:den>
                      <m:r>
                        <a:rPr lang="en-US" sz="1400" b="0" i="1">
                          <a:solidFill>
                            <a:sysClr val="windowText" lastClr="000000"/>
                          </a:solidFill>
                          <a:latin typeface="Cambria Math" panose="02040503050406030204" pitchFamily="18" charset="0"/>
                        </a:rPr>
                        <m:t>𝑓</m:t>
                      </m:r>
                      <m:r>
                        <a:rPr lang="en-US" sz="1400" b="0" i="1">
                          <a:solidFill>
                            <a:sysClr val="windowText" lastClr="000000"/>
                          </a:solidFill>
                          <a:latin typeface="Cambria Math" panose="02040503050406030204" pitchFamily="18" charset="0"/>
                        </a:rPr>
                        <m:t>∗</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𝑁</m:t>
                          </m:r>
                        </m:e>
                        <m:sub>
                          <m:r>
                            <a:rPr lang="en-US" sz="1400" b="0" i="1">
                              <a:solidFill>
                                <a:sysClr val="windowText" lastClr="000000"/>
                              </a:solidFill>
                              <a:latin typeface="Cambria Math" panose="02040503050406030204" pitchFamily="18" charset="0"/>
                            </a:rPr>
                            <m:t>𝑐𝑜𝑟𝑒𝑠</m:t>
                          </m:r>
                        </m:sub>
                      </m:sSub>
                      <m:r>
                        <a:rPr lang="en-US" sz="1400" b="0" i="1">
                          <a:solidFill>
                            <a:sysClr val="windowText" lastClr="000000"/>
                          </a:solidFill>
                          <a:latin typeface="Cambria Math" panose="02040503050406030204" pitchFamily="18" charset="0"/>
                        </a:rPr>
                        <m:t>∗</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𝑁</m:t>
                          </m:r>
                        </m:e>
                        <m:sub>
                          <m:r>
                            <a:rPr lang="en-US" sz="1400" b="0" i="1">
                              <a:solidFill>
                                <a:sysClr val="windowText" lastClr="000000"/>
                              </a:solidFill>
                              <a:latin typeface="Cambria Math" panose="02040503050406030204" pitchFamily="18" charset="0"/>
                            </a:rPr>
                            <m:t>𝐹𝑈</m:t>
                          </m:r>
                        </m:sub>
                      </m:sSub>
                      <m:r>
                        <a:rPr lang="en-US" sz="1400" b="0" i="1">
                          <a:solidFill>
                            <a:sysClr val="windowText" lastClr="000000"/>
                          </a:solidFill>
                          <a:latin typeface="Cambria Math" panose="02040503050406030204" pitchFamily="18" charset="0"/>
                        </a:rPr>
                        <m:t>∗</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𝑆</m:t>
                          </m:r>
                        </m:e>
                        <m:sub>
                          <m:r>
                            <a:rPr lang="en-US" sz="1400" b="0" i="1">
                              <a:solidFill>
                                <a:sysClr val="windowText" lastClr="000000"/>
                              </a:solidFill>
                              <a:latin typeface="Cambria Math" panose="02040503050406030204" pitchFamily="18" charset="0"/>
                            </a:rPr>
                            <m:t>𝐹𝑈</m:t>
                          </m:r>
                        </m:sub>
                      </m:sSub>
                    </m:den>
                  </m:f>
                </m:oMath>
              </a14:m>
              <a:r>
                <a:rPr lang="en-GB" sz="1400" i="1"/>
                <a:t> </a:t>
              </a:r>
            </a:p>
          </xdr:txBody>
        </xdr:sp>
      </mc:Choice>
      <mc:Fallback xmlns="">
        <xdr:sp macro="" textlink="">
          <xdr:nvSpPr>
            <xdr:cNvPr id="15" name="TextBox 76">
              <a:extLst>
                <a:ext uri="{FF2B5EF4-FFF2-40B4-BE49-F238E27FC236}">
                  <a16:creationId xmlns:a16="http://schemas.microsoft.com/office/drawing/2014/main" id="{45547777-F4C2-41CE-9E52-DB3C9770D658}"/>
                </a:ext>
              </a:extLst>
            </xdr:cNvPr>
            <xdr:cNvSpPr txBox="1"/>
          </xdr:nvSpPr>
          <xdr:spPr>
            <a:xfrm>
              <a:off x="3257550" y="9953625"/>
              <a:ext cx="2505075" cy="619125"/>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400" b="0" i="0">
                  <a:solidFill>
                    <a:sysClr val="windowText" lastClr="000000"/>
                  </a:solidFill>
                  <a:latin typeface="Cambria Math" panose="02040503050406030204" pitchFamily="18" charset="0"/>
                </a:rPr>
                <a:t>𝐶_𝑀𝐴𝐶=𝑆_𝑜𝑝/(𝑓∗𝑁_𝑐𝑜𝑟𝑒𝑠∗𝑁_𝐹𝑈∗𝑆_𝐹𝑈 )</a:t>
              </a:r>
              <a:r>
                <a:rPr lang="en-GB" sz="1400" i="1"/>
                <a:t> </a:t>
              </a:r>
            </a:p>
          </xdr:txBody>
        </xdr:sp>
      </mc:Fallback>
    </mc:AlternateContent>
    <xdr:clientData/>
  </xdr:oneCellAnchor>
  <xdr:oneCellAnchor>
    <xdr:from>
      <xdr:col>1</xdr:col>
      <xdr:colOff>175096</xdr:colOff>
      <xdr:row>23</xdr:row>
      <xdr:rowOff>172357</xdr:rowOff>
    </xdr:from>
    <xdr:ext cx="11155118" cy="580572"/>
    <mc:AlternateContent xmlns:mc="http://schemas.openxmlformats.org/markup-compatibility/2006" xmlns:a14="http://schemas.microsoft.com/office/drawing/2010/main">
      <mc:Choice Requires="a14">
        <xdr:sp macro="" textlink="">
          <xdr:nvSpPr>
            <xdr:cNvPr id="25" name="TextBox 76">
              <a:extLst>
                <a:ext uri="{FF2B5EF4-FFF2-40B4-BE49-F238E27FC236}">
                  <a16:creationId xmlns:a16="http://schemas.microsoft.com/office/drawing/2014/main" id="{00000000-0008-0000-0500-000001040000}"/>
                </a:ext>
              </a:extLst>
            </xdr:cNvPr>
            <xdr:cNvSpPr txBox="1"/>
          </xdr:nvSpPr>
          <xdr:spPr>
            <a:xfrm>
              <a:off x="3585953" y="6930571"/>
              <a:ext cx="11155118" cy="580572"/>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𝑈</m:t>
                      </m:r>
                    </m:e>
                    <m:sub>
                      <m:r>
                        <a:rPr lang="en-US" sz="1400" b="0" i="1">
                          <a:solidFill>
                            <a:sysClr val="windowText" lastClr="000000"/>
                          </a:solidFill>
                          <a:latin typeface="Cambria Math" panose="02040503050406030204" pitchFamily="18" charset="0"/>
                        </a:rPr>
                        <m:t>𝑓</m:t>
                      </m:r>
                    </m:sub>
                  </m:sSub>
                  <m:r>
                    <a:rPr lang="en-US" sz="1400" b="0" i="1">
                      <a:solidFill>
                        <a:sysClr val="windowText" lastClr="000000"/>
                      </a:solidFill>
                      <a:latin typeface="Cambria Math" panose="02040503050406030204" pitchFamily="18" charset="0"/>
                    </a:rPr>
                    <m:t>=</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𝐶</m:t>
                      </m:r>
                    </m:e>
                    <m:sub>
                      <m:r>
                        <a:rPr lang="en-US" sz="1400" b="0" i="1">
                          <a:solidFill>
                            <a:sysClr val="windowText" lastClr="000000"/>
                          </a:solidFill>
                          <a:latin typeface="Cambria Math" panose="02040503050406030204" pitchFamily="18" charset="0"/>
                        </a:rPr>
                        <m:t>𝑀𝐴𝐶</m:t>
                      </m:r>
                    </m:sub>
                  </m:sSub>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𝑊</m:t>
                  </m:r>
                  <m:d>
                    <m:dPr>
                      <m:ctrlPr>
                        <a:rPr lang="en-US" sz="1400" b="0" i="1">
                          <a:solidFill>
                            <a:sysClr val="windowText" lastClr="000000"/>
                          </a:solidFill>
                          <a:latin typeface="Cambria Math" panose="02040503050406030204" pitchFamily="18" charset="0"/>
                        </a:rPr>
                      </m:ctrlPr>
                    </m:dPr>
                    <m:e>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𝑝</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𝑐𝑒𝑖𝑙</m:t>
                  </m:r>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sSub>
                        <m:sSubPr>
                          <m:ctrlPr>
                            <a:rPr lang="en-US" sz="1400" b="0" i="1">
                              <a:solidFill>
                                <a:sysClr val="windowText" lastClr="000000"/>
                              </a:solidFill>
                              <a:latin typeface="Cambria Math" panose="02040503050406030204" pitchFamily="18" charset="0"/>
                            </a:rPr>
                          </m:ctrlPr>
                        </m:sSubPr>
                        <m:e>
                          <m:r>
                            <m:rPr>
                              <m:sty m:val="p"/>
                            </m:rPr>
                            <a:rPr lang="en-US" sz="1400" b="0" i="0">
                              <a:solidFill>
                                <a:sysClr val="windowText" lastClr="000000"/>
                              </a:solidFill>
                              <a:latin typeface="Cambria Math" panose="02040503050406030204" pitchFamily="18" charset="0"/>
                            </a:rPr>
                            <m:t>max</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𝑊</m:t>
                          </m:r>
                        </m:e>
                        <m:sub>
                          <m:r>
                            <a:rPr lang="en-US" sz="1400" b="0" i="1">
                              <a:solidFill>
                                <a:sysClr val="windowText" lastClr="000000"/>
                              </a:solidFill>
                              <a:latin typeface="Cambria Math" panose="02040503050406030204" pitchFamily="18" charset="0"/>
                            </a:rPr>
                            <m:t>𝑝𝑟𝑒𝑐𝑖𝑠𝑖𝑜𝑛</m:t>
                          </m:r>
                        </m:sub>
                      </m:sSub>
                      <m:r>
                        <a:rPr lang="en-US" sz="1400" b="0" i="1">
                          <a:solidFill>
                            <a:sysClr val="windowText" lastClr="000000"/>
                          </a:solidFill>
                          <a:latin typeface="Cambria Math" panose="02040503050406030204" pitchFamily="18" charset="0"/>
                        </a:rPr>
                        <m:t> </m:t>
                      </m:r>
                      <m:d>
                        <m:dPr>
                          <m:ctrlPr>
                            <a:rPr lang="en-US" sz="1400" b="0" i="1">
                              <a:solidFill>
                                <a:sysClr val="windowText" lastClr="000000"/>
                              </a:solidFill>
                              <a:latin typeface="Cambria Math" panose="02040503050406030204" pitchFamily="18" charset="0"/>
                            </a:rPr>
                          </m:ctrlPr>
                        </m:dPr>
                        <m:e>
                          <m:r>
                            <a:rPr lang="en-US" sz="1400" b="0" i="1">
                              <a:solidFill>
                                <a:sysClr val="windowText" lastClr="000000"/>
                              </a:solidFill>
                              <a:latin typeface="Cambria Math" panose="02040503050406030204" pitchFamily="18" charset="0"/>
                            </a:rPr>
                            <m:t>𝐿</m:t>
                          </m:r>
                        </m:e>
                      </m:d>
                      <m:r>
                        <a:rPr lang="en-US" sz="1400" b="0" i="1">
                          <a:solidFill>
                            <a:sysClr val="windowText" lastClr="000000"/>
                          </a:solidFill>
                          <a:latin typeface="Cambria Math" panose="02040503050406030204" pitchFamily="18" charset="0"/>
                        </a:rPr>
                        <m:t>, </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 </m:t>
                          </m:r>
                          <m:r>
                            <a:rPr lang="en-US" sz="1400" b="0" i="1">
                              <a:solidFill>
                                <a:sysClr val="windowText" lastClr="000000"/>
                              </a:solidFill>
                              <a:latin typeface="Cambria Math" panose="02040503050406030204" pitchFamily="18" charset="0"/>
                            </a:rPr>
                            <m:t>𝐴</m:t>
                          </m:r>
                        </m:e>
                        <m:sub>
                          <m:r>
                            <a:rPr lang="en-US" sz="1400" b="0" i="1">
                              <a:solidFill>
                                <a:sysClr val="windowText" lastClr="000000"/>
                              </a:solidFill>
                              <a:latin typeface="Cambria Math" panose="02040503050406030204" pitchFamily="18" charset="0"/>
                            </a:rPr>
                            <m:t>𝑝𝑟𝑒𝑐𝑖𝑠𝑖𝑜𝑛</m:t>
                          </m:r>
                        </m:sub>
                      </m:sSub>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m:t>
                      </m:r>
                    </m:num>
                    <m:den>
                      <m:r>
                        <a:rPr lang="en-US" sz="1100" b="0" i="1">
                          <a:solidFill>
                            <a:schemeClr val="tx1"/>
                          </a:solidFill>
                          <a:effectLst/>
                          <a:latin typeface="Cambria Math" panose="02040503050406030204" pitchFamily="18" charset="0"/>
                          <a:ea typeface="+mn-ea"/>
                          <a:cs typeface="+mn-cs"/>
                        </a:rPr>
                        <m:t>𝑀𝐴</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𝐶</m:t>
                          </m:r>
                        </m:e>
                        <m:sub>
                          <m:r>
                            <a:rPr lang="en-US" sz="1100" b="0" i="1">
                              <a:solidFill>
                                <a:schemeClr val="tx1"/>
                              </a:solidFill>
                              <a:effectLst/>
                              <a:latin typeface="Cambria Math" panose="02040503050406030204" pitchFamily="18" charset="0"/>
                              <a:ea typeface="+mn-ea"/>
                              <a:cs typeface="+mn-cs"/>
                            </a:rPr>
                            <m:t>𝑏𝑖𝑡𝑤𝑖𝑑𝑡h</m:t>
                          </m:r>
                        </m:sub>
                      </m:sSub>
                      <m:r>
                        <a:rPr lang="en-US" sz="1100" b="0" i="1">
                          <a:solidFill>
                            <a:schemeClr val="tx1"/>
                          </a:solidFill>
                          <a:effectLst/>
                          <a:latin typeface="Cambria Math" panose="02040503050406030204" pitchFamily="18" charset="0"/>
                          <a:ea typeface="+mn-ea"/>
                          <a:cs typeface="+mn-cs"/>
                        </a:rPr>
                        <m:t> </m:t>
                      </m:r>
                    </m:den>
                  </m:f>
                  <m:r>
                    <a:rPr lang="en-US" sz="1100" b="0" i="1">
                      <a:solidFill>
                        <a:schemeClr val="tx1"/>
                      </a:solidFill>
                      <a:effectLst/>
                      <a:latin typeface="Cambria Math" panose="02040503050406030204" pitchFamily="18" charset="0"/>
                      <a:ea typeface="+mn-ea"/>
                      <a:cs typeface="+mn-cs"/>
                    </a:rPr>
                    <m:t>]</m:t>
                  </m:r>
                  <m:r>
                    <a:rPr lang="en-US" sz="1400" b="0" i="1">
                      <a:solidFill>
                        <a:sysClr val="windowText" lastClr="000000"/>
                      </a:solidFill>
                      <a:latin typeface="Cambria Math" panose="02040503050406030204" pitchFamily="18" charset="0"/>
                    </a:rPr>
                    <m:t>+</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𝐶</m:t>
                      </m:r>
                    </m:e>
                    <m:sub>
                      <m:r>
                        <a:rPr lang="en-US" sz="1400" b="0" i="1">
                          <a:solidFill>
                            <a:sysClr val="windowText" lastClr="000000"/>
                          </a:solidFill>
                          <a:latin typeface="Cambria Math" panose="02040503050406030204" pitchFamily="18" charset="0"/>
                        </a:rPr>
                        <m:t>𝐴𝐶𝑇</m:t>
                      </m:r>
                    </m:sub>
                  </m:sSub>
                  <m:r>
                    <a:rPr lang="en-US" sz="1400" b="0" i="1">
                      <a:solidFill>
                        <a:sysClr val="windowText" lastClr="000000"/>
                      </a:solidFill>
                      <a:latin typeface="Cambria Math" panose="02040503050406030204" pitchFamily="18" charset="0"/>
                    </a:rPr>
                    <m:t>∗</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𝑁</m:t>
                      </m:r>
                    </m:e>
                    <m:sub>
                      <m:r>
                        <a:rPr lang="en-US" sz="1400" b="0" i="1">
                          <a:solidFill>
                            <a:sysClr val="windowText" lastClr="000000"/>
                          </a:solidFill>
                          <a:latin typeface="Cambria Math" panose="02040503050406030204" pitchFamily="18" charset="0"/>
                        </a:rPr>
                        <m:t>𝑛𝑒𝑢𝑟𝑜𝑛𝑠</m:t>
                      </m:r>
                    </m:sub>
                  </m:sSub>
                  <m:d>
                    <m:dPr>
                      <m:ctrlPr>
                        <a:rPr lang="en-US" sz="1400" b="0" i="1">
                          <a:solidFill>
                            <a:sysClr val="windowText" lastClr="000000"/>
                          </a:solidFill>
                          <a:latin typeface="Cambria Math" panose="02040503050406030204" pitchFamily="18" charset="0"/>
                        </a:rPr>
                      </m:ctrlPr>
                    </m:dPr>
                    <m:e>
                      <m:r>
                        <a:rPr lang="en-US" sz="1400" b="0" i="1">
                          <a:solidFill>
                            <a:sysClr val="windowText" lastClr="000000"/>
                          </a:solidFill>
                          <a:latin typeface="Cambria Math" panose="02040503050406030204" pitchFamily="18" charset="0"/>
                        </a:rPr>
                        <m:t>𝐿</m:t>
                      </m:r>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𝑝</m:t>
                      </m:r>
                    </m:e>
                  </m:d>
                  <m:r>
                    <a:rPr lang="en-US" sz="1400" b="0" i="1">
                      <a:solidFill>
                        <a:sysClr val="windowText" lastClr="000000"/>
                      </a:solidFill>
                      <a:latin typeface="Cambria Math" panose="02040503050406030204" pitchFamily="18" charset="0"/>
                    </a:rPr>
                    <m:t>∗</m:t>
                  </m:r>
                  <m:r>
                    <a:rPr lang="en-US" sz="1400" b="0" i="1">
                      <a:solidFill>
                        <a:sysClr val="windowText" lastClr="000000"/>
                      </a:solidFill>
                      <a:latin typeface="Cambria Math" panose="02040503050406030204" pitchFamily="18" charset="0"/>
                    </a:rPr>
                    <m:t>𝑐𝑒𝑖𝑙</m:t>
                  </m:r>
                  <m:r>
                    <a:rPr lang="en-US" sz="1400" b="0" i="1">
                      <a:solidFill>
                        <a:sysClr val="windowText" lastClr="000000"/>
                      </a:solidFill>
                      <a:latin typeface="Cambria Math" panose="02040503050406030204" pitchFamily="18" charset="0"/>
                    </a:rPr>
                    <m:t>[</m:t>
                  </m:r>
                  <m:f>
                    <m:fPr>
                      <m:ctrlPr>
                        <a:rPr lang="en-US" sz="1400" b="0" i="1">
                          <a:solidFill>
                            <a:sysClr val="windowText" lastClr="000000"/>
                          </a:solidFill>
                          <a:latin typeface="Cambria Math" panose="02040503050406030204" pitchFamily="18" charset="0"/>
                        </a:rPr>
                      </m:ctrlPr>
                    </m:fPr>
                    <m:num>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𝑁</m:t>
                          </m:r>
                        </m:e>
                        <m:sub>
                          <m:r>
                            <a:rPr lang="en-US" sz="1400" b="0" i="1">
                              <a:solidFill>
                                <a:sysClr val="windowText" lastClr="000000"/>
                              </a:solidFill>
                              <a:latin typeface="Cambria Math" panose="02040503050406030204" pitchFamily="18" charset="0"/>
                            </a:rPr>
                            <m:t>𝑝𝑟𝑒𝑐𝑖𝑠𝑖𝑜𝑛</m:t>
                          </m:r>
                        </m:sub>
                      </m:sSub>
                      <m:d>
                        <m:dPr>
                          <m:ctrlPr>
                            <a:rPr lang="en-US" sz="1400" b="0" i="1">
                              <a:solidFill>
                                <a:sysClr val="windowText" lastClr="000000"/>
                              </a:solidFill>
                              <a:latin typeface="Cambria Math" panose="02040503050406030204" pitchFamily="18" charset="0"/>
                            </a:rPr>
                          </m:ctrlPr>
                        </m:dPr>
                        <m:e>
                          <m:r>
                            <a:rPr lang="en-US" sz="1400" b="0" i="1">
                              <a:solidFill>
                                <a:sysClr val="windowText" lastClr="000000"/>
                              </a:solidFill>
                              <a:latin typeface="Cambria Math" panose="02040503050406030204" pitchFamily="18" charset="0"/>
                            </a:rPr>
                            <m:t>𝐿</m:t>
                          </m:r>
                        </m:e>
                      </m:d>
                    </m:num>
                    <m:den>
                      <m:r>
                        <a:rPr lang="en-US" sz="1400" b="0" i="1">
                          <a:solidFill>
                            <a:sysClr val="windowText" lastClr="000000"/>
                          </a:solidFill>
                          <a:latin typeface="Cambria Math" panose="02040503050406030204" pitchFamily="18" charset="0"/>
                        </a:rPr>
                        <m:t>𝐴𝑐</m:t>
                      </m:r>
                      <m:sSub>
                        <m:sSubPr>
                          <m:ctrlPr>
                            <a:rPr lang="en-US" sz="1400" b="0" i="1">
                              <a:solidFill>
                                <a:sysClr val="windowText" lastClr="000000"/>
                              </a:solidFill>
                              <a:latin typeface="Cambria Math" panose="02040503050406030204" pitchFamily="18" charset="0"/>
                            </a:rPr>
                          </m:ctrlPr>
                        </m:sSubPr>
                        <m:e>
                          <m:r>
                            <a:rPr lang="en-US" sz="1400" b="0" i="1">
                              <a:solidFill>
                                <a:sysClr val="windowText" lastClr="000000"/>
                              </a:solidFill>
                              <a:latin typeface="Cambria Math" panose="02040503050406030204" pitchFamily="18" charset="0"/>
                            </a:rPr>
                            <m:t>𝑡</m:t>
                          </m:r>
                        </m:e>
                        <m:sub>
                          <m:r>
                            <a:rPr lang="en-US" sz="1400" b="0" i="1">
                              <a:solidFill>
                                <a:sysClr val="windowText" lastClr="000000"/>
                              </a:solidFill>
                              <a:latin typeface="Cambria Math" panose="02040503050406030204" pitchFamily="18" charset="0"/>
                            </a:rPr>
                            <m:t>𝑏𝑖𝑡𝑤𝑖𝑑𝑡h</m:t>
                          </m:r>
                        </m:sub>
                      </m:sSub>
                      <m:r>
                        <a:rPr lang="en-US" sz="1400" b="0" i="1">
                          <a:solidFill>
                            <a:sysClr val="windowText" lastClr="000000"/>
                          </a:solidFill>
                          <a:latin typeface="Cambria Math" panose="02040503050406030204" pitchFamily="18" charset="0"/>
                        </a:rPr>
                        <m:t> </m:t>
                      </m:r>
                    </m:den>
                  </m:f>
                </m:oMath>
              </a14:m>
              <a:r>
                <a:rPr lang="en-GB" sz="1400" i="1"/>
                <a:t>]</a:t>
              </a:r>
            </a:p>
          </xdr:txBody>
        </xdr:sp>
      </mc:Choice>
      <mc:Fallback xmlns="">
        <xdr:sp macro="" textlink="">
          <xdr:nvSpPr>
            <xdr:cNvPr id="1321" name="TextBox 76">
              <a:extLst>
                <a:ext uri="{FF2B5EF4-FFF2-40B4-BE49-F238E27FC236}">
                  <a16:creationId xmlns:a16="http://schemas.microsoft.com/office/drawing/2014/main" id="{00000000-0008-0000-0500-000001040000}"/>
                </a:ext>
              </a:extLst>
            </xdr:cNvPr>
            <xdr:cNvSpPr txBox="1"/>
          </xdr:nvSpPr>
          <xdr:spPr>
            <a:xfrm>
              <a:off x="3585953" y="6930571"/>
              <a:ext cx="11155118" cy="580572"/>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400" b="0" i="0">
                  <a:solidFill>
                    <a:sysClr val="windowText" lastClr="000000"/>
                  </a:solidFill>
                  <a:latin typeface="Cambria Math" panose="02040503050406030204" pitchFamily="18" charset="0"/>
                </a:rPr>
                <a:t>𝑈_𝑓=𝐶_𝑀𝐴𝐶∗𝑊(𝐿,𝑝)∗𝑐𝑒𝑖𝑙[(〖max⁡(𝑊〗_𝑝𝑟𝑒𝑐𝑖𝑠𝑖𝑜𝑛  (𝐿), 〖 𝐴〗_𝑝𝑟𝑒𝑐𝑖𝑠𝑖𝑜𝑛 (𝐿)))/(</a:t>
              </a:r>
              <a:r>
                <a:rPr lang="en-US" sz="1100" b="0" i="0">
                  <a:solidFill>
                    <a:schemeClr val="tx1"/>
                  </a:solidFill>
                  <a:effectLst/>
                  <a:latin typeface="Cambria Math" panose="02040503050406030204" pitchFamily="18" charset="0"/>
                  <a:ea typeface="+mn-ea"/>
                  <a:cs typeface="+mn-cs"/>
                </a:rPr>
                <a:t>𝑀𝐴𝐶_𝑏𝑖𝑡𝑤𝑖𝑑𝑡ℎ  </a:t>
              </a:r>
              <a:r>
                <a:rPr lang="en-US" sz="1400" b="0" i="0">
                  <a:solidFill>
                    <a:sysClr val="windowText" lastClr="000000"/>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a:t>
              </a:r>
              <a:r>
                <a:rPr lang="en-US" sz="1400" b="0" i="0">
                  <a:solidFill>
                    <a:sysClr val="windowText" lastClr="000000"/>
                  </a:solidFill>
                  <a:latin typeface="Cambria Math" panose="02040503050406030204" pitchFamily="18" charset="0"/>
                </a:rPr>
                <a:t>+𝐶_𝐴𝐶𝑇∗𝑁_𝑛𝑒𝑢𝑟𝑜𝑛𝑠 (𝐿,𝑝)∗𝑐𝑒𝑖𝑙[(𝑁_𝑝𝑟𝑒𝑐𝑖𝑠𝑖𝑜𝑛 (𝐿))/(𝐴𝑐𝑡_𝑏𝑖𝑡𝑤𝑖𝑑𝑡ℎ  )</a:t>
              </a:r>
              <a:r>
                <a:rPr lang="en-GB" sz="1400" i="1"/>
                <a:t>]</a:t>
              </a:r>
            </a:p>
          </xdr:txBody>
        </xdr:sp>
      </mc:Fallback>
    </mc:AlternateContent>
    <xdr:clientData/>
  </xdr:oneCellAnchor>
  <xdr:oneCellAnchor>
    <xdr:from>
      <xdr:col>0</xdr:col>
      <xdr:colOff>3410856</xdr:colOff>
      <xdr:row>35</xdr:row>
      <xdr:rowOff>0</xdr:rowOff>
    </xdr:from>
    <xdr:ext cx="5515430" cy="889000"/>
    <mc:AlternateContent xmlns:mc="http://schemas.openxmlformats.org/markup-compatibility/2006" xmlns:a14="http://schemas.microsoft.com/office/drawing/2010/main">
      <mc:Choice Requires="a14">
        <xdr:sp macro="" textlink="">
          <xdr:nvSpPr>
            <xdr:cNvPr id="137" name="TextBox 76">
              <a:extLst>
                <a:ext uri="{FF2B5EF4-FFF2-40B4-BE49-F238E27FC236}">
                  <a16:creationId xmlns:a16="http://schemas.microsoft.com/office/drawing/2014/main" id="{22832302-E4F4-416E-9208-D72686861A1D}"/>
                </a:ext>
              </a:extLst>
            </xdr:cNvPr>
            <xdr:cNvSpPr txBox="1"/>
          </xdr:nvSpPr>
          <xdr:spPr>
            <a:xfrm>
              <a:off x="3410856" y="9769929"/>
              <a:ext cx="5515430" cy="889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400" b="0" i="1">
                            <a:solidFill>
                              <a:schemeClr val="tx1"/>
                            </a:solidFill>
                            <a:latin typeface="Cambria Math" panose="02040503050406030204" pitchFamily="18" charset="0"/>
                          </a:rPr>
                        </m:ctrlPr>
                      </m:sSubPr>
                      <m:e>
                        <m:r>
                          <a:rPr lang="en-US" sz="1400" b="0" i="1">
                            <a:solidFill>
                              <a:schemeClr val="tx1"/>
                            </a:solidFill>
                            <a:latin typeface="Cambria Math" panose="02040503050406030204" pitchFamily="18" charset="0"/>
                          </a:rPr>
                          <m:t>𝑁</m:t>
                        </m:r>
                      </m:e>
                      <m:sub>
                        <m:r>
                          <a:rPr lang="en-US" sz="1400" b="0" i="1">
                            <a:solidFill>
                              <a:schemeClr val="tx1"/>
                            </a:solidFill>
                            <a:latin typeface="Cambria Math" panose="02040503050406030204" pitchFamily="18" charset="0"/>
                          </a:rPr>
                          <m:t>𝑛𝑒𝑢𝑟𝑜𝑛𝑠</m:t>
                        </m:r>
                        <m:r>
                          <a:rPr lang="en-US" sz="1400" b="0" i="1">
                            <a:solidFill>
                              <a:schemeClr val="tx1"/>
                            </a:solidFill>
                            <a:latin typeface="Cambria Math" panose="02040503050406030204" pitchFamily="18" charset="0"/>
                          </a:rPr>
                          <m:t> </m:t>
                        </m:r>
                        <m:d>
                          <m:dPr>
                            <m:ctrlPr>
                              <a:rPr lang="en-US" sz="1400" b="0" i="1" baseline="0">
                                <a:solidFill>
                                  <a:schemeClr val="tx1"/>
                                </a:solidFill>
                                <a:latin typeface="Cambria Math" panose="02040503050406030204" pitchFamily="18" charset="0"/>
                              </a:rPr>
                            </m:ctrlPr>
                          </m:dPr>
                          <m:e>
                            <m:r>
                              <a:rPr lang="en-US" sz="1400" b="0" i="1" baseline="0">
                                <a:solidFill>
                                  <a:schemeClr val="tx1"/>
                                </a:solidFill>
                                <a:latin typeface="Cambria Math" panose="02040503050406030204" pitchFamily="18" charset="0"/>
                              </a:rPr>
                              <m:t>𝐿</m:t>
                            </m:r>
                            <m:r>
                              <a:rPr lang="en-US" sz="1400" b="0" i="1" baseline="0">
                                <a:solidFill>
                                  <a:schemeClr val="tx1"/>
                                </a:solidFill>
                                <a:latin typeface="Cambria Math" panose="02040503050406030204" pitchFamily="18" charset="0"/>
                              </a:rPr>
                              <m:t>, </m:t>
                            </m:r>
                            <m:r>
                              <a:rPr lang="en-US" sz="1400" b="0" i="1" baseline="0">
                                <a:solidFill>
                                  <a:schemeClr val="tx1"/>
                                </a:solidFill>
                                <a:latin typeface="Cambria Math" panose="02040503050406030204" pitchFamily="18" charset="0"/>
                              </a:rPr>
                              <m:t>𝑝</m:t>
                            </m:r>
                          </m:e>
                        </m:d>
                      </m:sub>
                    </m:sSub>
                    <m:r>
                      <a:rPr lang="en-US" sz="1400" b="0" i="1">
                        <a:solidFill>
                          <a:schemeClr val="tx1"/>
                        </a:solidFill>
                        <a:latin typeface="Cambria Math" panose="02040503050406030204" pitchFamily="18" charset="0"/>
                      </a:rPr>
                      <m:t>=</m:t>
                    </m:r>
                    <m:r>
                      <m:rPr>
                        <m:nor/>
                      </m:rPr>
                      <a:rPr lang="en-GB" sz="1400" i="1">
                        <a:solidFill>
                          <a:schemeClr val="tx1"/>
                        </a:solidFill>
                        <a:effectLst/>
                        <a:latin typeface="+mn-lt"/>
                        <a:ea typeface="+mn-ea"/>
                        <a:cs typeface="+mn-cs"/>
                      </a:rPr>
                      <m:t>	</m:t>
                    </m:r>
                    <m:d>
                      <m:dPr>
                        <m:begChr m:val="{"/>
                        <m:endChr m:val=""/>
                        <m:ctrlPr>
                          <a:rPr lang="en-GB" sz="1400" i="1">
                            <a:solidFill>
                              <a:schemeClr val="tx1"/>
                            </a:solidFill>
                            <a:effectLst/>
                            <a:latin typeface="Cambria Math" panose="02040503050406030204" pitchFamily="18" charset="0"/>
                            <a:ea typeface="+mn-ea"/>
                            <a:cs typeface="+mn-cs"/>
                          </a:rPr>
                        </m:ctrlPr>
                      </m:dPr>
                      <m:e>
                        <m:eqArr>
                          <m:eqArrPr>
                            <m:ctrlPr>
                              <a:rPr lang="en-GB" sz="1400" b="0" i="1">
                                <a:solidFill>
                                  <a:schemeClr val="tx1"/>
                                </a:solidFill>
                                <a:effectLst/>
                                <a:latin typeface="Cambria Math" panose="02040503050406030204" pitchFamily="18" charset="0"/>
                                <a:ea typeface="+mn-ea"/>
                                <a:cs typeface="+mn-cs"/>
                              </a:rPr>
                            </m:ctrlPr>
                          </m:eqArrPr>
                          <m:e>
                            <m:r>
                              <a:rPr lang="en-US" sz="1400" b="0" i="1">
                                <a:solidFill>
                                  <a:schemeClr val="tx1"/>
                                </a:solidFill>
                                <a:effectLst/>
                                <a:latin typeface="Cambria Math" panose="02040503050406030204" pitchFamily="18" charset="0"/>
                                <a:ea typeface="+mn-ea"/>
                                <a:cs typeface="+mn-cs"/>
                              </a:rPr>
                              <m:t>𝐷</m:t>
                            </m:r>
                            <m:r>
                              <a:rPr lang="en-US" sz="1400" b="0" i="1">
                                <a:solidFill>
                                  <a:schemeClr val="tx1"/>
                                </a:solidFill>
                                <a:effectLst/>
                                <a:latin typeface="Cambria Math" panose="02040503050406030204" pitchFamily="18" charset="0"/>
                                <a:ea typeface="+mn-ea"/>
                                <a:cs typeface="+mn-cs"/>
                              </a:rPr>
                              <m:t>∗4, </m:t>
                            </m:r>
                            <m:r>
                              <a:rPr lang="en-US" sz="1400" b="0" i="1">
                                <a:solidFill>
                                  <a:schemeClr val="tx1"/>
                                </a:solidFill>
                                <a:effectLst/>
                                <a:latin typeface="Cambria Math" panose="02040503050406030204" pitchFamily="18" charset="0"/>
                                <a:ea typeface="+mn-ea"/>
                                <a:cs typeface="+mn-cs"/>
                              </a:rPr>
                              <m:t>𝑖𝑓</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𝑓𝑢𝑙𝑙𝑦</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𝑐𝑜𝑛𝑛𝑒𝑐𝑡𝑒𝑑</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𝑖𝑛</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𝑎</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𝑡𝑟𝑎𝑛𝑠𝑓𝑜𝑟𝑚𝑒𝑟</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𝑎𝑟𝑐h</m:t>
                            </m:r>
                            <m:r>
                              <a:rPr lang="en-US" sz="1400" b="0" i="1">
                                <a:solidFill>
                                  <a:schemeClr val="tx1"/>
                                </a:solidFill>
                                <a:effectLst/>
                                <a:latin typeface="Cambria Math" panose="02040503050406030204" pitchFamily="18" charset="0"/>
                                <a:ea typeface="+mn-ea"/>
                                <a:cs typeface="+mn-cs"/>
                              </a:rPr>
                              <m:t>.</m:t>
                            </m:r>
                          </m:e>
                          <m:e>
                            <m:r>
                              <m:rPr>
                                <m:nor/>
                              </m:rPr>
                              <a:rPr lang="nl-BE" sz="1400" i="1">
                                <a:solidFill>
                                  <a:schemeClr val="tx1"/>
                                </a:solidFill>
                                <a:effectLst/>
                                <a:latin typeface="+mn-lt"/>
                                <a:ea typeface="+mn-ea"/>
                                <a:cs typeface="+mn-cs"/>
                              </a:rPr>
                              <m:t> </m:t>
                            </m:r>
                          </m:e>
                          <m:e>
                            <m:r>
                              <a:rPr lang="en-US" sz="1400" b="0" i="1">
                                <a:solidFill>
                                  <a:schemeClr val="tx1"/>
                                </a:solidFill>
                                <a:effectLst/>
                                <a:latin typeface="Cambria Math" panose="02040503050406030204" pitchFamily="18" charset="0"/>
                                <a:ea typeface="+mn-ea"/>
                                <a:cs typeface="+mn-cs"/>
                              </a:rPr>
                              <m:t>𝐻</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𝑖𝑓</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𝑓𝑢𝑙𝑙𝑦</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𝑐𝑜𝑛𝑛𝑒𝑐𝑡𝑒𝑑</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𝑖𝑛</m:t>
                            </m:r>
                            <m:r>
                              <a:rPr lang="en-US" sz="1400" b="0" i="1">
                                <a:solidFill>
                                  <a:schemeClr val="tx1"/>
                                </a:solidFill>
                                <a:effectLst/>
                                <a:latin typeface="Cambria Math" panose="02040503050406030204" pitchFamily="18" charset="0"/>
                                <a:ea typeface="+mn-ea"/>
                                <a:cs typeface="+mn-cs"/>
                              </a:rPr>
                              <m:t> </m:t>
                            </m:r>
                            <m:r>
                              <a:rPr lang="en-US" sz="1400" b="0" i="1">
                                <a:solidFill>
                                  <a:schemeClr val="tx1"/>
                                </a:solidFill>
                                <a:effectLst/>
                                <a:latin typeface="Cambria Math" panose="02040503050406030204" pitchFamily="18" charset="0"/>
                                <a:ea typeface="+mn-ea"/>
                                <a:cs typeface="+mn-cs"/>
                              </a:rPr>
                              <m:t>𝐶𝑁𝑁𝑠</m:t>
                            </m:r>
                          </m:e>
                        </m:eqArr>
                      </m:e>
                    </m:d>
                  </m:oMath>
                </m:oMathPara>
              </a14:m>
              <a:endParaRPr lang="en-GB" sz="1400" i="1">
                <a:solidFill>
                  <a:schemeClr val="tx1"/>
                </a:solidFill>
                <a:latin typeface="+mn-lt"/>
              </a:endParaRPr>
            </a:p>
          </xdr:txBody>
        </xdr:sp>
      </mc:Choice>
      <mc:Fallback xmlns="">
        <xdr:sp macro="" textlink="">
          <xdr:nvSpPr>
            <xdr:cNvPr id="982" name="TextBox 76">
              <a:extLst>
                <a:ext uri="{FF2B5EF4-FFF2-40B4-BE49-F238E27FC236}">
                  <a16:creationId xmlns:a16="http://schemas.microsoft.com/office/drawing/2014/main" id="{22832302-E4F4-416E-9208-D72686861A1D}"/>
                </a:ext>
              </a:extLst>
            </xdr:cNvPr>
            <xdr:cNvSpPr txBox="1"/>
          </xdr:nvSpPr>
          <xdr:spPr>
            <a:xfrm>
              <a:off x="3410856" y="9769929"/>
              <a:ext cx="5515430" cy="889000"/>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400" b="0" i="0">
                  <a:solidFill>
                    <a:schemeClr val="tx1"/>
                  </a:solidFill>
                  <a:latin typeface="+mn-lt"/>
                </a:rPr>
                <a:t>𝑁_(𝑛𝑒𝑢𝑟𝑜𝑛𝑠 </a:t>
              </a:r>
              <a:r>
                <a:rPr lang="en-US" sz="1400" b="0" i="0" baseline="0">
                  <a:solidFill>
                    <a:schemeClr val="tx1"/>
                  </a:solidFill>
                  <a:latin typeface="+mn-lt"/>
                </a:rPr>
                <a:t>(𝐿, 𝑝) )</a:t>
              </a:r>
              <a:r>
                <a:rPr lang="en-US" sz="1400" b="0" i="0">
                  <a:solidFill>
                    <a:schemeClr val="tx1"/>
                  </a:solidFill>
                  <a:latin typeface="+mn-lt"/>
                </a:rPr>
                <a:t>=</a:t>
              </a:r>
              <a:r>
                <a:rPr lang="en-GB" sz="1400" b="0" i="0">
                  <a:solidFill>
                    <a:schemeClr val="tx1"/>
                  </a:solidFill>
                  <a:effectLst/>
                  <a:latin typeface="Cambria Math" panose="02040503050406030204" pitchFamily="18" charset="0"/>
                  <a:ea typeface="+mn-ea"/>
                  <a:cs typeface="+mn-cs"/>
                </a:rPr>
                <a:t>"</a:t>
              </a:r>
              <a:r>
                <a:rPr lang="en-GB" sz="1400" i="0">
                  <a:solidFill>
                    <a:schemeClr val="tx1"/>
                  </a:solidFill>
                  <a:effectLst/>
                  <a:latin typeface="Cambria Math" panose="02040503050406030204" pitchFamily="18" charset="0"/>
                  <a:ea typeface="+mn-ea"/>
                  <a:cs typeface="+mn-cs"/>
                </a:rPr>
                <a:t>	</a:t>
              </a:r>
              <a:r>
                <a:rPr lang="en-GB" sz="1400" i="0">
                  <a:solidFill>
                    <a:schemeClr val="tx1"/>
                  </a:solidFill>
                  <a:effectLst/>
                  <a:latin typeface="+mn-lt"/>
                  <a:ea typeface="+mn-ea"/>
                  <a:cs typeface="+mn-cs"/>
                </a:rPr>
                <a:t>" {</a:t>
              </a:r>
              <a:r>
                <a:rPr lang="en-GB" sz="1400" b="0" i="0">
                  <a:solidFill>
                    <a:schemeClr val="tx1"/>
                  </a:solidFill>
                  <a:effectLst/>
                  <a:latin typeface="+mn-lt"/>
                  <a:ea typeface="+mn-ea"/>
                  <a:cs typeface="+mn-cs"/>
                </a:rPr>
                <a:t>█(</a:t>
              </a:r>
              <a:r>
                <a:rPr lang="en-US" sz="1400" b="0" i="0">
                  <a:solidFill>
                    <a:schemeClr val="tx1"/>
                  </a:solidFill>
                  <a:effectLst/>
                  <a:latin typeface="+mn-lt"/>
                  <a:ea typeface="+mn-ea"/>
                  <a:cs typeface="+mn-cs"/>
                </a:rPr>
                <a:t>𝐷∗4, 𝑖𝑓 𝑓𝑢𝑙𝑙𝑦 𝑐𝑜𝑛𝑛𝑒𝑐𝑡𝑒𝑑 𝑖𝑛 𝑎 𝑡𝑟𝑎𝑛𝑠𝑓𝑜𝑟𝑚𝑒𝑟 𝑎𝑟𝑐ℎ.@</a:t>
              </a:r>
              <a:r>
                <a:rPr lang="nl-BE" sz="1400" b="0" i="0">
                  <a:solidFill>
                    <a:schemeClr val="tx1"/>
                  </a:solidFill>
                  <a:effectLst/>
                  <a:latin typeface="+mn-lt"/>
                  <a:ea typeface="+mn-ea"/>
                  <a:cs typeface="+mn-cs"/>
                </a:rPr>
                <a:t>"</a:t>
              </a:r>
              <a:r>
                <a:rPr lang="nl-BE" sz="1400" i="0">
                  <a:solidFill>
                    <a:schemeClr val="tx1"/>
                  </a:solidFill>
                  <a:effectLst/>
                  <a:latin typeface="+mn-lt"/>
                  <a:ea typeface="+mn-ea"/>
                  <a:cs typeface="+mn-cs"/>
                </a:rPr>
                <a:t> " @</a:t>
              </a:r>
              <a:r>
                <a:rPr lang="en-US" sz="1400" b="0" i="0">
                  <a:solidFill>
                    <a:schemeClr val="tx1"/>
                  </a:solidFill>
                  <a:effectLst/>
                  <a:latin typeface="+mn-lt"/>
                  <a:ea typeface="+mn-ea"/>
                  <a:cs typeface="+mn-cs"/>
                </a:rPr>
                <a:t>𝐻, 𝑖𝑓 𝑓𝑢𝑙𝑙𝑦 𝑐𝑜𝑛𝑛𝑒𝑐𝑡𝑒𝑑 𝑖𝑛 𝐶𝑁𝑁𝑠)┤</a:t>
              </a:r>
              <a:endParaRPr lang="en-GB" sz="1400" i="1">
                <a:solidFill>
                  <a:schemeClr val="tx1"/>
                </a:solidFill>
                <a:latin typeface="+mn-lt"/>
              </a:endParaRPr>
            </a:p>
          </xdr:txBody>
        </xdr:sp>
      </mc:Fallback>
    </mc:AlternateContent>
    <xdr:clientData/>
  </xdr:oneCellAnchor>
  <xdr:oneCellAnchor>
    <xdr:from>
      <xdr:col>0</xdr:col>
      <xdr:colOff>3390900</xdr:colOff>
      <xdr:row>45</xdr:row>
      <xdr:rowOff>179613</xdr:rowOff>
    </xdr:from>
    <xdr:ext cx="5107214" cy="428173"/>
    <mc:AlternateContent xmlns:mc="http://schemas.openxmlformats.org/markup-compatibility/2006" xmlns:a14="http://schemas.microsoft.com/office/drawing/2010/main">
      <mc:Choice Requires="a14">
        <xdr:sp macro="" textlink="">
          <xdr:nvSpPr>
            <xdr:cNvPr id="140" name="TextBox 76">
              <a:extLst>
                <a:ext uri="{FF2B5EF4-FFF2-40B4-BE49-F238E27FC236}">
                  <a16:creationId xmlns:a16="http://schemas.microsoft.com/office/drawing/2014/main" id="{1009D907-E7DA-48EF-88A8-E9214CD9D260}"/>
                </a:ext>
              </a:extLst>
            </xdr:cNvPr>
            <xdr:cNvSpPr txBox="1"/>
          </xdr:nvSpPr>
          <xdr:spPr>
            <a:xfrm>
              <a:off x="3390900" y="12707256"/>
              <a:ext cx="5107214" cy="428173"/>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400" b="0" i="1">
                        <a:solidFill>
                          <a:schemeClr val="tx1"/>
                        </a:solidFill>
                        <a:latin typeface="Cambria Math" panose="02040503050406030204" pitchFamily="18" charset="0"/>
                      </a:rPr>
                      <m:t>𝑊</m:t>
                    </m:r>
                    <m:r>
                      <a:rPr lang="en-US" sz="1400" b="0" i="1">
                        <a:solidFill>
                          <a:schemeClr val="tx1"/>
                        </a:solidFill>
                        <a:latin typeface="Cambria Math" panose="02040503050406030204" pitchFamily="18" charset="0"/>
                      </a:rPr>
                      <m:t> </m:t>
                    </m:r>
                    <m:d>
                      <m:dPr>
                        <m:ctrlPr>
                          <a:rPr lang="en-US" sz="1400" b="0" i="1">
                            <a:solidFill>
                              <a:schemeClr val="tx1"/>
                            </a:solidFill>
                            <a:latin typeface="Cambria Math" panose="02040503050406030204" pitchFamily="18" charset="0"/>
                          </a:rPr>
                        </m:ctrlPr>
                      </m:dPr>
                      <m:e>
                        <m:r>
                          <a:rPr lang="en-US" sz="1400" b="0" i="1">
                            <a:solidFill>
                              <a:schemeClr val="tx1"/>
                            </a:solidFill>
                            <a:latin typeface="Cambria Math" panose="02040503050406030204" pitchFamily="18" charset="0"/>
                          </a:rPr>
                          <m:t>𝐿</m:t>
                        </m:r>
                        <m:r>
                          <a:rPr lang="en-US" sz="1400" b="0" i="1">
                            <a:solidFill>
                              <a:schemeClr val="tx1"/>
                            </a:solidFill>
                            <a:latin typeface="Cambria Math" panose="02040503050406030204" pitchFamily="18" charset="0"/>
                          </a:rPr>
                          <m:t>,</m:t>
                        </m:r>
                        <m:r>
                          <a:rPr lang="en-US" sz="1400" b="0" i="1">
                            <a:solidFill>
                              <a:schemeClr val="tx1"/>
                            </a:solidFill>
                            <a:latin typeface="Cambria Math" panose="02040503050406030204" pitchFamily="18" charset="0"/>
                          </a:rPr>
                          <m:t>𝑝</m:t>
                        </m:r>
                      </m:e>
                    </m:d>
                    <m:r>
                      <a:rPr lang="en-US" sz="1400" b="0" i="1">
                        <a:solidFill>
                          <a:schemeClr val="tx1"/>
                        </a:solidFill>
                        <a:latin typeface="Cambria Math" panose="02040503050406030204" pitchFamily="18" charset="0"/>
                      </a:rPr>
                      <m:t>=(</m:t>
                    </m:r>
                    <m:sSub>
                      <m:sSubPr>
                        <m:ctrlPr>
                          <a:rPr lang="en-US" sz="1400" b="0" i="1">
                            <a:solidFill>
                              <a:schemeClr val="tx1"/>
                            </a:solidFill>
                            <a:latin typeface="Cambria Math" panose="02040503050406030204" pitchFamily="18" charset="0"/>
                          </a:rPr>
                        </m:ctrlPr>
                      </m:sSubPr>
                      <m:e>
                        <m:r>
                          <a:rPr lang="en-US" sz="1400" b="0" i="1">
                            <a:solidFill>
                              <a:schemeClr val="tx1"/>
                            </a:solidFill>
                            <a:latin typeface="Cambria Math" panose="02040503050406030204" pitchFamily="18" charset="0"/>
                          </a:rPr>
                          <m:t>𝑁</m:t>
                        </m:r>
                      </m:e>
                      <m:sub>
                        <m:r>
                          <a:rPr lang="en-US" sz="1400" b="0" i="1">
                            <a:solidFill>
                              <a:schemeClr val="tx1"/>
                            </a:solidFill>
                            <a:latin typeface="Cambria Math" panose="02040503050406030204" pitchFamily="18" charset="0"/>
                          </a:rPr>
                          <m:t>𝑛𝑒𝑢𝑟𝑜𝑛𝑠</m:t>
                        </m:r>
                      </m:sub>
                    </m:sSub>
                    <m:r>
                      <a:rPr lang="en-US" sz="1400" b="0" i="1">
                        <a:solidFill>
                          <a:schemeClr val="tx1"/>
                        </a:solidFill>
                        <a:latin typeface="Cambria Math" panose="02040503050406030204" pitchFamily="18" charset="0"/>
                      </a:rPr>
                      <m:t>( </m:t>
                    </m:r>
                    <m:r>
                      <a:rPr lang="en-US" sz="1400" b="0" i="1">
                        <a:solidFill>
                          <a:schemeClr val="tx1"/>
                        </a:solidFill>
                        <a:latin typeface="Cambria Math" panose="02040503050406030204" pitchFamily="18" charset="0"/>
                      </a:rPr>
                      <m:t>𝐿</m:t>
                    </m:r>
                    <m:r>
                      <a:rPr lang="en-US" sz="1400" b="0" i="1">
                        <a:solidFill>
                          <a:schemeClr val="tx1"/>
                        </a:solidFill>
                        <a:latin typeface="Cambria Math" panose="02040503050406030204" pitchFamily="18" charset="0"/>
                      </a:rPr>
                      <m:t>, </m:t>
                    </m:r>
                    <m:r>
                      <a:rPr lang="en-US" sz="1400" b="0" i="1">
                        <a:solidFill>
                          <a:schemeClr val="tx1"/>
                        </a:solidFill>
                        <a:latin typeface="Cambria Math" panose="02040503050406030204" pitchFamily="18" charset="0"/>
                      </a:rPr>
                      <m:t>𝑝</m:t>
                    </m:r>
                    <m:r>
                      <a:rPr lang="en-US" sz="1400" b="0" i="1">
                        <a:solidFill>
                          <a:schemeClr val="tx1"/>
                        </a:solidFill>
                        <a:latin typeface="Cambria Math" panose="02040503050406030204" pitchFamily="18" charset="0"/>
                      </a:rPr>
                      <m:t>))^2</m:t>
                    </m:r>
                  </m:oMath>
                </m:oMathPara>
              </a14:m>
              <a:endParaRPr lang="en-GB" sz="1400" i="1">
                <a:solidFill>
                  <a:schemeClr val="tx1"/>
                </a:solidFill>
              </a:endParaRPr>
            </a:p>
          </xdr:txBody>
        </xdr:sp>
      </mc:Choice>
      <mc:Fallback xmlns="">
        <xdr:sp macro="" textlink="">
          <xdr:nvSpPr>
            <xdr:cNvPr id="20" name="TextBox 76">
              <a:extLst>
                <a:ext uri="{FF2B5EF4-FFF2-40B4-BE49-F238E27FC236}">
                  <a16:creationId xmlns:a16="http://schemas.microsoft.com/office/drawing/2014/main" id="{1009D907-E7DA-48EF-88A8-E9214CD9D260}"/>
                </a:ext>
              </a:extLst>
            </xdr:cNvPr>
            <xdr:cNvSpPr txBox="1"/>
          </xdr:nvSpPr>
          <xdr:spPr>
            <a:xfrm>
              <a:off x="3390900" y="12707256"/>
              <a:ext cx="5107214" cy="428173"/>
            </a:xfrm>
            <a:prstGeom prst="rect">
              <a:avLst/>
            </a:prstGeom>
            <a:solidFill>
              <a:sysClr val="window" lastClr="FFFFFF"/>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b="0" i="0">
                  <a:solidFill>
                    <a:schemeClr val="tx1"/>
                  </a:solidFill>
                  <a:latin typeface="Cambria Math" panose="02040503050406030204" pitchFamily="18" charset="0"/>
                </a:rPr>
                <a:t>𝑊 (𝐿,𝑝)=(𝑁_𝑛𝑒𝑢𝑟𝑜𝑛𝑠 ( 𝐿, 𝑝))^2</a:t>
              </a:r>
              <a:endParaRPr lang="en-GB" sz="1400" i="1">
                <a:solidFill>
                  <a:schemeClr val="tx1"/>
                </a:solidFill>
              </a:endParaRPr>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19916</xdr:colOff>
      <xdr:row>13</xdr:row>
      <xdr:rowOff>84626</xdr:rowOff>
    </xdr:from>
    <xdr:ext cx="14774334" cy="18290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43D3D6E-12F5-4986-9561-3138D43B86BA}"/>
                </a:ext>
              </a:extLst>
            </xdr:cNvPr>
            <xdr:cNvSpPr txBox="1"/>
          </xdr:nvSpPr>
          <xdr:spPr>
            <a:xfrm>
              <a:off x="19916" y="3790717"/>
              <a:ext cx="14774334" cy="182903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14:m>
                <m:oMath xmlns:m="http://schemas.openxmlformats.org/officeDocument/2006/math">
                  <m:r>
                    <a:rPr lang="en-US" sz="1600" b="0" i="1">
                      <a:latin typeface="Cambria Math" panose="02040503050406030204" pitchFamily="18" charset="0"/>
                    </a:rPr>
                    <m:t>𝐶</m:t>
                  </m:r>
                  <m:r>
                    <a:rPr lang="en-US" sz="1600" b="0" i="1">
                      <a:latin typeface="Cambria Math" panose="02040503050406030204" pitchFamily="18" charset="0"/>
                    </a:rPr>
                    <m:t>=</m:t>
                  </m:r>
                  <m:f>
                    <m:fPr>
                      <m:ctrlPr>
                        <a:rPr lang="en-US" sz="1600" b="0" i="1">
                          <a:latin typeface="Cambria Math" panose="02040503050406030204" pitchFamily="18" charset="0"/>
                        </a:rPr>
                      </m:ctrlPr>
                    </m:fPr>
                    <m:num>
                      <m:r>
                        <a:rPr lang="en-US" sz="1600" b="0" i="1">
                          <a:latin typeface="Cambria Math" panose="02040503050406030204" pitchFamily="18" charset="0"/>
                        </a:rPr>
                        <m:t>𝑁</m:t>
                      </m:r>
                    </m:num>
                    <m:den>
                      <m:sSub>
                        <m:sSubPr>
                          <m:ctrlPr>
                            <a:rPr lang="en-US" sz="1600" b="0" i="1">
                              <a:latin typeface="Cambria Math" panose="02040503050406030204" pitchFamily="18" charset="0"/>
                            </a:rPr>
                          </m:ctrlPr>
                        </m:sSubPr>
                        <m:e>
                          <m:r>
                            <a:rPr lang="en-US" sz="1600" b="0" i="1">
                              <a:latin typeface="Cambria Math" panose="02040503050406030204" pitchFamily="18" charset="0"/>
                            </a:rPr>
                            <m:t>𝐷</m:t>
                          </m:r>
                        </m:e>
                        <m:sub>
                          <m:r>
                            <a:rPr lang="en-US" sz="1600" b="0" i="1">
                              <a:latin typeface="Cambria Math" panose="02040503050406030204" pitchFamily="18" charset="0"/>
                            </a:rPr>
                            <m:t>𝑒𝑓𝑓</m:t>
                          </m:r>
                        </m:sub>
                      </m:sSub>
                    </m:den>
                  </m:f>
                  <m:r>
                    <a:rPr lang="en-US" sz="1600" b="0" i="1">
                      <a:latin typeface="Cambria Math" panose="02040503050406030204" pitchFamily="18" charset="0"/>
                    </a:rPr>
                    <m:t>+</m:t>
                  </m:r>
                  <m:sSub>
                    <m:sSubPr>
                      <m:ctrlPr>
                        <a:rPr lang="en-US" sz="1600" b="0" i="1">
                          <a:latin typeface="Cambria Math" panose="02040503050406030204" pitchFamily="18" charset="0"/>
                        </a:rPr>
                      </m:ctrlPr>
                    </m:sSubPr>
                    <m:e>
                      <m:r>
                        <a:rPr lang="en-US" sz="1600" b="0" i="1">
                          <a:latin typeface="Cambria Math" panose="02040503050406030204" pitchFamily="18" charset="0"/>
                        </a:rPr>
                        <m:t>𝑚</m:t>
                      </m:r>
                    </m:e>
                    <m:sub>
                      <m:r>
                        <a:rPr lang="en-US" sz="1600" b="0" i="1">
                          <a:latin typeface="Cambria Math" panose="02040503050406030204" pitchFamily="18" charset="0"/>
                        </a:rPr>
                        <m:t>𝑏𝑝𝑟𝑒𝑑</m:t>
                      </m:r>
                    </m:sub>
                  </m:sSub>
                  <m:r>
                    <a:rPr lang="en-US" sz="1600" b="0" i="1">
                      <a:latin typeface="Cambria Math" panose="02040503050406030204" pitchFamily="18" charset="0"/>
                    </a:rPr>
                    <m:t> </m:t>
                  </m:r>
                  <m:r>
                    <a:rPr lang="en-US" sz="1600" b="0" i="1">
                      <a:latin typeface="Cambria Math" panose="02040503050406030204" pitchFamily="18" charset="0"/>
                      <a:ea typeface="Cambria Math" panose="02040503050406030204" pitchFamily="18" charset="0"/>
                    </a:rPr>
                    <m:t>×</m:t>
                  </m:r>
                  <m:d>
                    <m:dPr>
                      <m:ctrlPr>
                        <a:rPr lang="en-US" sz="1600" b="0" i="1">
                          <a:latin typeface="Cambria Math" panose="02040503050406030204" pitchFamily="18" charset="0"/>
                          <a:ea typeface="Cambria Math" panose="02040503050406030204" pitchFamily="18" charset="0"/>
                        </a:rPr>
                      </m:ctrlPr>
                    </m:dPr>
                    <m:e>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𝑐</m:t>
                          </m:r>
                        </m:e>
                        <m:sub>
                          <m:r>
                            <a:rPr lang="en-US" sz="1600" b="0" i="1">
                              <a:latin typeface="Cambria Math" panose="02040503050406030204" pitchFamily="18" charset="0"/>
                              <a:ea typeface="Cambria Math" panose="02040503050406030204" pitchFamily="18" charset="0"/>
                            </a:rPr>
                            <m:t>𝑟𝑒𝑠</m:t>
                          </m:r>
                        </m:sub>
                      </m:sSub>
                      <m:r>
                        <a:rPr lang="en-US" sz="1600" b="0" i="1">
                          <a:latin typeface="Cambria Math" panose="02040503050406030204" pitchFamily="18" charset="0"/>
                          <a:ea typeface="Cambria Math" panose="02040503050406030204" pitchFamily="18" charset="0"/>
                        </a:rPr>
                        <m:t>+ </m:t>
                      </m:r>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𝑐</m:t>
                          </m:r>
                        </m:e>
                        <m:sub>
                          <m:r>
                            <a:rPr lang="en-US" sz="1600" b="0" i="1">
                              <a:latin typeface="Cambria Math" panose="02040503050406030204" pitchFamily="18" charset="0"/>
                              <a:ea typeface="Cambria Math" panose="02040503050406030204" pitchFamily="18" charset="0"/>
                            </a:rPr>
                            <m:t>𝑓𝑒</m:t>
                          </m:r>
                        </m:sub>
                      </m:sSub>
                    </m:e>
                  </m:d>
                  <m:r>
                    <a:rPr lang="en-US" sz="1600" b="0" i="1">
                      <a:latin typeface="Cambria Math" panose="02040503050406030204" pitchFamily="18" charset="0"/>
                      <a:ea typeface="Cambria Math" panose="02040503050406030204" pitchFamily="18" charset="0"/>
                    </a:rPr>
                    <m:t>+ </m:t>
                  </m:r>
                  <m:nary>
                    <m:naryPr>
                      <m:chr m:val="∑"/>
                      <m:supHide m:val="on"/>
                      <m:ctrlPr>
                        <a:rPr lang="en-US" sz="1600" b="0" i="1">
                          <a:latin typeface="Cambria Math" panose="02040503050406030204" pitchFamily="18" charset="0"/>
                          <a:ea typeface="Cambria Math" panose="02040503050406030204" pitchFamily="18" charset="0"/>
                        </a:rPr>
                      </m:ctrlPr>
                    </m:naryPr>
                    <m:sub>
                      <m:r>
                        <m:rPr>
                          <m:brk m:alnAt="7"/>
                        </m:rPr>
                        <a:rPr lang="en-US" sz="1600" b="0" i="1">
                          <a:latin typeface="Cambria Math" panose="02040503050406030204" pitchFamily="18" charset="0"/>
                          <a:ea typeface="Cambria Math" panose="02040503050406030204" pitchFamily="18" charset="0"/>
                        </a:rPr>
                        <m:t>𝑙</m:t>
                      </m:r>
                      <m:r>
                        <a:rPr lang="en-US" sz="1600" b="0" i="1">
                          <a:latin typeface="Cambria Math" panose="02040503050406030204" pitchFamily="18" charset="0"/>
                          <a:ea typeface="Cambria Math" panose="02040503050406030204" pitchFamily="18" charset="0"/>
                        </a:rPr>
                        <m:t>𝑒𝑣𝑒𝑙</m:t>
                      </m:r>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ea typeface="Cambria Math" panose="02040503050406030204" pitchFamily="18" charset="0"/>
                        </a:rPr>
                        <m:t>𝑖</m:t>
                      </m:r>
                    </m:sub>
                    <m:sup/>
                    <m:e>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𝑚</m:t>
                          </m:r>
                        </m:e>
                        <m:sub>
                          <m:r>
                            <a:rPr lang="en-US" sz="1600" b="0" i="1">
                              <a:latin typeface="Cambria Math" panose="02040503050406030204" pitchFamily="18" charset="0"/>
                              <a:ea typeface="Cambria Math" panose="02040503050406030204" pitchFamily="18" charset="0"/>
                            </a:rPr>
                            <m:t>𝐼𝐿</m:t>
                          </m:r>
                          <m:r>
                            <a:rPr lang="en-US" sz="1600" b="0" i="1">
                              <a:latin typeface="Cambria Math" panose="02040503050406030204" pitchFamily="18" charset="0"/>
                              <a:ea typeface="Cambria Math" panose="02040503050406030204" pitchFamily="18" charset="0"/>
                            </a:rPr>
                            <m:t>1</m:t>
                          </m:r>
                        </m:sub>
                      </m:sSub>
                      <m:r>
                        <a:rPr lang="en-US" sz="1600" b="0" i="1">
                          <a:latin typeface="Cambria Math" panose="02040503050406030204" pitchFamily="18" charset="0"/>
                          <a:ea typeface="Cambria Math" panose="02040503050406030204" pitchFamily="18" charset="0"/>
                        </a:rPr>
                        <m:t> × </m:t>
                      </m:r>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𝐶</m:t>
                          </m:r>
                        </m:e>
                        <m:sub>
                          <m:r>
                            <a:rPr lang="en-US" sz="1600" b="0" i="1">
                              <a:latin typeface="Cambria Math" panose="02040503050406030204" pitchFamily="18" charset="0"/>
                              <a:ea typeface="Cambria Math" panose="02040503050406030204" pitchFamily="18" charset="0"/>
                            </a:rPr>
                            <m:t>𝐿𝑖</m:t>
                          </m:r>
                          <m:r>
                            <a:rPr lang="en-US" sz="1600" b="0" i="1">
                              <a:latin typeface="Cambria Math" panose="02040503050406030204" pitchFamily="18" charset="0"/>
                              <a:ea typeface="Cambria Math" panose="02040503050406030204" pitchFamily="18" charset="0"/>
                            </a:rPr>
                            <m:t>+1</m:t>
                          </m:r>
                        </m:sub>
                      </m:sSub>
                    </m:e>
                  </m:nary>
                  <m:r>
                    <a:rPr lang="en-US" sz="1600" b="0" i="1">
                      <a:latin typeface="Cambria Math" panose="02040503050406030204" pitchFamily="18" charset="0"/>
                      <a:ea typeface="Cambria Math" panose="02040503050406030204" pitchFamily="18" charset="0"/>
                    </a:rPr>
                    <m:t>+ </m:t>
                  </m:r>
                  <m:f>
                    <m:fPr>
                      <m:ctrlPr>
                        <a:rPr lang="en-US" sz="1600" b="0" i="1">
                          <a:latin typeface="Cambria Math" panose="02040503050406030204" pitchFamily="18" charset="0"/>
                          <a:ea typeface="Cambria Math" panose="02040503050406030204" pitchFamily="18" charset="0"/>
                        </a:rPr>
                      </m:ctrlPr>
                    </m:fPr>
                    <m:num>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𝑚</m:t>
                          </m:r>
                        </m:e>
                        <m:sub>
                          <m:r>
                            <a:rPr lang="en-US" sz="1600" b="0" i="1">
                              <a:latin typeface="Cambria Math" panose="02040503050406030204" pitchFamily="18" charset="0"/>
                              <a:ea typeface="Cambria Math" panose="02040503050406030204" pitchFamily="18" charset="0"/>
                            </a:rPr>
                            <m:t>𝐿𝐿𝐶</m:t>
                          </m:r>
                        </m:sub>
                      </m:sSub>
                      <m:r>
                        <a:rPr lang="en-US" sz="1600" b="0" i="1">
                          <a:latin typeface="Cambria Math" panose="02040503050406030204" pitchFamily="18" charset="0"/>
                          <a:ea typeface="Cambria Math" panose="02040503050406030204" pitchFamily="18" charset="0"/>
                        </a:rPr>
                        <m:t> × </m:t>
                      </m:r>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𝑐</m:t>
                          </m:r>
                        </m:e>
                        <m:sub>
                          <m:r>
                            <a:rPr lang="en-US" sz="1600" b="0" i="1">
                              <a:latin typeface="Cambria Math" panose="02040503050406030204" pitchFamily="18" charset="0"/>
                              <a:ea typeface="Cambria Math" panose="02040503050406030204" pitchFamily="18" charset="0"/>
                            </a:rPr>
                            <m:t>𝑚𝑒𝑚</m:t>
                          </m:r>
                        </m:sub>
                      </m:sSub>
                    </m:num>
                    <m:den>
                      <m:r>
                        <a:rPr lang="en-US" sz="1600" b="0" i="1">
                          <a:latin typeface="Cambria Math" panose="02040503050406030204" pitchFamily="18" charset="0"/>
                          <a:ea typeface="Cambria Math" panose="02040503050406030204" pitchFamily="18" charset="0"/>
                        </a:rPr>
                        <m:t>𝑀𝐿𝑃</m:t>
                      </m:r>
                    </m:den>
                  </m:f>
                  <m:r>
                    <a:rPr lang="en-US" sz="1600" b="0" i="1">
                      <a:latin typeface="Cambria Math" panose="02040503050406030204" pitchFamily="18" charset="0"/>
                      <a:ea typeface="Cambria Math" panose="02040503050406030204" pitchFamily="18" charset="0"/>
                    </a:rPr>
                    <m:t>+ </m:t>
                  </m:r>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𝑃</m:t>
                      </m:r>
                    </m:e>
                    <m:sub>
                      <m:r>
                        <a:rPr lang="en-US" sz="1600" b="0" i="1">
                          <a:latin typeface="Cambria Math" panose="02040503050406030204" pitchFamily="18" charset="0"/>
                          <a:ea typeface="Cambria Math" panose="02040503050406030204" pitchFamily="18" charset="0"/>
                        </a:rPr>
                        <m:t>h𝐿𝐿𝐶</m:t>
                      </m:r>
                    </m:sub>
                  </m:sSub>
                  <m:r>
                    <a:rPr lang="en-US" sz="1600" b="0" i="0">
                      <a:latin typeface="Cambria Math" panose="02040503050406030204" pitchFamily="18" charset="0"/>
                      <a:ea typeface="Cambria Math" panose="02040503050406030204" pitchFamily="18" charset="0"/>
                    </a:rPr>
                    <m:t> , </m:t>
                  </m:r>
                </m:oMath>
              </a14:m>
              <a:r>
                <a:rPr lang="en-GB" sz="1000"/>
                <a:t>Where,</a:t>
              </a:r>
            </a:p>
            <a:p>
              <a:r>
                <a:rPr lang="en-GB" sz="1000"/>
                <a:t> - </a:t>
              </a:r>
              <a:r>
                <a:rPr lang="en-GB" sz="1000" b="0" i="0" u="none" strike="noStrike" baseline="0">
                  <a:solidFill>
                    <a:schemeClr val="tx1"/>
                  </a:solidFill>
                  <a:latin typeface="+mn-lt"/>
                  <a:ea typeface="+mn-ea"/>
                  <a:cs typeface="+mn-cs"/>
                </a:rPr>
                <a:t>the </a:t>
              </a:r>
              <a:r>
                <a:rPr lang="en-GB" sz="1000" b="1" i="0" u="none" strike="noStrike" baseline="0">
                  <a:solidFill>
                    <a:schemeClr val="tx1"/>
                  </a:solidFill>
                  <a:latin typeface="+mn-lt"/>
                  <a:ea typeface="+mn-ea"/>
                  <a:cs typeface="+mn-cs"/>
                </a:rPr>
                <a:t>Base component (</a:t>
              </a:r>
              <a14:m>
                <m:oMath xmlns:m="http://schemas.openxmlformats.org/officeDocument/2006/math">
                  <m:f>
                    <m:fPr>
                      <m:ctrlPr>
                        <a:rPr lang="en-US" sz="1000" b="1" i="1">
                          <a:solidFill>
                            <a:schemeClr val="tx1"/>
                          </a:solidFill>
                          <a:effectLst/>
                          <a:latin typeface="Cambria Math" panose="02040503050406030204" pitchFamily="18" charset="0"/>
                          <a:ea typeface="+mn-ea"/>
                          <a:cs typeface="+mn-cs"/>
                        </a:rPr>
                      </m:ctrlPr>
                    </m:fPr>
                    <m:num>
                      <m:r>
                        <a:rPr lang="en-US" sz="1000" b="1" i="1">
                          <a:solidFill>
                            <a:schemeClr val="tx1"/>
                          </a:solidFill>
                          <a:effectLst/>
                          <a:latin typeface="Cambria Math" panose="02040503050406030204" pitchFamily="18" charset="0"/>
                          <a:ea typeface="+mn-ea"/>
                          <a:cs typeface="+mn-cs"/>
                        </a:rPr>
                        <m:t>𝑵</m:t>
                      </m:r>
                    </m:num>
                    <m:den>
                      <m:sSub>
                        <m:sSubPr>
                          <m:ctrlPr>
                            <a:rPr lang="en-US" sz="1000" b="1" i="1">
                              <a:solidFill>
                                <a:schemeClr val="tx1"/>
                              </a:solidFill>
                              <a:effectLst/>
                              <a:latin typeface="Cambria Math" panose="02040503050406030204" pitchFamily="18" charset="0"/>
                              <a:ea typeface="+mn-ea"/>
                              <a:cs typeface="+mn-cs"/>
                            </a:rPr>
                          </m:ctrlPr>
                        </m:sSubPr>
                        <m:e>
                          <m:r>
                            <a:rPr lang="en-US" sz="1000" b="1" i="1">
                              <a:solidFill>
                                <a:schemeClr val="tx1"/>
                              </a:solidFill>
                              <a:effectLst/>
                              <a:latin typeface="Cambria Math" panose="02040503050406030204" pitchFamily="18" charset="0"/>
                              <a:ea typeface="+mn-ea"/>
                              <a:cs typeface="+mn-cs"/>
                            </a:rPr>
                            <m:t>𝑫</m:t>
                          </m:r>
                        </m:e>
                        <m:sub>
                          <m:r>
                            <a:rPr lang="en-US" sz="1000" b="1" i="1">
                              <a:solidFill>
                                <a:schemeClr val="tx1"/>
                              </a:solidFill>
                              <a:effectLst/>
                              <a:latin typeface="Cambria Math" panose="02040503050406030204" pitchFamily="18" charset="0"/>
                              <a:ea typeface="+mn-ea"/>
                              <a:cs typeface="+mn-cs"/>
                            </a:rPr>
                            <m:t>𝒆𝒇𝒇</m:t>
                          </m:r>
                        </m:sub>
                      </m:sSub>
                    </m:den>
                  </m:f>
                </m:oMath>
              </a14:m>
              <a:r>
                <a:rPr lang="en-GB" sz="1000" b="1" i="0" u="none" strike="noStrike" baseline="0">
                  <a:solidFill>
                    <a:schemeClr val="tx1"/>
                  </a:solidFill>
                  <a:latin typeface="+mn-lt"/>
                  <a:ea typeface="+mn-ea"/>
                  <a:cs typeface="+mn-cs"/>
                </a:rPr>
                <a:t>) </a:t>
              </a:r>
              <a:r>
                <a:rPr lang="en-GB" sz="1000" b="0" i="0" u="none" strike="noStrike" baseline="0">
                  <a:solidFill>
                    <a:schemeClr val="tx1"/>
                  </a:solidFill>
                  <a:latin typeface="+mn-lt"/>
                  <a:ea typeface="+mn-ea"/>
                  <a:cs typeface="+mn-cs"/>
                </a:rPr>
                <a:t>is obtained by dividing the number of micro-ops (N) by the effective dispatch rate (D</a:t>
              </a:r>
              <a:r>
                <a:rPr lang="en-GB" sz="1000" b="0" i="0" u="none" strike="noStrike" baseline="-25000">
                  <a:solidFill>
                    <a:schemeClr val="tx1"/>
                  </a:solidFill>
                  <a:latin typeface="+mn-lt"/>
                  <a:ea typeface="+mn-ea"/>
                  <a:cs typeface="+mn-cs"/>
                </a:rPr>
                <a:t>eff</a:t>
              </a:r>
              <a:r>
                <a:rPr lang="en-GB" sz="1000" b="0" i="0" u="none" strike="noStrike" baseline="0">
                  <a:solidFill>
                    <a:schemeClr val="tx1"/>
                  </a:solidFill>
                  <a:latin typeface="+mn-lt"/>
                  <a:ea typeface="+mn-ea"/>
                  <a:cs typeface="+mn-cs"/>
                </a:rPr>
                <a:t> ). The effective dispatch rate is a function of the width of the front-end pipeline, the available ILP in the application &amp; the amount of contention in the functional units.</a:t>
              </a:r>
            </a:p>
            <a:p>
              <a:r>
                <a:rPr lang="en-GB" sz="1000" b="0" i="0" u="none" strike="noStrike" baseline="0">
                  <a:solidFill>
                    <a:schemeClr val="tx1"/>
                  </a:solidFill>
                  <a:latin typeface="+mn-lt"/>
                  <a:ea typeface="+mn-ea"/>
                  <a:cs typeface="+mn-cs"/>
                </a:rPr>
                <a:t>- the </a:t>
              </a:r>
              <a:r>
                <a:rPr lang="en-GB" sz="1000" b="1" i="0" u="none" strike="noStrike" baseline="0">
                  <a:solidFill>
                    <a:schemeClr val="tx1"/>
                  </a:solidFill>
                  <a:latin typeface="+mn-lt"/>
                  <a:ea typeface="+mn-ea"/>
                  <a:cs typeface="+mn-cs"/>
                </a:rPr>
                <a:t>Branch component</a:t>
              </a:r>
              <a:r>
                <a:rPr lang="en-GB" sz="1000" b="0" i="0" u="none" strike="noStrike" baseline="0">
                  <a:solidFill>
                    <a:schemeClr val="tx1"/>
                  </a:solidFill>
                  <a:latin typeface="+mn-lt"/>
                  <a:ea typeface="+mn-ea"/>
                  <a:cs typeface="+mn-cs"/>
                </a:rPr>
                <a:t> </a:t>
              </a:r>
              <a:r>
                <a:rPr lang="en-GB" sz="1000" b="1" i="0" u="none" strike="noStrike" baseline="0">
                  <a:solidFill>
                    <a:schemeClr val="tx1"/>
                  </a:solidFill>
                  <a:latin typeface="+mn-lt"/>
                  <a:ea typeface="+mn-ea"/>
                  <a:cs typeface="+mn-cs"/>
                </a:rPr>
                <a:t>(</a:t>
              </a:r>
              <a14:m>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𝒎</m:t>
                      </m:r>
                    </m:e>
                    <m:sub>
                      <m:r>
                        <a:rPr lang="en-US" sz="1100" b="1" i="1">
                          <a:solidFill>
                            <a:schemeClr val="tx1"/>
                          </a:solidFill>
                          <a:effectLst/>
                          <a:latin typeface="Cambria Math" panose="02040503050406030204" pitchFamily="18" charset="0"/>
                          <a:ea typeface="+mn-ea"/>
                          <a:cs typeface="+mn-cs"/>
                        </a:rPr>
                        <m:t>𝒃𝒑𝒓𝒆𝒅</m:t>
                      </m:r>
                    </m:sub>
                  </m:sSub>
                  <m:r>
                    <a:rPr lang="en-US" sz="1100" b="1" i="1">
                      <a:solidFill>
                        <a:schemeClr val="tx1"/>
                      </a:solidFill>
                      <a:effectLst/>
                      <a:latin typeface="Cambria Math" panose="02040503050406030204" pitchFamily="18" charset="0"/>
                      <a:ea typeface="+mn-ea"/>
                      <a:cs typeface="+mn-cs"/>
                    </a:rPr>
                    <m:t> ×</m:t>
                  </m:r>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𝒄</m:t>
                          </m:r>
                        </m:e>
                        <m:sub>
                          <m:r>
                            <a:rPr lang="en-US" sz="1100" b="1" i="1">
                              <a:solidFill>
                                <a:schemeClr val="tx1"/>
                              </a:solidFill>
                              <a:effectLst/>
                              <a:latin typeface="Cambria Math" panose="02040503050406030204" pitchFamily="18" charset="0"/>
                              <a:ea typeface="+mn-ea"/>
                              <a:cs typeface="+mn-cs"/>
                            </a:rPr>
                            <m:t>𝒓𝒆𝒔</m:t>
                          </m:r>
                        </m:sub>
                      </m:sSub>
                      <m:r>
                        <a:rPr lang="en-US" sz="1100" b="1" i="1">
                          <a:solidFill>
                            <a:schemeClr val="tx1"/>
                          </a:solidFill>
                          <a:effectLst/>
                          <a:latin typeface="Cambria Math" panose="02040503050406030204" pitchFamily="18" charset="0"/>
                          <a:ea typeface="+mn-ea"/>
                          <a:cs typeface="+mn-cs"/>
                        </a:rPr>
                        <m:t>+ </m:t>
                      </m:r>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𝒄</m:t>
                          </m:r>
                        </m:e>
                        <m:sub>
                          <m:r>
                            <a:rPr lang="en-US" sz="1100" b="1" i="1">
                              <a:solidFill>
                                <a:schemeClr val="tx1"/>
                              </a:solidFill>
                              <a:effectLst/>
                              <a:latin typeface="Cambria Math" panose="02040503050406030204" pitchFamily="18" charset="0"/>
                              <a:ea typeface="+mn-ea"/>
                              <a:cs typeface="+mn-cs"/>
                            </a:rPr>
                            <m:t>𝒇𝒆</m:t>
                          </m:r>
                        </m:sub>
                      </m:sSub>
                    </m:e>
                  </m:d>
                </m:oMath>
              </a14:m>
              <a:r>
                <a:rPr lang="en-GB" sz="1000" b="1" i="0" u="none" strike="noStrike" baseline="0">
                  <a:solidFill>
                    <a:schemeClr val="tx1"/>
                  </a:solidFill>
                  <a:latin typeface="+mn-lt"/>
                  <a:ea typeface="+mn-ea"/>
                  <a:cs typeface="+mn-cs"/>
                </a:rPr>
                <a:t>)</a:t>
              </a:r>
              <a:r>
                <a:rPr lang="en-GB" sz="1000" b="0" i="0" u="none" strike="noStrike" baseline="0">
                  <a:solidFill>
                    <a:schemeClr val="tx1"/>
                  </a:solidFill>
                  <a:latin typeface="+mn-lt"/>
                  <a:ea typeface="+mn-ea"/>
                  <a:cs typeface="+mn-cs"/>
                </a:rPr>
                <a:t> quantifies the lost cycles due to branch mispredictions &amp; is computed as the no. of mispredictions (or the no. of branch misses; m</a:t>
              </a:r>
              <a:r>
                <a:rPr lang="en-GB" sz="1000" b="0" i="0" u="none" strike="noStrike" baseline="-25000">
                  <a:solidFill>
                    <a:schemeClr val="tx1"/>
                  </a:solidFill>
                  <a:latin typeface="+mn-lt"/>
                  <a:ea typeface="+mn-ea"/>
                  <a:cs typeface="+mn-cs"/>
                </a:rPr>
                <a:t>bpred</a:t>
              </a:r>
              <a:r>
                <a:rPr lang="en-GB" sz="1000" b="0" i="0" u="none" strike="noStrike" baseline="0">
                  <a:solidFill>
                    <a:schemeClr val="tx1"/>
                  </a:solidFill>
                  <a:latin typeface="+mn-lt"/>
                  <a:ea typeface="+mn-ea"/>
                  <a:cs typeface="+mn-cs"/>
                </a:rPr>
                <a:t>) times the sum of the branch resolution time (c</a:t>
              </a:r>
              <a:r>
                <a:rPr lang="en-GB" sz="1000" b="0" i="0" u="none" strike="noStrike" baseline="-25000">
                  <a:solidFill>
                    <a:schemeClr val="tx1"/>
                  </a:solidFill>
                  <a:latin typeface="+mn-lt"/>
                  <a:ea typeface="+mn-ea"/>
                  <a:cs typeface="+mn-cs"/>
                </a:rPr>
                <a:t>res</a:t>
              </a:r>
              <a:r>
                <a:rPr lang="en-GB" sz="1000" b="0" i="0" u="none" strike="noStrike" baseline="0">
                  <a:solidFill>
                    <a:schemeClr val="tx1"/>
                  </a:solidFill>
                  <a:latin typeface="+mn-lt"/>
                  <a:ea typeface="+mn-ea"/>
                  <a:cs typeface="+mn-cs"/>
                </a:rPr>
                <a:t>) and the front-end pipeline depth or the time b/w the branch being dispatched from the front-end pipeline into the back-end (issue queue &amp; reorder buffer), &amp; the branch being executed.</a:t>
              </a:r>
            </a:p>
            <a:p>
              <a:r>
                <a:rPr lang="en-GB" sz="1000" b="0" i="0" u="none" strike="noStrike" baseline="0">
                  <a:solidFill>
                    <a:schemeClr val="tx1"/>
                  </a:solidFill>
                  <a:latin typeface="+mn-lt"/>
                  <a:ea typeface="+mn-ea"/>
                  <a:cs typeface="+mn-cs"/>
                </a:rPr>
                <a:t>-  the </a:t>
              </a:r>
              <a:r>
                <a:rPr lang="en-GB" sz="1000" b="1" i="0" u="none" strike="noStrike" baseline="0">
                  <a:solidFill>
                    <a:schemeClr val="tx1"/>
                  </a:solidFill>
                  <a:latin typeface="+mn-lt"/>
                  <a:ea typeface="+mn-ea"/>
                  <a:cs typeface="+mn-cs"/>
                </a:rPr>
                <a:t>Instruction cache component (</a:t>
              </a:r>
              <a14:m>
                <m:oMath xmlns:m="http://schemas.openxmlformats.org/officeDocument/2006/math">
                  <m:nary>
                    <m:naryPr>
                      <m:chr m:val="∑"/>
                      <m:supHide m:val="on"/>
                      <m:ctrlPr>
                        <a:rPr lang="en-US" sz="1000" b="1" i="1">
                          <a:solidFill>
                            <a:schemeClr val="tx1"/>
                          </a:solidFill>
                          <a:effectLst/>
                          <a:latin typeface="Cambria Math" panose="02040503050406030204" pitchFamily="18" charset="0"/>
                          <a:ea typeface="+mn-ea"/>
                          <a:cs typeface="+mn-cs"/>
                        </a:rPr>
                      </m:ctrlPr>
                    </m:naryPr>
                    <m:sub>
                      <m:r>
                        <m:rPr>
                          <m:brk m:alnAt="7"/>
                        </m:rPr>
                        <a:rPr lang="en-US" sz="1000" b="1" i="1">
                          <a:solidFill>
                            <a:schemeClr val="tx1"/>
                          </a:solidFill>
                          <a:effectLst/>
                          <a:latin typeface="Cambria Math" panose="02040503050406030204" pitchFamily="18" charset="0"/>
                          <a:ea typeface="+mn-ea"/>
                          <a:cs typeface="+mn-cs"/>
                        </a:rPr>
                        <m:t>𝒍</m:t>
                      </m:r>
                      <m:r>
                        <a:rPr lang="en-US" sz="1000" b="1" i="1">
                          <a:solidFill>
                            <a:schemeClr val="tx1"/>
                          </a:solidFill>
                          <a:effectLst/>
                          <a:latin typeface="Cambria Math" panose="02040503050406030204" pitchFamily="18" charset="0"/>
                          <a:ea typeface="+mn-ea"/>
                          <a:cs typeface="+mn-cs"/>
                        </a:rPr>
                        <m:t>𝒆𝒗𝒆𝒍</m:t>
                      </m:r>
                      <m:r>
                        <a:rPr lang="en-US" sz="1000" b="1" i="1">
                          <a:solidFill>
                            <a:schemeClr val="tx1"/>
                          </a:solidFill>
                          <a:effectLst/>
                          <a:latin typeface="Cambria Math" panose="02040503050406030204" pitchFamily="18" charset="0"/>
                          <a:ea typeface="+mn-ea"/>
                          <a:cs typeface="+mn-cs"/>
                        </a:rPr>
                        <m:t>=</m:t>
                      </m:r>
                      <m:r>
                        <a:rPr lang="en-US" sz="1000" b="1" i="1">
                          <a:solidFill>
                            <a:schemeClr val="tx1"/>
                          </a:solidFill>
                          <a:effectLst/>
                          <a:latin typeface="Cambria Math" panose="02040503050406030204" pitchFamily="18" charset="0"/>
                          <a:ea typeface="+mn-ea"/>
                          <a:cs typeface="+mn-cs"/>
                        </a:rPr>
                        <m:t>𝒊</m:t>
                      </m:r>
                    </m:sub>
                    <m:sup/>
                    <m:e>
                      <m:sSub>
                        <m:sSubPr>
                          <m:ctrlPr>
                            <a:rPr lang="en-US" sz="1000" b="1" i="1">
                              <a:solidFill>
                                <a:schemeClr val="tx1"/>
                              </a:solidFill>
                              <a:effectLst/>
                              <a:latin typeface="Cambria Math" panose="02040503050406030204" pitchFamily="18" charset="0"/>
                              <a:ea typeface="+mn-ea"/>
                              <a:cs typeface="+mn-cs"/>
                            </a:rPr>
                          </m:ctrlPr>
                        </m:sSubPr>
                        <m:e>
                          <m:r>
                            <a:rPr lang="en-US" sz="1000" b="1" i="1">
                              <a:solidFill>
                                <a:schemeClr val="tx1"/>
                              </a:solidFill>
                              <a:effectLst/>
                              <a:latin typeface="Cambria Math" panose="02040503050406030204" pitchFamily="18" charset="0"/>
                              <a:ea typeface="+mn-ea"/>
                              <a:cs typeface="+mn-cs"/>
                            </a:rPr>
                            <m:t>𝒎</m:t>
                          </m:r>
                        </m:e>
                        <m:sub>
                          <m:r>
                            <a:rPr lang="en-US" sz="1000" b="1" i="1">
                              <a:solidFill>
                                <a:schemeClr val="tx1"/>
                              </a:solidFill>
                              <a:effectLst/>
                              <a:latin typeface="Cambria Math" panose="02040503050406030204" pitchFamily="18" charset="0"/>
                              <a:ea typeface="+mn-ea"/>
                              <a:cs typeface="+mn-cs"/>
                            </a:rPr>
                            <m:t>𝑰𝑳</m:t>
                          </m:r>
                          <m:r>
                            <a:rPr lang="en-US" sz="1000" b="1" i="1">
                              <a:solidFill>
                                <a:schemeClr val="tx1"/>
                              </a:solidFill>
                              <a:effectLst/>
                              <a:latin typeface="Cambria Math" panose="02040503050406030204" pitchFamily="18" charset="0"/>
                              <a:ea typeface="+mn-ea"/>
                              <a:cs typeface="+mn-cs"/>
                            </a:rPr>
                            <m:t>𝟏</m:t>
                          </m:r>
                        </m:sub>
                      </m:sSub>
                      <m:r>
                        <a:rPr lang="en-US" sz="1000" b="1" i="1">
                          <a:solidFill>
                            <a:schemeClr val="tx1"/>
                          </a:solidFill>
                          <a:effectLst/>
                          <a:latin typeface="Cambria Math" panose="02040503050406030204" pitchFamily="18" charset="0"/>
                          <a:ea typeface="+mn-ea"/>
                          <a:cs typeface="+mn-cs"/>
                        </a:rPr>
                        <m:t> × </m:t>
                      </m:r>
                      <m:sSub>
                        <m:sSubPr>
                          <m:ctrlPr>
                            <a:rPr lang="en-US" sz="1000" b="1" i="1">
                              <a:solidFill>
                                <a:schemeClr val="tx1"/>
                              </a:solidFill>
                              <a:effectLst/>
                              <a:latin typeface="Cambria Math" panose="02040503050406030204" pitchFamily="18" charset="0"/>
                              <a:ea typeface="+mn-ea"/>
                              <a:cs typeface="+mn-cs"/>
                            </a:rPr>
                          </m:ctrlPr>
                        </m:sSubPr>
                        <m:e>
                          <m:r>
                            <a:rPr lang="en-US" sz="1000" b="1" i="1">
                              <a:solidFill>
                                <a:schemeClr val="tx1"/>
                              </a:solidFill>
                              <a:effectLst/>
                              <a:latin typeface="Cambria Math" panose="02040503050406030204" pitchFamily="18" charset="0"/>
                              <a:ea typeface="+mn-ea"/>
                              <a:cs typeface="+mn-cs"/>
                            </a:rPr>
                            <m:t>𝑪</m:t>
                          </m:r>
                        </m:e>
                        <m:sub>
                          <m:r>
                            <a:rPr lang="en-US" sz="1000" b="1" i="1">
                              <a:solidFill>
                                <a:schemeClr val="tx1"/>
                              </a:solidFill>
                              <a:effectLst/>
                              <a:latin typeface="Cambria Math" panose="02040503050406030204" pitchFamily="18" charset="0"/>
                              <a:ea typeface="+mn-ea"/>
                              <a:cs typeface="+mn-cs"/>
                            </a:rPr>
                            <m:t>𝑳𝒊</m:t>
                          </m:r>
                          <m:r>
                            <a:rPr lang="en-US" sz="1000" b="1" i="1">
                              <a:solidFill>
                                <a:schemeClr val="tx1"/>
                              </a:solidFill>
                              <a:effectLst/>
                              <a:latin typeface="Cambria Math" panose="02040503050406030204" pitchFamily="18" charset="0"/>
                              <a:ea typeface="+mn-ea"/>
                              <a:cs typeface="+mn-cs"/>
                            </a:rPr>
                            <m:t>+</m:t>
                          </m:r>
                          <m:r>
                            <a:rPr lang="en-US" sz="1000" b="1" i="1">
                              <a:solidFill>
                                <a:schemeClr val="tx1"/>
                              </a:solidFill>
                              <a:effectLst/>
                              <a:latin typeface="Cambria Math" panose="02040503050406030204" pitchFamily="18" charset="0"/>
                              <a:ea typeface="+mn-ea"/>
                              <a:cs typeface="+mn-cs"/>
                            </a:rPr>
                            <m:t>𝟏</m:t>
                          </m:r>
                        </m:sub>
                      </m:sSub>
                    </m:e>
                  </m:nary>
                </m:oMath>
              </a14:m>
              <a:r>
                <a:rPr lang="en-GB" sz="1000" b="1" i="0" u="none" strike="noStrike" baseline="0">
                  <a:solidFill>
                    <a:schemeClr val="tx1"/>
                  </a:solidFill>
                  <a:latin typeface="+mn-lt"/>
                  <a:ea typeface="+mn-ea"/>
                  <a:cs typeface="+mn-cs"/>
                </a:rPr>
                <a:t>) </a:t>
              </a:r>
              <a:r>
                <a:rPr lang="en-GB" sz="1000" b="0" i="0" u="none" strike="noStrike" baseline="0">
                  <a:solidFill>
                    <a:schemeClr val="tx1"/>
                  </a:solidFill>
                  <a:latin typeface="+mn-lt"/>
                  <a:ea typeface="+mn-ea"/>
                  <a:cs typeface="+mn-cs"/>
                </a:rPr>
                <a:t>quantifies the impact of icache misses &amp; is computed as the product of the cache miss rate at each level (m</a:t>
              </a:r>
              <a:r>
                <a:rPr lang="en-GB" sz="1000" b="0" i="0" u="none" strike="noStrike" baseline="-25000">
                  <a:solidFill>
                    <a:schemeClr val="tx1"/>
                  </a:solidFill>
                  <a:latin typeface="+mn-lt"/>
                  <a:ea typeface="+mn-ea"/>
                  <a:cs typeface="+mn-cs"/>
                </a:rPr>
                <a:t>ILi</a:t>
              </a:r>
              <a:r>
                <a:rPr lang="en-GB" sz="1000" b="0" i="0" u="none" strike="noStrike" baseline="0">
                  <a:solidFill>
                    <a:schemeClr val="tx1"/>
                  </a:solidFill>
                  <a:latin typeface="+mn-lt"/>
                  <a:ea typeface="+mn-ea"/>
                  <a:cs typeface="+mn-cs"/>
                </a:rPr>
                <a:t>) &amp; the respective miss latency</a:t>
              </a:r>
            </a:p>
            <a:p>
              <a:r>
                <a:rPr lang="en-GB" sz="1000" b="0" i="0" u="none" strike="noStrike" baseline="0">
                  <a:solidFill>
                    <a:schemeClr val="tx1"/>
                  </a:solidFill>
                  <a:latin typeface="+mn-lt"/>
                  <a:ea typeface="+mn-ea"/>
                  <a:cs typeface="+mn-cs"/>
                </a:rPr>
                <a:t>(c</a:t>
              </a:r>
              <a:r>
                <a:rPr lang="en-GB" sz="1000" b="0" i="0" u="none" strike="noStrike" baseline="-25000">
                  <a:solidFill>
                    <a:schemeClr val="tx1"/>
                  </a:solidFill>
                  <a:latin typeface="+mn-lt"/>
                  <a:ea typeface="+mn-ea"/>
                  <a:cs typeface="+mn-cs"/>
                </a:rPr>
                <a:t>Li+1</a:t>
              </a:r>
              <a:r>
                <a:rPr lang="en-GB" sz="1000" b="0" i="0" u="none" strike="noStrike" baseline="0">
                  <a:solidFill>
                    <a:schemeClr val="tx1"/>
                  </a:solidFill>
                  <a:latin typeface="+mn-lt"/>
                  <a:ea typeface="+mn-ea"/>
                  <a:cs typeface="+mn-cs"/>
                </a:rPr>
                <a:t>).</a:t>
              </a:r>
            </a:p>
            <a:p>
              <a:r>
                <a:rPr lang="en-GB" sz="1000" b="0" i="0" u="none" strike="noStrike" baseline="0">
                  <a:solidFill>
                    <a:schemeClr val="tx1"/>
                  </a:solidFill>
                  <a:latin typeface="+mn-lt"/>
                  <a:ea typeface="+mn-ea"/>
                  <a:cs typeface="+mn-cs"/>
                </a:rPr>
                <a:t>-  the </a:t>
              </a:r>
              <a:r>
                <a:rPr lang="en-GB" sz="1000" b="1" i="0" u="none" strike="noStrike" baseline="0">
                  <a:solidFill>
                    <a:schemeClr val="tx1"/>
                  </a:solidFill>
                  <a:latin typeface="+mn-lt"/>
                  <a:ea typeface="+mn-ea"/>
                  <a:cs typeface="+mn-cs"/>
                </a:rPr>
                <a:t>Data cache component  (</a:t>
              </a:r>
              <a14:m>
                <m:oMath xmlns:m="http://schemas.openxmlformats.org/officeDocument/2006/math">
                  <m:f>
                    <m:fPr>
                      <m:ctrlPr>
                        <a:rPr lang="en-US" sz="1000" b="1" i="1">
                          <a:solidFill>
                            <a:schemeClr val="tx1"/>
                          </a:solidFill>
                          <a:effectLst/>
                          <a:latin typeface="Cambria Math" panose="02040503050406030204" pitchFamily="18" charset="0"/>
                          <a:ea typeface="+mn-ea"/>
                          <a:cs typeface="+mn-cs"/>
                        </a:rPr>
                      </m:ctrlPr>
                    </m:fPr>
                    <m:num>
                      <m:sSub>
                        <m:sSubPr>
                          <m:ctrlPr>
                            <a:rPr lang="en-US" sz="1000" b="1" i="1">
                              <a:solidFill>
                                <a:schemeClr val="tx1"/>
                              </a:solidFill>
                              <a:effectLst/>
                              <a:latin typeface="Cambria Math" panose="02040503050406030204" pitchFamily="18" charset="0"/>
                              <a:ea typeface="+mn-ea"/>
                              <a:cs typeface="+mn-cs"/>
                            </a:rPr>
                          </m:ctrlPr>
                        </m:sSubPr>
                        <m:e>
                          <m:r>
                            <a:rPr lang="en-US" sz="1000" b="1" i="1">
                              <a:solidFill>
                                <a:schemeClr val="tx1"/>
                              </a:solidFill>
                              <a:effectLst/>
                              <a:latin typeface="Cambria Math" panose="02040503050406030204" pitchFamily="18" charset="0"/>
                              <a:ea typeface="+mn-ea"/>
                              <a:cs typeface="+mn-cs"/>
                            </a:rPr>
                            <m:t>𝒎</m:t>
                          </m:r>
                        </m:e>
                        <m:sub>
                          <m:r>
                            <a:rPr lang="en-US" sz="1000" b="1" i="1">
                              <a:solidFill>
                                <a:schemeClr val="tx1"/>
                              </a:solidFill>
                              <a:effectLst/>
                              <a:latin typeface="Cambria Math" panose="02040503050406030204" pitchFamily="18" charset="0"/>
                              <a:ea typeface="+mn-ea"/>
                              <a:cs typeface="+mn-cs"/>
                            </a:rPr>
                            <m:t>𝑳𝑳𝑪</m:t>
                          </m:r>
                        </m:sub>
                      </m:sSub>
                      <m:r>
                        <a:rPr lang="en-US" sz="1000" b="1" i="1">
                          <a:solidFill>
                            <a:schemeClr val="tx1"/>
                          </a:solidFill>
                          <a:effectLst/>
                          <a:latin typeface="Cambria Math" panose="02040503050406030204" pitchFamily="18" charset="0"/>
                          <a:ea typeface="+mn-ea"/>
                          <a:cs typeface="+mn-cs"/>
                        </a:rPr>
                        <m:t> × </m:t>
                      </m:r>
                      <m:sSub>
                        <m:sSubPr>
                          <m:ctrlPr>
                            <a:rPr lang="en-US" sz="1000" b="1" i="1">
                              <a:solidFill>
                                <a:schemeClr val="tx1"/>
                              </a:solidFill>
                              <a:effectLst/>
                              <a:latin typeface="Cambria Math" panose="02040503050406030204" pitchFamily="18" charset="0"/>
                              <a:ea typeface="+mn-ea"/>
                              <a:cs typeface="+mn-cs"/>
                            </a:rPr>
                          </m:ctrlPr>
                        </m:sSubPr>
                        <m:e>
                          <m:r>
                            <a:rPr lang="en-US" sz="1000" b="1" i="1">
                              <a:solidFill>
                                <a:schemeClr val="tx1"/>
                              </a:solidFill>
                              <a:effectLst/>
                              <a:latin typeface="Cambria Math" panose="02040503050406030204" pitchFamily="18" charset="0"/>
                              <a:ea typeface="+mn-ea"/>
                              <a:cs typeface="+mn-cs"/>
                            </a:rPr>
                            <m:t>𝒄</m:t>
                          </m:r>
                        </m:e>
                        <m:sub>
                          <m:r>
                            <a:rPr lang="en-US" sz="1000" b="1" i="1">
                              <a:solidFill>
                                <a:schemeClr val="tx1"/>
                              </a:solidFill>
                              <a:effectLst/>
                              <a:latin typeface="Cambria Math" panose="02040503050406030204" pitchFamily="18" charset="0"/>
                              <a:ea typeface="+mn-ea"/>
                              <a:cs typeface="+mn-cs"/>
                            </a:rPr>
                            <m:t>𝒎𝒆𝒎</m:t>
                          </m:r>
                        </m:sub>
                      </m:sSub>
                    </m:num>
                    <m:den>
                      <m:r>
                        <a:rPr lang="en-US" sz="1000" b="1" i="1">
                          <a:solidFill>
                            <a:schemeClr val="tx1"/>
                          </a:solidFill>
                          <a:effectLst/>
                          <a:latin typeface="Cambria Math" panose="02040503050406030204" pitchFamily="18" charset="0"/>
                          <a:ea typeface="+mn-ea"/>
                          <a:cs typeface="+mn-cs"/>
                        </a:rPr>
                        <m:t>𝑴𝑳𝑷</m:t>
                      </m:r>
                    </m:den>
                  </m:f>
                  <m:r>
                    <a:rPr lang="en-US" sz="1000" b="1" i="1">
                      <a:solidFill>
                        <a:schemeClr val="tx1"/>
                      </a:solidFill>
                      <a:effectLst/>
                      <a:latin typeface="Cambria Math" panose="02040503050406030204" pitchFamily="18" charset="0"/>
                      <a:ea typeface="+mn-ea"/>
                      <a:cs typeface="+mn-cs"/>
                    </a:rPr>
                    <m:t>+ </m:t>
                  </m:r>
                  <m:sSub>
                    <m:sSubPr>
                      <m:ctrlPr>
                        <a:rPr lang="en-US" sz="1000" b="1" i="1">
                          <a:solidFill>
                            <a:schemeClr val="tx1"/>
                          </a:solidFill>
                          <a:effectLst/>
                          <a:latin typeface="Cambria Math" panose="02040503050406030204" pitchFamily="18" charset="0"/>
                          <a:ea typeface="+mn-ea"/>
                          <a:cs typeface="+mn-cs"/>
                        </a:rPr>
                      </m:ctrlPr>
                    </m:sSubPr>
                    <m:e>
                      <m:r>
                        <a:rPr lang="en-US" sz="1000" b="1" i="1">
                          <a:solidFill>
                            <a:schemeClr val="tx1"/>
                          </a:solidFill>
                          <a:effectLst/>
                          <a:latin typeface="Cambria Math" panose="02040503050406030204" pitchFamily="18" charset="0"/>
                          <a:ea typeface="+mn-ea"/>
                          <a:cs typeface="+mn-cs"/>
                        </a:rPr>
                        <m:t>𝑷</m:t>
                      </m:r>
                    </m:e>
                    <m:sub>
                      <m:r>
                        <a:rPr lang="en-US" sz="1000" b="1" i="1">
                          <a:solidFill>
                            <a:schemeClr val="tx1"/>
                          </a:solidFill>
                          <a:effectLst/>
                          <a:latin typeface="Cambria Math" panose="02040503050406030204" pitchFamily="18" charset="0"/>
                          <a:ea typeface="+mn-ea"/>
                          <a:cs typeface="+mn-cs"/>
                        </a:rPr>
                        <m:t>𝒉𝑳𝑳𝑪</m:t>
                      </m:r>
                    </m:sub>
                  </m:sSub>
                </m:oMath>
              </a14:m>
              <a:r>
                <a:rPr lang="en-GB" sz="1000" b="1" i="0" u="none" strike="noStrike" baseline="0">
                  <a:solidFill>
                    <a:schemeClr val="tx1"/>
                  </a:solidFill>
                  <a:latin typeface="+mn-lt"/>
                  <a:ea typeface="+mn-ea"/>
                  <a:cs typeface="+mn-cs"/>
                </a:rPr>
                <a:t>) </a:t>
              </a:r>
              <a:r>
                <a:rPr lang="en-GB" sz="1000" b="0" i="0" u="none" strike="noStrike" baseline="0">
                  <a:solidFill>
                    <a:schemeClr val="tx1"/>
                  </a:solidFill>
                  <a:latin typeface="+mn-lt"/>
                  <a:ea typeface="+mn-ea"/>
                  <a:cs typeface="+mn-cs"/>
                </a:rPr>
                <a:t>quantifies the time the core stalls waiting for main memory requests to resolve as a result of long-latency load misses. This component is computed as the product of the number of LLC misses due to load insts (m</a:t>
              </a:r>
              <a:r>
                <a:rPr lang="en-GB" sz="1000" b="0" i="0" u="none" strike="noStrike" baseline="-25000">
                  <a:solidFill>
                    <a:schemeClr val="tx1"/>
                  </a:solidFill>
                  <a:latin typeface="+mn-lt"/>
                  <a:ea typeface="+mn-ea"/>
                  <a:cs typeface="+mn-cs"/>
                </a:rPr>
                <a:t>LLC</a:t>
              </a:r>
              <a:r>
                <a:rPr lang="en-GB" sz="1000" b="0" i="0" u="none" strike="noStrike" baseline="0">
                  <a:solidFill>
                    <a:schemeClr val="tx1"/>
                  </a:solidFill>
                  <a:latin typeface="+mn-lt"/>
                  <a:ea typeface="+mn-ea"/>
                  <a:cs typeface="+mn-cs"/>
                </a:rPr>
                <a:t>) &amp; the average memory access latency (c</a:t>
              </a:r>
              <a:r>
                <a:rPr lang="en-GB" sz="1000" b="0" i="0" u="none" strike="noStrike" baseline="-25000">
                  <a:solidFill>
                    <a:schemeClr val="tx1"/>
                  </a:solidFill>
                  <a:latin typeface="+mn-lt"/>
                  <a:ea typeface="+mn-ea"/>
                  <a:cs typeface="+mn-cs"/>
                </a:rPr>
                <a:t>mem</a:t>
              </a:r>
              <a:r>
                <a:rPr lang="en-GB" sz="1000" b="0" i="0" u="none" strike="noStrike" baseline="0">
                  <a:solidFill>
                    <a:schemeClr val="tx1"/>
                  </a:solidFill>
                  <a:latin typeface="+mn-lt"/>
                  <a:ea typeface="+mn-ea"/>
                  <a:cs typeface="+mn-cs"/>
                </a:rPr>
                <a:t>), divided by the amount of MLP or the average number of outstanding long-latency load misses if at least one is outstanding, together with the LLC hit chain penalty (P</a:t>
              </a:r>
              <a:r>
                <a:rPr lang="en-GB" sz="1000" b="0" i="0" u="none" strike="noStrike" baseline="-25000">
                  <a:solidFill>
                    <a:schemeClr val="tx1"/>
                  </a:solidFill>
                  <a:latin typeface="+mn-lt"/>
                  <a:ea typeface="+mn-ea"/>
                  <a:cs typeface="+mn-cs"/>
                </a:rPr>
                <a:t>hLLC</a:t>
              </a:r>
              <a:r>
                <a:rPr lang="en-GB" sz="1000" b="0" i="0" u="none" strike="noStrike" baseline="0">
                  <a:solidFill>
                    <a:schemeClr val="tx1"/>
                  </a:solidFill>
                  <a:latin typeface="+mn-lt"/>
                  <a:ea typeface="+mn-ea"/>
                  <a:cs typeface="+mn-cs"/>
                </a:rPr>
                <a:t>) .</a:t>
              </a:r>
            </a:p>
            <a:p>
              <a:endParaRPr lang="en-GB" sz="1100" b="0" i="0" u="none" strike="noStrike" baseline="0">
                <a:solidFill>
                  <a:schemeClr val="tx1"/>
                </a:solidFill>
                <a:latin typeface="+mn-lt"/>
                <a:ea typeface="+mn-ea"/>
                <a:cs typeface="+mn-cs"/>
              </a:endParaRPr>
            </a:p>
            <a:p>
              <a:endParaRPr lang="en-GB" sz="1100" b="0" i="0" u="none" strike="noStrike" baseline="0">
                <a:solidFill>
                  <a:schemeClr val="tx1"/>
                </a:solidFill>
                <a:latin typeface="+mn-lt"/>
                <a:ea typeface="+mn-ea"/>
                <a:cs typeface="+mn-cs"/>
              </a:endParaRPr>
            </a:p>
            <a:p>
              <a:endParaRPr lang="en-GB" sz="1100" b="0" i="0" u="none" strike="noStrike" baseline="0">
                <a:solidFill>
                  <a:schemeClr val="tx1"/>
                </a:solidFill>
                <a:latin typeface="+mn-lt"/>
                <a:ea typeface="+mn-ea"/>
                <a:cs typeface="+mn-cs"/>
              </a:endParaRPr>
            </a:p>
            <a:p>
              <a:endParaRPr lang="en-GB" sz="1100"/>
            </a:p>
          </xdr:txBody>
        </xdr:sp>
      </mc:Choice>
      <mc:Fallback xmlns="">
        <xdr:sp macro="" textlink="">
          <xdr:nvSpPr>
            <xdr:cNvPr id="2" name="TextBox 1">
              <a:extLst>
                <a:ext uri="{FF2B5EF4-FFF2-40B4-BE49-F238E27FC236}">
                  <a16:creationId xmlns:a16="http://schemas.microsoft.com/office/drawing/2014/main" id="{543D3D6E-12F5-4986-9561-3138D43B86BA}"/>
                </a:ext>
              </a:extLst>
            </xdr:cNvPr>
            <xdr:cNvSpPr txBox="1"/>
          </xdr:nvSpPr>
          <xdr:spPr>
            <a:xfrm>
              <a:off x="19916" y="3790717"/>
              <a:ext cx="14774334" cy="182903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US" sz="1600" b="0" i="0">
                  <a:latin typeface="Cambria Math" panose="02040503050406030204" pitchFamily="18" charset="0"/>
                </a:rPr>
                <a:t>𝐶=𝑁/𝐷_𝑒𝑓𝑓 +𝑚_𝑏𝑝𝑟𝑒𝑑  </a:t>
              </a:r>
              <a:r>
                <a:rPr lang="en-US" sz="1600" b="0" i="0">
                  <a:latin typeface="Cambria Math" panose="02040503050406030204" pitchFamily="18" charset="0"/>
                  <a:ea typeface="Cambria Math" panose="02040503050406030204" pitchFamily="18" charset="0"/>
                </a:rPr>
                <a:t>×(𝑐_𝑟𝑒𝑠+ 𝑐_𝑓𝑒 )+ ∑8_(𝑙𝑒𝑣𝑒𝑙=𝑖)▒〖𝑚_𝐼𝐿1  × 𝐶_(𝐿𝑖+1) 〗+  (𝑚_𝐿𝐿𝐶  × 𝑐_𝑚𝑒𝑚)/𝑀𝐿𝑃+ 𝑃_ℎ𝐿𝐿𝐶  , </a:t>
              </a:r>
              <a:r>
                <a:rPr lang="en-GB" sz="1000"/>
                <a:t>Where,</a:t>
              </a:r>
            </a:p>
            <a:p>
              <a:r>
                <a:rPr lang="en-GB" sz="1000"/>
                <a:t> - </a:t>
              </a:r>
              <a:r>
                <a:rPr lang="en-GB" sz="1000" b="0" i="0" u="none" strike="noStrike" baseline="0">
                  <a:solidFill>
                    <a:schemeClr val="tx1"/>
                  </a:solidFill>
                  <a:latin typeface="+mn-lt"/>
                  <a:ea typeface="+mn-ea"/>
                  <a:cs typeface="+mn-cs"/>
                </a:rPr>
                <a:t>the </a:t>
              </a:r>
              <a:r>
                <a:rPr lang="en-GB" sz="1000" b="1" i="0" u="none" strike="noStrike" baseline="0">
                  <a:solidFill>
                    <a:schemeClr val="tx1"/>
                  </a:solidFill>
                  <a:latin typeface="+mn-lt"/>
                  <a:ea typeface="+mn-ea"/>
                  <a:cs typeface="+mn-cs"/>
                </a:rPr>
                <a:t>Base component (</a:t>
              </a:r>
              <a:r>
                <a:rPr lang="en-US" sz="1000" b="1" i="0">
                  <a:solidFill>
                    <a:schemeClr val="tx1"/>
                  </a:solidFill>
                  <a:effectLst/>
                  <a:latin typeface="+mn-lt"/>
                  <a:ea typeface="+mn-ea"/>
                  <a:cs typeface="+mn-cs"/>
                </a:rPr>
                <a:t>𝑵/𝑫_𝒆𝒇𝒇 </a:t>
              </a:r>
              <a:r>
                <a:rPr lang="en-GB" sz="1000" b="1" i="0" u="none" strike="noStrike" baseline="0">
                  <a:solidFill>
                    <a:schemeClr val="tx1"/>
                  </a:solidFill>
                  <a:latin typeface="+mn-lt"/>
                  <a:ea typeface="+mn-ea"/>
                  <a:cs typeface="+mn-cs"/>
                </a:rPr>
                <a:t>) </a:t>
              </a:r>
              <a:r>
                <a:rPr lang="en-GB" sz="1000" b="0" i="0" u="none" strike="noStrike" baseline="0">
                  <a:solidFill>
                    <a:schemeClr val="tx1"/>
                  </a:solidFill>
                  <a:latin typeface="+mn-lt"/>
                  <a:ea typeface="+mn-ea"/>
                  <a:cs typeface="+mn-cs"/>
                </a:rPr>
                <a:t>is obtained by dividing the number of micro-ops (N) by the effective dispatch rate (D</a:t>
              </a:r>
              <a:r>
                <a:rPr lang="en-GB" sz="1000" b="0" i="0" u="none" strike="noStrike" baseline="-25000">
                  <a:solidFill>
                    <a:schemeClr val="tx1"/>
                  </a:solidFill>
                  <a:latin typeface="+mn-lt"/>
                  <a:ea typeface="+mn-ea"/>
                  <a:cs typeface="+mn-cs"/>
                </a:rPr>
                <a:t>eff</a:t>
              </a:r>
              <a:r>
                <a:rPr lang="en-GB" sz="1000" b="0" i="0" u="none" strike="noStrike" baseline="0">
                  <a:solidFill>
                    <a:schemeClr val="tx1"/>
                  </a:solidFill>
                  <a:latin typeface="+mn-lt"/>
                  <a:ea typeface="+mn-ea"/>
                  <a:cs typeface="+mn-cs"/>
                </a:rPr>
                <a:t> ). The effective dispatch rate is a function of the width of the front-end pipeline, the available ILP in the application &amp; the amount of contention in the functional units.</a:t>
              </a:r>
            </a:p>
            <a:p>
              <a:r>
                <a:rPr lang="en-GB" sz="1000" b="0" i="0" u="none" strike="noStrike" baseline="0">
                  <a:solidFill>
                    <a:schemeClr val="tx1"/>
                  </a:solidFill>
                  <a:latin typeface="+mn-lt"/>
                  <a:ea typeface="+mn-ea"/>
                  <a:cs typeface="+mn-cs"/>
                </a:rPr>
                <a:t>- the </a:t>
              </a:r>
              <a:r>
                <a:rPr lang="en-GB" sz="1000" b="1" i="0" u="none" strike="noStrike" baseline="0">
                  <a:solidFill>
                    <a:schemeClr val="tx1"/>
                  </a:solidFill>
                  <a:latin typeface="+mn-lt"/>
                  <a:ea typeface="+mn-ea"/>
                  <a:cs typeface="+mn-cs"/>
                </a:rPr>
                <a:t>Branch component</a:t>
              </a:r>
              <a:r>
                <a:rPr lang="en-GB" sz="1000" b="0" i="0" u="none" strike="noStrike" baseline="0">
                  <a:solidFill>
                    <a:schemeClr val="tx1"/>
                  </a:solidFill>
                  <a:latin typeface="+mn-lt"/>
                  <a:ea typeface="+mn-ea"/>
                  <a:cs typeface="+mn-cs"/>
                </a:rPr>
                <a:t> </a:t>
              </a:r>
              <a:r>
                <a:rPr lang="en-GB" sz="1000" b="1" i="0" u="none" strike="noStrike" baseline="0">
                  <a:solidFill>
                    <a:schemeClr val="tx1"/>
                  </a:solidFill>
                  <a:latin typeface="+mn-lt"/>
                  <a:ea typeface="+mn-ea"/>
                  <a:cs typeface="+mn-cs"/>
                </a:rPr>
                <a:t>(</a:t>
              </a:r>
              <a:r>
                <a:rPr lang="en-US" sz="1100" b="1" i="0">
                  <a:solidFill>
                    <a:schemeClr val="tx1"/>
                  </a:solidFill>
                  <a:effectLst/>
                  <a:latin typeface="+mn-lt"/>
                  <a:ea typeface="+mn-ea"/>
                  <a:cs typeface="+mn-cs"/>
                </a:rPr>
                <a:t>𝒎_𝒃𝒑𝒓𝒆𝒅  ×(𝒄_𝒓𝒆𝒔+ 𝒄_𝒇𝒆 )</a:t>
              </a:r>
              <a:r>
                <a:rPr lang="en-GB" sz="1000" b="1" i="0" u="none" strike="noStrike" baseline="0">
                  <a:solidFill>
                    <a:schemeClr val="tx1"/>
                  </a:solidFill>
                  <a:latin typeface="+mn-lt"/>
                  <a:ea typeface="+mn-ea"/>
                  <a:cs typeface="+mn-cs"/>
                </a:rPr>
                <a:t>)</a:t>
              </a:r>
              <a:r>
                <a:rPr lang="en-GB" sz="1000" b="0" i="0" u="none" strike="noStrike" baseline="0">
                  <a:solidFill>
                    <a:schemeClr val="tx1"/>
                  </a:solidFill>
                  <a:latin typeface="+mn-lt"/>
                  <a:ea typeface="+mn-ea"/>
                  <a:cs typeface="+mn-cs"/>
                </a:rPr>
                <a:t> quantifies the lost cycles due to branch mispredictions &amp; is computed as the no. of mispredictions (or the no. of branch misses; m</a:t>
              </a:r>
              <a:r>
                <a:rPr lang="en-GB" sz="1000" b="0" i="0" u="none" strike="noStrike" baseline="-25000">
                  <a:solidFill>
                    <a:schemeClr val="tx1"/>
                  </a:solidFill>
                  <a:latin typeface="+mn-lt"/>
                  <a:ea typeface="+mn-ea"/>
                  <a:cs typeface="+mn-cs"/>
                </a:rPr>
                <a:t>bpred</a:t>
              </a:r>
              <a:r>
                <a:rPr lang="en-GB" sz="1000" b="0" i="0" u="none" strike="noStrike" baseline="0">
                  <a:solidFill>
                    <a:schemeClr val="tx1"/>
                  </a:solidFill>
                  <a:latin typeface="+mn-lt"/>
                  <a:ea typeface="+mn-ea"/>
                  <a:cs typeface="+mn-cs"/>
                </a:rPr>
                <a:t>) times the sum of the branch resolution time (c</a:t>
              </a:r>
              <a:r>
                <a:rPr lang="en-GB" sz="1000" b="0" i="0" u="none" strike="noStrike" baseline="-25000">
                  <a:solidFill>
                    <a:schemeClr val="tx1"/>
                  </a:solidFill>
                  <a:latin typeface="+mn-lt"/>
                  <a:ea typeface="+mn-ea"/>
                  <a:cs typeface="+mn-cs"/>
                </a:rPr>
                <a:t>res</a:t>
              </a:r>
              <a:r>
                <a:rPr lang="en-GB" sz="1000" b="0" i="0" u="none" strike="noStrike" baseline="0">
                  <a:solidFill>
                    <a:schemeClr val="tx1"/>
                  </a:solidFill>
                  <a:latin typeface="+mn-lt"/>
                  <a:ea typeface="+mn-ea"/>
                  <a:cs typeface="+mn-cs"/>
                </a:rPr>
                <a:t>) and the front-end pipeline depth or the time b/w the branch being dispatched from the front-end pipeline into the back-end (issue queue &amp; reorder buffer), &amp; the branch being executed.</a:t>
              </a:r>
            </a:p>
            <a:p>
              <a:r>
                <a:rPr lang="en-GB" sz="1000" b="0" i="0" u="none" strike="noStrike" baseline="0">
                  <a:solidFill>
                    <a:schemeClr val="tx1"/>
                  </a:solidFill>
                  <a:latin typeface="+mn-lt"/>
                  <a:ea typeface="+mn-ea"/>
                  <a:cs typeface="+mn-cs"/>
                </a:rPr>
                <a:t>-  the </a:t>
              </a:r>
              <a:r>
                <a:rPr lang="en-GB" sz="1000" b="1" i="0" u="none" strike="noStrike" baseline="0">
                  <a:solidFill>
                    <a:schemeClr val="tx1"/>
                  </a:solidFill>
                  <a:latin typeface="+mn-lt"/>
                  <a:ea typeface="+mn-ea"/>
                  <a:cs typeface="+mn-cs"/>
                </a:rPr>
                <a:t>Instruction cache component (</a:t>
              </a:r>
              <a:r>
                <a:rPr lang="en-US" sz="1000" b="1" i="0">
                  <a:solidFill>
                    <a:schemeClr val="tx1"/>
                  </a:solidFill>
                  <a:effectLst/>
                  <a:latin typeface="+mn-lt"/>
                  <a:ea typeface="+mn-ea"/>
                  <a:cs typeface="+mn-cs"/>
                </a:rPr>
                <a:t>∑_(𝒍𝒆𝒗𝒆𝒍=𝒊)▒〖𝒎_𝑰𝑳𝟏  × 𝑪_(𝑳𝒊+𝟏) 〗</a:t>
              </a:r>
              <a:r>
                <a:rPr lang="en-GB" sz="1000" b="1" i="0" u="none" strike="noStrike" baseline="0">
                  <a:solidFill>
                    <a:schemeClr val="tx1"/>
                  </a:solidFill>
                  <a:latin typeface="+mn-lt"/>
                  <a:ea typeface="+mn-ea"/>
                  <a:cs typeface="+mn-cs"/>
                </a:rPr>
                <a:t>) </a:t>
              </a:r>
              <a:r>
                <a:rPr lang="en-GB" sz="1000" b="0" i="0" u="none" strike="noStrike" baseline="0">
                  <a:solidFill>
                    <a:schemeClr val="tx1"/>
                  </a:solidFill>
                  <a:latin typeface="+mn-lt"/>
                  <a:ea typeface="+mn-ea"/>
                  <a:cs typeface="+mn-cs"/>
                </a:rPr>
                <a:t>quantifies the impact of icache misses &amp; is computed as the product of the cache miss rate at each level (m</a:t>
              </a:r>
              <a:r>
                <a:rPr lang="en-GB" sz="1000" b="0" i="0" u="none" strike="noStrike" baseline="-25000">
                  <a:solidFill>
                    <a:schemeClr val="tx1"/>
                  </a:solidFill>
                  <a:latin typeface="+mn-lt"/>
                  <a:ea typeface="+mn-ea"/>
                  <a:cs typeface="+mn-cs"/>
                </a:rPr>
                <a:t>ILi</a:t>
              </a:r>
              <a:r>
                <a:rPr lang="en-GB" sz="1000" b="0" i="0" u="none" strike="noStrike" baseline="0">
                  <a:solidFill>
                    <a:schemeClr val="tx1"/>
                  </a:solidFill>
                  <a:latin typeface="+mn-lt"/>
                  <a:ea typeface="+mn-ea"/>
                  <a:cs typeface="+mn-cs"/>
                </a:rPr>
                <a:t>) &amp; the respective miss latency</a:t>
              </a:r>
            </a:p>
            <a:p>
              <a:r>
                <a:rPr lang="en-GB" sz="1000" b="0" i="0" u="none" strike="noStrike" baseline="0">
                  <a:solidFill>
                    <a:schemeClr val="tx1"/>
                  </a:solidFill>
                  <a:latin typeface="+mn-lt"/>
                  <a:ea typeface="+mn-ea"/>
                  <a:cs typeface="+mn-cs"/>
                </a:rPr>
                <a:t>(c</a:t>
              </a:r>
              <a:r>
                <a:rPr lang="en-GB" sz="1000" b="0" i="0" u="none" strike="noStrike" baseline="-25000">
                  <a:solidFill>
                    <a:schemeClr val="tx1"/>
                  </a:solidFill>
                  <a:latin typeface="+mn-lt"/>
                  <a:ea typeface="+mn-ea"/>
                  <a:cs typeface="+mn-cs"/>
                </a:rPr>
                <a:t>Li+1</a:t>
              </a:r>
              <a:r>
                <a:rPr lang="en-GB" sz="1000" b="0" i="0" u="none" strike="noStrike" baseline="0">
                  <a:solidFill>
                    <a:schemeClr val="tx1"/>
                  </a:solidFill>
                  <a:latin typeface="+mn-lt"/>
                  <a:ea typeface="+mn-ea"/>
                  <a:cs typeface="+mn-cs"/>
                </a:rPr>
                <a:t>).</a:t>
              </a:r>
            </a:p>
            <a:p>
              <a:r>
                <a:rPr lang="en-GB" sz="1000" b="0" i="0" u="none" strike="noStrike" baseline="0">
                  <a:solidFill>
                    <a:schemeClr val="tx1"/>
                  </a:solidFill>
                  <a:latin typeface="+mn-lt"/>
                  <a:ea typeface="+mn-ea"/>
                  <a:cs typeface="+mn-cs"/>
                </a:rPr>
                <a:t>-  the </a:t>
              </a:r>
              <a:r>
                <a:rPr lang="en-GB" sz="1000" b="1" i="0" u="none" strike="noStrike" baseline="0">
                  <a:solidFill>
                    <a:schemeClr val="tx1"/>
                  </a:solidFill>
                  <a:latin typeface="+mn-lt"/>
                  <a:ea typeface="+mn-ea"/>
                  <a:cs typeface="+mn-cs"/>
                </a:rPr>
                <a:t>Data cache component  (</a:t>
              </a:r>
              <a:r>
                <a:rPr lang="en-US" sz="1000" b="1" i="0">
                  <a:solidFill>
                    <a:schemeClr val="tx1"/>
                  </a:solidFill>
                  <a:effectLst/>
                  <a:latin typeface="+mn-lt"/>
                  <a:ea typeface="+mn-ea"/>
                  <a:cs typeface="+mn-cs"/>
                </a:rPr>
                <a:t>(𝒎_𝑳𝑳𝑪  × 𝒄_𝒎𝒆𝒎)/𝑴𝑳𝑷+ 𝑷_𝒉𝑳𝑳𝑪</a:t>
              </a:r>
              <a:r>
                <a:rPr lang="en-GB" sz="1000" b="1" i="0" u="none" strike="noStrike" baseline="0">
                  <a:solidFill>
                    <a:schemeClr val="tx1"/>
                  </a:solidFill>
                  <a:latin typeface="+mn-lt"/>
                  <a:ea typeface="+mn-ea"/>
                  <a:cs typeface="+mn-cs"/>
                </a:rPr>
                <a:t>) </a:t>
              </a:r>
              <a:r>
                <a:rPr lang="en-GB" sz="1000" b="0" i="0" u="none" strike="noStrike" baseline="0">
                  <a:solidFill>
                    <a:schemeClr val="tx1"/>
                  </a:solidFill>
                  <a:latin typeface="+mn-lt"/>
                  <a:ea typeface="+mn-ea"/>
                  <a:cs typeface="+mn-cs"/>
                </a:rPr>
                <a:t>quantifies the time the core stalls waiting for main memory requests to resolve as a result of long-latency load misses. This component is computed as the product of the number of LLC misses due to load insts (m</a:t>
              </a:r>
              <a:r>
                <a:rPr lang="en-GB" sz="1000" b="0" i="0" u="none" strike="noStrike" baseline="-25000">
                  <a:solidFill>
                    <a:schemeClr val="tx1"/>
                  </a:solidFill>
                  <a:latin typeface="+mn-lt"/>
                  <a:ea typeface="+mn-ea"/>
                  <a:cs typeface="+mn-cs"/>
                </a:rPr>
                <a:t>LLC</a:t>
              </a:r>
              <a:r>
                <a:rPr lang="en-GB" sz="1000" b="0" i="0" u="none" strike="noStrike" baseline="0">
                  <a:solidFill>
                    <a:schemeClr val="tx1"/>
                  </a:solidFill>
                  <a:latin typeface="+mn-lt"/>
                  <a:ea typeface="+mn-ea"/>
                  <a:cs typeface="+mn-cs"/>
                </a:rPr>
                <a:t>) &amp; the average memory access latency (c</a:t>
              </a:r>
              <a:r>
                <a:rPr lang="en-GB" sz="1000" b="0" i="0" u="none" strike="noStrike" baseline="-25000">
                  <a:solidFill>
                    <a:schemeClr val="tx1"/>
                  </a:solidFill>
                  <a:latin typeface="+mn-lt"/>
                  <a:ea typeface="+mn-ea"/>
                  <a:cs typeface="+mn-cs"/>
                </a:rPr>
                <a:t>mem</a:t>
              </a:r>
              <a:r>
                <a:rPr lang="en-GB" sz="1000" b="0" i="0" u="none" strike="noStrike" baseline="0">
                  <a:solidFill>
                    <a:schemeClr val="tx1"/>
                  </a:solidFill>
                  <a:latin typeface="+mn-lt"/>
                  <a:ea typeface="+mn-ea"/>
                  <a:cs typeface="+mn-cs"/>
                </a:rPr>
                <a:t>), divided by the amount of MLP or the average number of outstanding long-latency load misses if at least one is outstanding, together with the LLC hit chain penalty (P</a:t>
              </a:r>
              <a:r>
                <a:rPr lang="en-GB" sz="1000" b="0" i="0" u="none" strike="noStrike" baseline="-25000">
                  <a:solidFill>
                    <a:schemeClr val="tx1"/>
                  </a:solidFill>
                  <a:latin typeface="+mn-lt"/>
                  <a:ea typeface="+mn-ea"/>
                  <a:cs typeface="+mn-cs"/>
                </a:rPr>
                <a:t>hLLC</a:t>
              </a:r>
              <a:r>
                <a:rPr lang="en-GB" sz="1000" b="0" i="0" u="none" strike="noStrike" baseline="0">
                  <a:solidFill>
                    <a:schemeClr val="tx1"/>
                  </a:solidFill>
                  <a:latin typeface="+mn-lt"/>
                  <a:ea typeface="+mn-ea"/>
                  <a:cs typeface="+mn-cs"/>
                </a:rPr>
                <a:t>) .</a:t>
              </a:r>
            </a:p>
            <a:p>
              <a:endParaRPr lang="en-GB" sz="1100" b="0" i="0" u="none" strike="noStrike" baseline="0">
                <a:solidFill>
                  <a:schemeClr val="tx1"/>
                </a:solidFill>
                <a:latin typeface="+mn-lt"/>
                <a:ea typeface="+mn-ea"/>
                <a:cs typeface="+mn-cs"/>
              </a:endParaRPr>
            </a:p>
            <a:p>
              <a:endParaRPr lang="en-GB" sz="1100" b="0" i="0" u="none" strike="noStrike" baseline="0">
                <a:solidFill>
                  <a:schemeClr val="tx1"/>
                </a:solidFill>
                <a:latin typeface="+mn-lt"/>
                <a:ea typeface="+mn-ea"/>
                <a:cs typeface="+mn-cs"/>
              </a:endParaRPr>
            </a:p>
            <a:p>
              <a:endParaRPr lang="en-GB" sz="1100" b="0" i="0" u="none" strike="noStrike" baseline="0">
                <a:solidFill>
                  <a:schemeClr val="tx1"/>
                </a:solidFill>
                <a:latin typeface="+mn-lt"/>
                <a:ea typeface="+mn-ea"/>
                <a:cs typeface="+mn-cs"/>
              </a:endParaRPr>
            </a:p>
            <a:p>
              <a:endParaRPr lang="en-GB" sz="1100"/>
            </a:p>
          </xdr:txBody>
        </xdr:sp>
      </mc:Fallback>
    </mc:AlternateContent>
    <xdr:clientData/>
  </xdr:oneCellAnchor>
  <xdr:oneCellAnchor>
    <xdr:from>
      <xdr:col>0</xdr:col>
      <xdr:colOff>40121</xdr:colOff>
      <xdr:row>35</xdr:row>
      <xdr:rowOff>75622</xdr:rowOff>
    </xdr:from>
    <xdr:ext cx="14599227" cy="171132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5598C84-E441-4759-B496-BA44E79BF2CD}"/>
                </a:ext>
              </a:extLst>
            </xdr:cNvPr>
            <xdr:cNvSpPr txBox="1"/>
          </xdr:nvSpPr>
          <xdr:spPr>
            <a:xfrm>
              <a:off x="40121" y="7929417"/>
              <a:ext cx="14599227" cy="171132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14:m>
                <m:oMath xmlns:m="http://schemas.openxmlformats.org/officeDocument/2006/math">
                  <m:sSub>
                    <m:sSubPr>
                      <m:ctrlPr>
                        <a:rPr lang="en-GB" sz="1600" i="1">
                          <a:latin typeface="Cambria Math" panose="02040503050406030204" pitchFamily="18" charset="0"/>
                        </a:rPr>
                      </m:ctrlPr>
                    </m:sSubPr>
                    <m:e>
                      <m:r>
                        <a:rPr lang="en-US" sz="1600" b="0" i="1">
                          <a:latin typeface="Cambria Math" panose="02040503050406030204" pitchFamily="18" charset="0"/>
                        </a:rPr>
                        <m:t>𝐷</m:t>
                      </m:r>
                    </m:e>
                    <m:sub>
                      <m:r>
                        <a:rPr lang="en-US" sz="1600" b="0" i="1">
                          <a:latin typeface="Cambria Math" panose="02040503050406030204" pitchFamily="18" charset="0"/>
                        </a:rPr>
                        <m:t>𝑒𝑓𝑓</m:t>
                      </m:r>
                    </m:sub>
                  </m:sSub>
                  <m:r>
                    <a:rPr lang="en-US" sz="1600" b="0" i="1">
                      <a:latin typeface="Cambria Math" panose="02040503050406030204" pitchFamily="18" charset="0"/>
                    </a:rPr>
                    <m:t> </m:t>
                  </m:r>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ea typeface="Cambria Math" panose="02040503050406030204" pitchFamily="18" charset="0"/>
                    </a:rPr>
                    <m:t>𝑚𝑖𝑛</m:t>
                  </m:r>
                  <m:r>
                    <a:rPr lang="en-US" sz="1600" b="0" i="1">
                      <a:latin typeface="Cambria Math" panose="02040503050406030204" pitchFamily="18" charset="0"/>
                      <a:ea typeface="Cambria Math" panose="02040503050406030204" pitchFamily="18" charset="0"/>
                    </a:rPr>
                    <m:t> </m:t>
                  </m:r>
                  <m:d>
                    <m:dPr>
                      <m:ctrlPr>
                        <a:rPr lang="en-US" sz="1600" b="0" i="1">
                          <a:latin typeface="Cambria Math" panose="02040503050406030204" pitchFamily="18" charset="0"/>
                          <a:ea typeface="Cambria Math" panose="02040503050406030204" pitchFamily="18" charset="0"/>
                        </a:rPr>
                      </m:ctrlPr>
                    </m:dPr>
                    <m:e>
                      <m:r>
                        <a:rPr lang="en-US" sz="1600" b="0" i="1">
                          <a:latin typeface="Cambria Math" panose="02040503050406030204" pitchFamily="18" charset="0"/>
                          <a:ea typeface="Cambria Math" panose="02040503050406030204" pitchFamily="18" charset="0"/>
                        </a:rPr>
                        <m:t>𝐷</m:t>
                      </m:r>
                      <m:r>
                        <a:rPr lang="en-US" sz="1600" b="0" i="1">
                          <a:latin typeface="Cambria Math" panose="02040503050406030204" pitchFamily="18" charset="0"/>
                          <a:ea typeface="Cambria Math" panose="02040503050406030204" pitchFamily="18" charset="0"/>
                        </a:rPr>
                        <m:t>, </m:t>
                      </m:r>
                      <m:f>
                        <m:fPr>
                          <m:ctrlPr>
                            <a:rPr lang="en-US" sz="1600" b="0" i="1">
                              <a:latin typeface="Cambria Math" panose="02040503050406030204" pitchFamily="18" charset="0"/>
                              <a:ea typeface="Cambria Math" panose="02040503050406030204" pitchFamily="18" charset="0"/>
                            </a:rPr>
                          </m:ctrlPr>
                        </m:fPr>
                        <m:num>
                          <m:r>
                            <a:rPr lang="en-US" sz="1600" b="0" i="1">
                              <a:latin typeface="Cambria Math" panose="02040503050406030204" pitchFamily="18" charset="0"/>
                              <a:ea typeface="Cambria Math" panose="02040503050406030204" pitchFamily="18" charset="0"/>
                            </a:rPr>
                            <m:t>𝑅𝑂𝐵</m:t>
                          </m:r>
                        </m:num>
                        <m:den>
                          <m:r>
                            <a:rPr lang="en-US" sz="1600" b="0" i="1">
                              <a:latin typeface="Cambria Math" panose="02040503050406030204" pitchFamily="18" charset="0"/>
                              <a:ea typeface="Cambria Math" panose="02040503050406030204" pitchFamily="18" charset="0"/>
                            </a:rPr>
                            <m:t>𝑙𝑎𝑡</m:t>
                          </m:r>
                          <m:r>
                            <a:rPr lang="en-US" sz="1600" b="0" i="1">
                              <a:latin typeface="Cambria Math" panose="02040503050406030204" pitchFamily="18" charset="0"/>
                              <a:ea typeface="Cambria Math" panose="02040503050406030204" pitchFamily="18" charset="0"/>
                            </a:rPr>
                            <m:t> ×</m:t>
                          </m:r>
                          <m:r>
                            <a:rPr lang="en-US" sz="1600" b="0" i="1">
                              <a:latin typeface="Cambria Math" panose="02040503050406030204" pitchFamily="18" charset="0"/>
                              <a:ea typeface="Cambria Math" panose="02040503050406030204" pitchFamily="18" charset="0"/>
                            </a:rPr>
                            <m:t>𝐾</m:t>
                          </m:r>
                          <m:d>
                            <m:dPr>
                              <m:ctrlPr>
                                <a:rPr lang="en-US" sz="1600" b="0" i="1">
                                  <a:latin typeface="Cambria Math" panose="02040503050406030204" pitchFamily="18" charset="0"/>
                                  <a:ea typeface="Cambria Math" panose="02040503050406030204" pitchFamily="18" charset="0"/>
                                </a:rPr>
                              </m:ctrlPr>
                            </m:dPr>
                            <m:e>
                              <m:r>
                                <a:rPr lang="en-US" sz="1600" b="0" i="1">
                                  <a:latin typeface="Cambria Math" panose="02040503050406030204" pitchFamily="18" charset="0"/>
                                  <a:ea typeface="Cambria Math" panose="02040503050406030204" pitchFamily="18" charset="0"/>
                                </a:rPr>
                                <m:t>𝑅𝑂𝐵</m:t>
                              </m:r>
                            </m:e>
                          </m:d>
                        </m:den>
                      </m:f>
                      <m:r>
                        <a:rPr lang="en-US" sz="1600" b="0" i="1">
                          <a:latin typeface="Cambria Math" panose="02040503050406030204" pitchFamily="18" charset="0"/>
                          <a:ea typeface="Cambria Math" panose="02040503050406030204" pitchFamily="18" charset="0"/>
                        </a:rPr>
                        <m:t>, </m:t>
                      </m:r>
                      <m:f>
                        <m:fPr>
                          <m:ctrlPr>
                            <a:rPr lang="en-US" sz="1600" b="0" i="1">
                              <a:latin typeface="Cambria Math" panose="02040503050406030204" pitchFamily="18" charset="0"/>
                              <a:ea typeface="Cambria Math" panose="02040503050406030204" pitchFamily="18" charset="0"/>
                            </a:rPr>
                          </m:ctrlPr>
                        </m:fPr>
                        <m:num>
                          <m:r>
                            <a:rPr lang="en-US" sz="1600" b="0" i="1">
                              <a:latin typeface="Cambria Math" panose="02040503050406030204" pitchFamily="18" charset="0"/>
                              <a:ea typeface="Cambria Math" panose="02040503050406030204" pitchFamily="18" charset="0"/>
                            </a:rPr>
                            <m:t>𝑁</m:t>
                          </m:r>
                        </m:num>
                        <m:den>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𝑁</m:t>
                              </m:r>
                            </m:e>
                            <m:sub>
                              <m:r>
                                <a:rPr lang="en-US" sz="1600" b="0" i="1">
                                  <a:latin typeface="Cambria Math" panose="02040503050406030204" pitchFamily="18" charset="0"/>
                                  <a:ea typeface="Cambria Math" panose="02040503050406030204" pitchFamily="18" charset="0"/>
                                </a:rPr>
                                <m:t>𝑝</m:t>
                              </m:r>
                            </m:sub>
                          </m:sSub>
                        </m:den>
                      </m:f>
                      <m:r>
                        <a:rPr lang="en-US" sz="1600" b="0" i="1">
                          <a:latin typeface="Cambria Math" panose="02040503050406030204" pitchFamily="18" charset="0"/>
                          <a:ea typeface="Cambria Math" panose="02040503050406030204" pitchFamily="18" charset="0"/>
                        </a:rPr>
                        <m:t>, </m:t>
                      </m:r>
                      <m:f>
                        <m:fPr>
                          <m:ctrlPr>
                            <a:rPr lang="en-US" sz="1600" b="0" i="1">
                              <a:latin typeface="Cambria Math" panose="02040503050406030204" pitchFamily="18" charset="0"/>
                              <a:ea typeface="Cambria Math" panose="02040503050406030204" pitchFamily="18" charset="0"/>
                            </a:rPr>
                          </m:ctrlPr>
                        </m:fPr>
                        <m:num>
                          <m:r>
                            <a:rPr lang="en-US" sz="1600" b="0" i="1">
                              <a:latin typeface="Cambria Math" panose="02040503050406030204" pitchFamily="18" charset="0"/>
                              <a:ea typeface="Cambria Math" panose="02040503050406030204" pitchFamily="18" charset="0"/>
                            </a:rPr>
                            <m:t>𝑁</m:t>
                          </m:r>
                          <m:r>
                            <a:rPr lang="en-US" sz="1600" b="0" i="1">
                              <a:latin typeface="Cambria Math" panose="02040503050406030204" pitchFamily="18" charset="0"/>
                              <a:ea typeface="Cambria Math" panose="02040503050406030204" pitchFamily="18" charset="0"/>
                            </a:rPr>
                            <m:t> × </m:t>
                          </m:r>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𝑈</m:t>
                              </m:r>
                            </m:e>
                            <m:sub>
                              <m:r>
                                <a:rPr lang="en-US" sz="1600" b="0" i="1">
                                  <a:latin typeface="Cambria Math" panose="02040503050406030204" pitchFamily="18" charset="0"/>
                                  <a:ea typeface="Cambria Math" panose="02040503050406030204" pitchFamily="18" charset="0"/>
                                </a:rPr>
                                <m:t>𝑖</m:t>
                              </m:r>
                            </m:sub>
                          </m:sSub>
                        </m:num>
                        <m:den>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𝑁</m:t>
                              </m:r>
                            </m:e>
                            <m:sub>
                              <m:r>
                                <a:rPr lang="en-US" sz="1600" b="0" i="1">
                                  <a:latin typeface="Cambria Math" panose="02040503050406030204" pitchFamily="18" charset="0"/>
                                  <a:ea typeface="Cambria Math" panose="02040503050406030204" pitchFamily="18" charset="0"/>
                                </a:rPr>
                                <m:t>𝑖</m:t>
                              </m:r>
                            </m:sub>
                          </m:sSub>
                        </m:den>
                      </m:f>
                      <m:r>
                        <a:rPr lang="en-US" sz="1600" b="0" i="1">
                          <a:latin typeface="Cambria Math" panose="02040503050406030204" pitchFamily="18" charset="0"/>
                          <a:ea typeface="Cambria Math" panose="02040503050406030204" pitchFamily="18" charset="0"/>
                        </a:rPr>
                        <m:t>, </m:t>
                      </m:r>
                      <m:f>
                        <m:fPr>
                          <m:ctrlPr>
                            <a:rPr lang="en-US" sz="1600" b="0" i="1">
                              <a:latin typeface="Cambria Math" panose="02040503050406030204" pitchFamily="18" charset="0"/>
                              <a:ea typeface="Cambria Math" panose="02040503050406030204" pitchFamily="18" charset="0"/>
                            </a:rPr>
                          </m:ctrlPr>
                        </m:fPr>
                        <m:num>
                          <m:r>
                            <a:rPr lang="en-US" sz="1600" b="0" i="1">
                              <a:latin typeface="Cambria Math" panose="02040503050406030204" pitchFamily="18" charset="0"/>
                              <a:ea typeface="Cambria Math" panose="02040503050406030204" pitchFamily="18" charset="0"/>
                            </a:rPr>
                            <m:t>𝑁</m:t>
                          </m:r>
                          <m:r>
                            <a:rPr lang="en-US" sz="1600" b="0" i="1">
                              <a:latin typeface="Cambria Math" panose="02040503050406030204" pitchFamily="18" charset="0"/>
                              <a:ea typeface="Cambria Math" panose="02040503050406030204" pitchFamily="18" charset="0"/>
                            </a:rPr>
                            <m:t> × </m:t>
                          </m:r>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𝑈</m:t>
                              </m:r>
                            </m:e>
                            <m:sub>
                              <m:r>
                                <a:rPr lang="en-US" sz="1600" b="0" i="1">
                                  <a:latin typeface="Cambria Math" panose="02040503050406030204" pitchFamily="18" charset="0"/>
                                  <a:ea typeface="Cambria Math" panose="02040503050406030204" pitchFamily="18" charset="0"/>
                                </a:rPr>
                                <m:t>𝑗</m:t>
                              </m:r>
                            </m:sub>
                          </m:sSub>
                        </m:num>
                        <m:den>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𝑁</m:t>
                              </m:r>
                            </m:e>
                            <m:sub>
                              <m:r>
                                <a:rPr lang="en-US" sz="1600" b="0" i="1">
                                  <a:latin typeface="Cambria Math" panose="02040503050406030204" pitchFamily="18" charset="0"/>
                                  <a:ea typeface="Cambria Math" panose="02040503050406030204" pitchFamily="18" charset="0"/>
                                </a:rPr>
                                <m:t>𝑗</m:t>
                              </m:r>
                            </m:sub>
                          </m:sSub>
                          <m:r>
                            <a:rPr lang="en-US" sz="1600" b="0" i="1">
                              <a:latin typeface="Cambria Math" panose="02040503050406030204" pitchFamily="18" charset="0"/>
                              <a:ea typeface="Cambria Math" panose="02040503050406030204" pitchFamily="18" charset="0"/>
                            </a:rPr>
                            <m:t> × </m:t>
                          </m:r>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𝑙𝑎𝑡</m:t>
                              </m:r>
                            </m:e>
                            <m:sub>
                              <m:r>
                                <a:rPr lang="en-US" sz="1600" b="0" i="1">
                                  <a:latin typeface="Cambria Math" panose="02040503050406030204" pitchFamily="18" charset="0"/>
                                  <a:ea typeface="Cambria Math" panose="02040503050406030204" pitchFamily="18" charset="0"/>
                                </a:rPr>
                                <m:t>𝑗</m:t>
                              </m:r>
                            </m:sub>
                          </m:sSub>
                        </m:den>
                      </m:f>
                    </m:e>
                  </m:d>
                  <m:r>
                    <a:rPr lang="en-US" sz="1600" b="0" i="1">
                      <a:latin typeface="Cambria Math" panose="02040503050406030204" pitchFamily="18" charset="0"/>
                      <a:ea typeface="Cambria Math" panose="02040503050406030204" pitchFamily="18" charset="0"/>
                    </a:rPr>
                    <m:t>,  </m:t>
                  </m:r>
                </m:oMath>
              </a14:m>
              <a:r>
                <a:rPr lang="en-US" sz="1000" b="0">
                  <a:ea typeface="Cambria Math" panose="02040503050406030204" pitchFamily="18" charset="0"/>
                </a:rPr>
                <a:t>Where,</a:t>
              </a:r>
            </a:p>
            <a:p>
              <a:pPr algn="l"/>
              <a:r>
                <a:rPr lang="en-GB" sz="1000"/>
                <a:t>- the </a:t>
              </a:r>
              <a:r>
                <a:rPr lang="en-GB" sz="1100" b="1">
                  <a:solidFill>
                    <a:schemeClr val="tx1"/>
                  </a:solidFill>
                  <a:effectLst/>
                  <a:latin typeface="+mn-lt"/>
                  <a:ea typeface="+mn-ea"/>
                  <a:cs typeface="+mn-cs"/>
                </a:rPr>
                <a:t>Designed dispatch width</a:t>
              </a:r>
              <a:r>
                <a:rPr lang="en-GB" sz="1000" b="1"/>
                <a:t> </a:t>
              </a:r>
              <a14:m>
                <m:oMath xmlns:m="http://schemas.openxmlformats.org/officeDocument/2006/math">
                  <m:r>
                    <a:rPr lang="en-US" sz="1100" b="1" i="0">
                      <a:solidFill>
                        <a:schemeClr val="tx1"/>
                      </a:solidFill>
                      <a:effectLst/>
                      <a:latin typeface="Cambria Math" panose="02040503050406030204" pitchFamily="18" charset="0"/>
                      <a:ea typeface="+mn-ea"/>
                      <a:cs typeface="+mn-cs"/>
                    </a:rPr>
                    <m:t>(</m:t>
                  </m:r>
                  <m:r>
                    <a:rPr lang="en-US" sz="1100" b="1" i="1">
                      <a:solidFill>
                        <a:schemeClr val="tx1"/>
                      </a:solidFill>
                      <a:effectLst/>
                      <a:latin typeface="Cambria Math" panose="02040503050406030204" pitchFamily="18" charset="0"/>
                      <a:ea typeface="+mn-ea"/>
                      <a:cs typeface="+mn-cs"/>
                    </a:rPr>
                    <m:t>𝑫</m:t>
                  </m:r>
                  <m:r>
                    <a:rPr lang="en-US" sz="1100" b="1" i="1">
                      <a:solidFill>
                        <a:schemeClr val="tx1"/>
                      </a:solidFill>
                      <a:effectLst/>
                      <a:latin typeface="Cambria Math" panose="02040503050406030204" pitchFamily="18" charset="0"/>
                      <a:ea typeface="+mn-ea"/>
                      <a:cs typeface="+mn-cs"/>
                    </a:rPr>
                    <m:t>)</m:t>
                  </m:r>
                </m:oMath>
              </a14:m>
              <a:r>
                <a:rPr lang="en-GB" sz="1000" b="1"/>
                <a:t> </a:t>
              </a:r>
              <a:r>
                <a:rPr lang="en-GB" sz="1000"/>
                <a:t>is the effective dispatch</a:t>
              </a:r>
              <a:r>
                <a:rPr lang="en-GB" sz="1000" baseline="0"/>
                <a:t> </a:t>
              </a:r>
              <a:r>
                <a:rPr lang="en-GB" sz="1000"/>
                <a:t>rate of the</a:t>
              </a:r>
              <a:r>
                <a:rPr lang="en-GB" sz="1000" baseline="0"/>
                <a:t> </a:t>
              </a:r>
              <a:r>
                <a:rPr lang="en-GB" sz="1000"/>
                <a:t>processor, assuming the reorder buffer (ROB) is large</a:t>
              </a:r>
            </a:p>
            <a:p>
              <a:pPr algn="l"/>
              <a:r>
                <a:rPr lang="en-GB" sz="1000"/>
                <a:t>enough to sustain an IPC of </a:t>
              </a:r>
              <a14:m>
                <m:oMath xmlns:m="http://schemas.openxmlformats.org/officeDocument/2006/math">
                  <m:r>
                    <a:rPr lang="en-GB" sz="1000" b="1" i="1">
                      <a:latin typeface="Cambria Math" panose="02040503050406030204" pitchFamily="18" charset="0"/>
                    </a:rPr>
                    <m:t>𝑫</m:t>
                  </m:r>
                </m:oMath>
              </a14:m>
              <a:r>
                <a:rPr lang="en-GB" sz="1000"/>
                <a:t> (balanced design).</a:t>
              </a:r>
            </a:p>
            <a:p>
              <a:pPr algn="l"/>
              <a:r>
                <a:rPr lang="en-GB" sz="1000"/>
                <a:t>- the </a:t>
              </a:r>
              <a:r>
                <a:rPr lang="en-GB" sz="1000" b="1"/>
                <a:t>Register contention parameter </a:t>
              </a:r>
              <a14:m>
                <m:oMath xmlns:m="http://schemas.openxmlformats.org/officeDocument/2006/math">
                  <m:r>
                    <a:rPr lang="en-US" sz="1100" b="0" i="0">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mn-ea"/>
                          <a:cs typeface="+mn-cs"/>
                        </a:rPr>
                        <m:t>𝑹𝑶𝑩</m:t>
                      </m:r>
                    </m:num>
                    <m:den>
                      <m:r>
                        <a:rPr lang="en-US" sz="1100" b="1" i="1">
                          <a:solidFill>
                            <a:schemeClr val="tx1"/>
                          </a:solidFill>
                          <a:effectLst/>
                          <a:latin typeface="Cambria Math" panose="02040503050406030204" pitchFamily="18" charset="0"/>
                          <a:ea typeface="+mn-ea"/>
                          <a:cs typeface="+mn-cs"/>
                        </a:rPr>
                        <m:t>𝒍𝒂𝒕</m:t>
                      </m:r>
                      <m:r>
                        <a:rPr lang="en-US" sz="1100" b="1" i="1">
                          <a:solidFill>
                            <a:schemeClr val="tx1"/>
                          </a:solidFill>
                          <a:effectLst/>
                          <a:latin typeface="Cambria Math" panose="02040503050406030204" pitchFamily="18" charset="0"/>
                          <a:ea typeface="+mn-ea"/>
                          <a:cs typeface="+mn-cs"/>
                        </a:rPr>
                        <m:t> ×</m:t>
                      </m:r>
                      <m:r>
                        <a:rPr lang="en-US" sz="1100" b="1" i="1">
                          <a:solidFill>
                            <a:schemeClr val="tx1"/>
                          </a:solidFill>
                          <a:effectLst/>
                          <a:latin typeface="Cambria Math" panose="02040503050406030204" pitchFamily="18" charset="0"/>
                          <a:ea typeface="+mn-ea"/>
                          <a:cs typeface="+mn-cs"/>
                        </a:rPr>
                        <m:t>𝑲</m:t>
                      </m:r>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𝑹𝑶𝑩</m:t>
                          </m:r>
                        </m:e>
                      </m:d>
                    </m:den>
                  </m:f>
                  <m:r>
                    <a:rPr lang="en-US" sz="1100" b="1" i="1">
                      <a:solidFill>
                        <a:schemeClr val="tx1"/>
                      </a:solidFill>
                      <a:effectLst/>
                      <a:latin typeface="Cambria Math" panose="02040503050406030204" pitchFamily="18" charset="0"/>
                      <a:ea typeface="+mn-ea"/>
                      <a:cs typeface="+mn-cs"/>
                    </a:rPr>
                    <m:t>)</m:t>
                  </m:r>
                </m:oMath>
              </a14:m>
              <a:r>
                <a:rPr lang="en-GB" sz="1000" b="1"/>
                <a:t> </a:t>
              </a:r>
              <a:r>
                <a:rPr lang="en-GB" sz="1000" b="0"/>
                <a:t>is calculated via</a:t>
              </a:r>
              <a:r>
                <a:rPr lang="en-GB" sz="1000" b="0" baseline="0"/>
                <a:t> Little's Law when there are fewer allocated hardware registers resulting in an effective dispatch rate smaller than the designed dispatch width (and longer memory dependency paths). </a:t>
              </a:r>
            </a:p>
            <a:p>
              <a:pPr algn="l"/>
              <a:r>
                <a:rPr lang="en-GB" sz="1000" b="0" baseline="0"/>
                <a:t>- the </a:t>
              </a:r>
              <a:r>
                <a:rPr lang="en-GB" sz="1000" b="1" baseline="0"/>
                <a:t>Port contention paramter  </a:t>
              </a:r>
              <a14:m>
                <m:oMath xmlns:m="http://schemas.openxmlformats.org/officeDocument/2006/math">
                  <m:r>
                    <a:rPr lang="en-US" sz="1100" b="0" i="0">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mn-ea"/>
                          <a:cs typeface="+mn-cs"/>
                        </a:rPr>
                        <m:t>𝑵</m:t>
                      </m:r>
                    </m:num>
                    <m:den>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𝑵</m:t>
                          </m:r>
                        </m:e>
                        <m:sub>
                          <m:r>
                            <a:rPr lang="en-US" sz="1100" b="1" i="1">
                              <a:solidFill>
                                <a:schemeClr val="tx1"/>
                              </a:solidFill>
                              <a:effectLst/>
                              <a:latin typeface="Cambria Math" panose="02040503050406030204" pitchFamily="18" charset="0"/>
                              <a:ea typeface="+mn-ea"/>
                              <a:cs typeface="+mn-cs"/>
                            </a:rPr>
                            <m:t>𝒑</m:t>
                          </m:r>
                        </m:sub>
                      </m:sSub>
                    </m:den>
                  </m:f>
                  <m:r>
                    <a:rPr lang="en-US" sz="1100" b="1" i="1">
                      <a:solidFill>
                        <a:schemeClr val="tx1"/>
                      </a:solidFill>
                      <a:effectLst/>
                      <a:latin typeface="Cambria Math" panose="02040503050406030204" pitchFamily="18" charset="0"/>
                      <a:ea typeface="+mn-ea"/>
                      <a:cs typeface="+mn-cs"/>
                    </a:rPr>
                    <m:t>)</m:t>
                  </m:r>
                </m:oMath>
              </a14:m>
              <a:r>
                <a:rPr lang="en-GB" sz="1000" b="1"/>
                <a:t> </a:t>
              </a:r>
              <a:r>
                <a:rPr lang="en-GB" sz="1000" b="0"/>
                <a:t>is indicative of effective dispatch rate</a:t>
              </a:r>
              <a:r>
                <a:rPr lang="en-GB" sz="1000" b="0" baseline="0"/>
                <a:t> being limited by the availability of ports (</a:t>
              </a:r>
              <a:r>
                <a:rPr lang="en-GB" sz="1000" b="0" i="1" baseline="0"/>
                <a:t>where p over all ports</a:t>
              </a:r>
              <a:r>
                <a:rPr lang="en-GB" sz="1000" b="0" baseline="0"/>
                <a:t>) ; If there are limited number of ports available vs the functional units served, instruction issue and dispatch has to be more sequential. </a:t>
              </a:r>
            </a:p>
            <a:p>
              <a:pPr algn="l"/>
              <a:r>
                <a:rPr lang="en-GB" sz="1000" b="0" baseline="0"/>
                <a:t>- the </a:t>
              </a:r>
              <a:r>
                <a:rPr lang="en-GB" sz="1000" b="1" baseline="0"/>
                <a:t>Functional Unit contention parameters </a:t>
              </a:r>
              <a:r>
                <a:rPr lang="en-GB" sz="1000" b="0" baseline="0"/>
                <a:t>for pipelined units </a:t>
              </a:r>
              <a14:m>
                <m:oMath xmlns:m="http://schemas.openxmlformats.org/officeDocument/2006/math">
                  <m:r>
                    <a:rPr lang="en-US" sz="1000" b="0" i="0" baseline="0">
                      <a:latin typeface="Cambria Math" panose="02040503050406030204" pitchFamily="18" charset="0"/>
                    </a:rPr>
                    <m:t>(</m:t>
                  </m:r>
                  <m:f>
                    <m:fPr>
                      <m:ctrlPr>
                        <a:rPr lang="en-GB" sz="1000" b="1" i="1" baseline="0">
                          <a:latin typeface="Cambria Math" panose="02040503050406030204" pitchFamily="18" charset="0"/>
                        </a:rPr>
                      </m:ctrlPr>
                    </m:fPr>
                    <m:num>
                      <m:r>
                        <a:rPr lang="en-US" sz="1100" b="1" i="1">
                          <a:solidFill>
                            <a:schemeClr val="tx1"/>
                          </a:solidFill>
                          <a:effectLst/>
                          <a:latin typeface="Cambria Math" panose="02040503050406030204" pitchFamily="18" charset="0"/>
                          <a:ea typeface="+mn-ea"/>
                          <a:cs typeface="+mn-cs"/>
                        </a:rPr>
                        <m:t>𝑵</m:t>
                      </m:r>
                      <m:r>
                        <a:rPr lang="en-US" sz="1100" b="1" i="1">
                          <a:solidFill>
                            <a:schemeClr val="tx1"/>
                          </a:solidFill>
                          <a:effectLst/>
                          <a:latin typeface="Cambria Math" panose="02040503050406030204" pitchFamily="18" charset="0"/>
                          <a:ea typeface="+mn-ea"/>
                          <a:cs typeface="+mn-cs"/>
                        </a:rPr>
                        <m:t> × </m:t>
                      </m:r>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𝑼</m:t>
                          </m:r>
                        </m:e>
                        <m:sub>
                          <m:r>
                            <a:rPr lang="en-US" sz="1100" b="1" i="1">
                              <a:solidFill>
                                <a:schemeClr val="tx1"/>
                              </a:solidFill>
                              <a:effectLst/>
                              <a:latin typeface="Cambria Math" panose="02040503050406030204" pitchFamily="18" charset="0"/>
                              <a:ea typeface="+mn-ea"/>
                              <a:cs typeface="+mn-cs"/>
                            </a:rPr>
                            <m:t>𝒊</m:t>
                          </m:r>
                        </m:sub>
                      </m:sSub>
                    </m:num>
                    <m:den>
                      <m:sSub>
                        <m:sSubPr>
                          <m:ctrlPr>
                            <a:rPr lang="en-GB" sz="1000" b="1" i="1" baseline="0">
                              <a:latin typeface="Cambria Math" panose="02040503050406030204" pitchFamily="18" charset="0"/>
                            </a:rPr>
                          </m:ctrlPr>
                        </m:sSubPr>
                        <m:e>
                          <m:r>
                            <a:rPr lang="en-US" sz="1000" b="1" i="1" baseline="0">
                              <a:latin typeface="Cambria Math" panose="02040503050406030204" pitchFamily="18" charset="0"/>
                            </a:rPr>
                            <m:t>𝑵</m:t>
                          </m:r>
                        </m:e>
                        <m:sub>
                          <m:r>
                            <a:rPr lang="en-US" sz="1000" b="1" i="1" baseline="0">
                              <a:latin typeface="Cambria Math" panose="02040503050406030204" pitchFamily="18" charset="0"/>
                            </a:rPr>
                            <m:t>𝒊</m:t>
                          </m:r>
                        </m:sub>
                      </m:sSub>
                    </m:den>
                  </m:f>
                  <m:r>
                    <a:rPr lang="en-US" sz="1000" b="1" i="1" baseline="0">
                      <a:latin typeface="Cambria Math" panose="02040503050406030204" pitchFamily="18" charset="0"/>
                    </a:rPr>
                    <m:t>)</m:t>
                  </m:r>
                </m:oMath>
              </a14:m>
              <a:r>
                <a:rPr lang="en-GB" sz="1000" b="0"/>
                <a:t> </a:t>
              </a:r>
              <a:r>
                <a:rPr lang="en-GB" sz="1050" b="0" baseline="0">
                  <a:solidFill>
                    <a:schemeClr val="tx1"/>
                  </a:solidFill>
                  <a:effectLst/>
                  <a:latin typeface="+mn-lt"/>
                  <a:ea typeface="+mn-ea"/>
                  <a:cs typeface="+mn-cs"/>
                </a:rPr>
                <a:t>and non-pipelined units </a:t>
              </a:r>
              <a14:m>
                <m:oMath xmlns:m="http://schemas.openxmlformats.org/officeDocument/2006/math">
                  <m:r>
                    <a:rPr lang="en-US" sz="1100" b="1" i="0">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mn-ea"/>
                          <a:cs typeface="+mn-cs"/>
                        </a:rPr>
                        <m:t>𝑵</m:t>
                      </m:r>
                      <m:r>
                        <a:rPr lang="en-US" sz="1100" b="1" i="1">
                          <a:solidFill>
                            <a:schemeClr val="tx1"/>
                          </a:solidFill>
                          <a:effectLst/>
                          <a:latin typeface="Cambria Math" panose="02040503050406030204" pitchFamily="18" charset="0"/>
                          <a:ea typeface="+mn-ea"/>
                          <a:cs typeface="+mn-cs"/>
                        </a:rPr>
                        <m:t> × </m:t>
                      </m:r>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𝑼</m:t>
                          </m:r>
                        </m:e>
                        <m:sub>
                          <m:r>
                            <a:rPr lang="en-US" sz="1100" b="1" i="1">
                              <a:solidFill>
                                <a:schemeClr val="tx1"/>
                              </a:solidFill>
                              <a:effectLst/>
                              <a:latin typeface="Cambria Math" panose="02040503050406030204" pitchFamily="18" charset="0"/>
                              <a:ea typeface="+mn-ea"/>
                              <a:cs typeface="+mn-cs"/>
                            </a:rPr>
                            <m:t>𝒋</m:t>
                          </m:r>
                        </m:sub>
                      </m:sSub>
                    </m:num>
                    <m:den>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𝑵</m:t>
                          </m:r>
                        </m:e>
                        <m:sub>
                          <m:r>
                            <a:rPr lang="en-US" sz="1100" b="1" i="1">
                              <a:solidFill>
                                <a:schemeClr val="tx1"/>
                              </a:solidFill>
                              <a:effectLst/>
                              <a:latin typeface="Cambria Math" panose="02040503050406030204" pitchFamily="18" charset="0"/>
                              <a:ea typeface="+mn-ea"/>
                              <a:cs typeface="+mn-cs"/>
                            </a:rPr>
                            <m:t>𝒋</m:t>
                          </m:r>
                        </m:sub>
                      </m:sSub>
                      <m:r>
                        <a:rPr lang="en-US" sz="1100" b="1" i="1">
                          <a:solidFill>
                            <a:schemeClr val="tx1"/>
                          </a:solidFill>
                          <a:effectLst/>
                          <a:latin typeface="Cambria Math" panose="02040503050406030204" pitchFamily="18" charset="0"/>
                          <a:ea typeface="+mn-ea"/>
                          <a:cs typeface="+mn-cs"/>
                        </a:rPr>
                        <m:t> × </m:t>
                      </m:r>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𝒍𝒂𝒕</m:t>
                          </m:r>
                        </m:e>
                        <m:sub>
                          <m:r>
                            <a:rPr lang="en-US" sz="1100" b="1" i="1">
                              <a:solidFill>
                                <a:schemeClr val="tx1"/>
                              </a:solidFill>
                              <a:effectLst/>
                              <a:latin typeface="Cambria Math" panose="02040503050406030204" pitchFamily="18" charset="0"/>
                              <a:ea typeface="+mn-ea"/>
                              <a:cs typeface="+mn-cs"/>
                            </a:rPr>
                            <m:t>𝒋</m:t>
                          </m:r>
                        </m:sub>
                      </m:sSub>
                    </m:den>
                  </m:f>
                  <m:r>
                    <a:rPr lang="en-US" sz="1100" b="1" i="1">
                      <a:solidFill>
                        <a:schemeClr val="tx1"/>
                      </a:solidFill>
                      <a:effectLst/>
                      <a:latin typeface="Cambria Math" panose="02040503050406030204" pitchFamily="18" charset="0"/>
                      <a:ea typeface="+mn-ea"/>
                      <a:cs typeface="+mn-cs"/>
                    </a:rPr>
                    <m:t>)</m:t>
                  </m:r>
                </m:oMath>
              </a14:m>
              <a:r>
                <a:rPr lang="en-GB" sz="1000" b="1"/>
                <a:t> </a:t>
              </a:r>
              <a:r>
                <a:rPr lang="en-GB" sz="1000" b="0"/>
                <a:t>where i and j range over</a:t>
              </a:r>
              <a:r>
                <a:rPr lang="en-GB" sz="1000" b="0" baseline="0"/>
                <a:t> all types of pipleined and non-pipelined functional units respectively. </a:t>
              </a:r>
              <a:endParaRPr lang="en-GB" sz="1000" b="1"/>
            </a:p>
          </xdr:txBody>
        </xdr:sp>
      </mc:Choice>
      <mc:Fallback xmlns="">
        <xdr:sp macro="" textlink="">
          <xdr:nvSpPr>
            <xdr:cNvPr id="3" name="TextBox 2">
              <a:extLst>
                <a:ext uri="{FF2B5EF4-FFF2-40B4-BE49-F238E27FC236}">
                  <a16:creationId xmlns:a16="http://schemas.microsoft.com/office/drawing/2014/main" id="{A5598C84-E441-4759-B496-BA44E79BF2CD}"/>
                </a:ext>
              </a:extLst>
            </xdr:cNvPr>
            <xdr:cNvSpPr txBox="1"/>
          </xdr:nvSpPr>
          <xdr:spPr>
            <a:xfrm>
              <a:off x="40121" y="7929417"/>
              <a:ext cx="14599227" cy="171132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US" sz="1600" b="0" i="0">
                  <a:latin typeface="Cambria Math" panose="02040503050406030204" pitchFamily="18" charset="0"/>
                </a:rPr>
                <a:t>𝐷</a:t>
              </a:r>
              <a:r>
                <a:rPr lang="en-GB" sz="1600" b="0" i="0">
                  <a:latin typeface="Cambria Math" panose="02040503050406030204" pitchFamily="18" charset="0"/>
                </a:rPr>
                <a:t>_</a:t>
              </a:r>
              <a:r>
                <a:rPr lang="en-US" sz="1600" b="0" i="0">
                  <a:latin typeface="Cambria Math" panose="02040503050406030204" pitchFamily="18" charset="0"/>
                </a:rPr>
                <a:t>𝑒𝑓𝑓  </a:t>
              </a:r>
              <a:r>
                <a:rPr lang="en-US" sz="1600" b="0" i="0">
                  <a:latin typeface="Cambria Math" panose="02040503050406030204" pitchFamily="18" charset="0"/>
                  <a:ea typeface="Cambria Math" panose="02040503050406030204" pitchFamily="18" charset="0"/>
                </a:rPr>
                <a:t>=𝑚𝑖𝑛 (𝐷, 𝑅𝑂𝐵/(𝑙𝑎𝑡 ×𝐾(𝑅𝑂𝐵) ), 𝑁/𝑁_𝑝 , (𝑁 × 𝑈_𝑖)/𝑁_𝑖 , (𝑁 × 𝑈_𝑗)/(𝑁_𝑗  × 〖𝑙𝑎𝑡〗_𝑗 )),  </a:t>
              </a:r>
              <a:r>
                <a:rPr lang="en-US" sz="1000" b="0">
                  <a:ea typeface="Cambria Math" panose="02040503050406030204" pitchFamily="18" charset="0"/>
                </a:rPr>
                <a:t>Where,</a:t>
              </a:r>
            </a:p>
            <a:p>
              <a:pPr algn="l"/>
              <a:r>
                <a:rPr lang="en-GB" sz="1000"/>
                <a:t>- the </a:t>
              </a:r>
              <a:r>
                <a:rPr lang="en-GB" sz="1100" b="1">
                  <a:solidFill>
                    <a:schemeClr val="tx1"/>
                  </a:solidFill>
                  <a:effectLst/>
                  <a:latin typeface="+mn-lt"/>
                  <a:ea typeface="+mn-ea"/>
                  <a:cs typeface="+mn-cs"/>
                </a:rPr>
                <a:t>Designed dispatch width</a:t>
              </a:r>
              <a:r>
                <a:rPr lang="en-GB" sz="1000" b="1"/>
                <a:t> </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mn-lt"/>
                  <a:ea typeface="+mn-ea"/>
                  <a:cs typeface="+mn-cs"/>
                </a:rPr>
                <a:t>𝑫</a:t>
              </a:r>
              <a:r>
                <a:rPr lang="en-US" sz="1100" b="1" i="0">
                  <a:solidFill>
                    <a:schemeClr val="tx1"/>
                  </a:solidFill>
                  <a:effectLst/>
                  <a:latin typeface="Cambria Math" panose="02040503050406030204" pitchFamily="18" charset="0"/>
                  <a:ea typeface="+mn-ea"/>
                  <a:cs typeface="+mn-cs"/>
                </a:rPr>
                <a:t>)</a:t>
              </a:r>
              <a:r>
                <a:rPr lang="en-GB" sz="1000" b="1"/>
                <a:t> </a:t>
              </a:r>
              <a:r>
                <a:rPr lang="en-GB" sz="1000"/>
                <a:t>is the effective dispatch</a:t>
              </a:r>
              <a:r>
                <a:rPr lang="en-GB" sz="1000" baseline="0"/>
                <a:t> </a:t>
              </a:r>
              <a:r>
                <a:rPr lang="en-GB" sz="1000"/>
                <a:t>rate of the</a:t>
              </a:r>
              <a:r>
                <a:rPr lang="en-GB" sz="1000" baseline="0"/>
                <a:t> </a:t>
              </a:r>
              <a:r>
                <a:rPr lang="en-GB" sz="1000"/>
                <a:t>processor, assuming the reorder buffer (ROB) is large</a:t>
              </a:r>
            </a:p>
            <a:p>
              <a:pPr algn="l"/>
              <a:r>
                <a:rPr lang="en-GB" sz="1000"/>
                <a:t>enough to sustain an IPC of </a:t>
              </a:r>
              <a:r>
                <a:rPr lang="en-GB" sz="1000" b="1" i="0">
                  <a:latin typeface="Cambria Math" panose="02040503050406030204" pitchFamily="18" charset="0"/>
                </a:rPr>
                <a:t>𝑫</a:t>
              </a:r>
              <a:r>
                <a:rPr lang="en-GB" sz="1000"/>
                <a:t> (balanced design).</a:t>
              </a:r>
            </a:p>
            <a:p>
              <a:pPr algn="l"/>
              <a:r>
                <a:rPr lang="en-GB" sz="1000"/>
                <a:t>- the </a:t>
              </a:r>
              <a:r>
                <a:rPr lang="en-GB" sz="1000" b="1"/>
                <a:t>Register contention parameter </a:t>
              </a:r>
              <a:r>
                <a:rPr lang="en-US" sz="1100" b="0" i="0">
                  <a:solidFill>
                    <a:schemeClr val="tx1"/>
                  </a:solidFill>
                  <a:effectLst/>
                  <a:latin typeface="Cambria Math" panose="02040503050406030204" pitchFamily="18" charset="0"/>
                  <a:ea typeface="+mn-ea"/>
                  <a:cs typeface="+mn-cs"/>
                </a:rPr>
                <a:t>(</a:t>
              </a:r>
              <a:r>
                <a:rPr lang="en-US" sz="1100" b="1" i="0">
                  <a:solidFill>
                    <a:schemeClr val="tx1"/>
                  </a:solidFill>
                  <a:effectLst/>
                  <a:latin typeface="+mn-lt"/>
                  <a:ea typeface="+mn-ea"/>
                  <a:cs typeface="+mn-cs"/>
                </a:rPr>
                <a:t>𝑹𝑶𝑩/(𝒍𝒂𝒕 ×𝑲(𝑹𝑶𝑩) )</a:t>
              </a:r>
              <a:r>
                <a:rPr lang="en-US" sz="1100" b="1" i="0">
                  <a:solidFill>
                    <a:schemeClr val="tx1"/>
                  </a:solidFill>
                  <a:effectLst/>
                  <a:latin typeface="Cambria Math" panose="02040503050406030204" pitchFamily="18" charset="0"/>
                  <a:ea typeface="+mn-ea"/>
                  <a:cs typeface="+mn-cs"/>
                </a:rPr>
                <a:t>)</a:t>
              </a:r>
              <a:r>
                <a:rPr lang="en-GB" sz="1000" b="1"/>
                <a:t> </a:t>
              </a:r>
              <a:r>
                <a:rPr lang="en-GB" sz="1000" b="0"/>
                <a:t>is calculated via</a:t>
              </a:r>
              <a:r>
                <a:rPr lang="en-GB" sz="1000" b="0" baseline="0"/>
                <a:t> Little's Law when there are fewer allocated hardware registers resulting in an effective dispatch rate smaller than the designed dispatch width (and longer memory dependency paths). </a:t>
              </a:r>
            </a:p>
            <a:p>
              <a:pPr algn="l"/>
              <a:r>
                <a:rPr lang="en-GB" sz="1000" b="0" baseline="0"/>
                <a:t>- the </a:t>
              </a:r>
              <a:r>
                <a:rPr lang="en-GB" sz="1000" b="1" baseline="0"/>
                <a:t>Port contention paramter  </a:t>
              </a:r>
              <a:r>
                <a:rPr lang="en-US" sz="1100" b="0" i="0">
                  <a:solidFill>
                    <a:schemeClr val="tx1"/>
                  </a:solidFill>
                  <a:effectLst/>
                  <a:latin typeface="Cambria Math" panose="02040503050406030204" pitchFamily="18" charset="0"/>
                  <a:ea typeface="+mn-ea"/>
                  <a:cs typeface="+mn-cs"/>
                </a:rPr>
                <a:t>(</a:t>
              </a:r>
              <a:r>
                <a:rPr lang="en-US" sz="1100" b="1" i="0">
                  <a:solidFill>
                    <a:schemeClr val="tx1"/>
                  </a:solidFill>
                  <a:effectLst/>
                  <a:latin typeface="+mn-lt"/>
                  <a:ea typeface="+mn-ea"/>
                  <a:cs typeface="+mn-cs"/>
                </a:rPr>
                <a:t>𝑵/𝑵_𝒑 </a:t>
              </a:r>
              <a:r>
                <a:rPr lang="en-US" sz="1100" b="1" i="0">
                  <a:solidFill>
                    <a:schemeClr val="tx1"/>
                  </a:solidFill>
                  <a:effectLst/>
                  <a:latin typeface="Cambria Math" panose="02040503050406030204" pitchFamily="18" charset="0"/>
                  <a:ea typeface="+mn-ea"/>
                  <a:cs typeface="+mn-cs"/>
                </a:rPr>
                <a:t>)</a:t>
              </a:r>
              <a:r>
                <a:rPr lang="en-GB" sz="1000" b="1"/>
                <a:t> </a:t>
              </a:r>
              <a:r>
                <a:rPr lang="en-GB" sz="1000" b="0"/>
                <a:t>is indicative of effective dispatch rate</a:t>
              </a:r>
              <a:r>
                <a:rPr lang="en-GB" sz="1000" b="0" baseline="0"/>
                <a:t> being limited by the availability of ports (</a:t>
              </a:r>
              <a:r>
                <a:rPr lang="en-GB" sz="1000" b="0" i="1" baseline="0"/>
                <a:t>where p over all ports</a:t>
              </a:r>
              <a:r>
                <a:rPr lang="en-GB" sz="1000" b="0" baseline="0"/>
                <a:t>) ; If there are limited number of ports available vs the functional units served, instruction issue and dispatch has to be more sequential. </a:t>
              </a:r>
            </a:p>
            <a:p>
              <a:pPr algn="l"/>
              <a:r>
                <a:rPr lang="en-GB" sz="1000" b="0" baseline="0"/>
                <a:t>- the </a:t>
              </a:r>
              <a:r>
                <a:rPr lang="en-GB" sz="1000" b="1" baseline="0"/>
                <a:t>Functional Unit contention parameters </a:t>
              </a:r>
              <a:r>
                <a:rPr lang="en-GB" sz="1000" b="0" baseline="0"/>
                <a:t>for pipelined units </a:t>
              </a:r>
              <a:r>
                <a:rPr lang="en-US" sz="1000" b="0" i="0" baseline="0">
                  <a:latin typeface="Cambria Math" panose="02040503050406030204" pitchFamily="18" charset="0"/>
                </a:rPr>
                <a:t>(</a:t>
              </a:r>
              <a:r>
                <a:rPr lang="en-GB" sz="1000" b="1" i="0" baseline="0">
                  <a:latin typeface="Cambria Math" panose="02040503050406030204" pitchFamily="18" charset="0"/>
                </a:rPr>
                <a:t>(</a:t>
              </a:r>
              <a:r>
                <a:rPr lang="en-US" sz="1100" b="1" i="0">
                  <a:solidFill>
                    <a:schemeClr val="tx1"/>
                  </a:solidFill>
                  <a:effectLst/>
                  <a:latin typeface="+mn-lt"/>
                  <a:ea typeface="+mn-ea"/>
                  <a:cs typeface="+mn-cs"/>
                </a:rPr>
                <a:t>𝑵 × 𝑼_𝒊</a:t>
              </a:r>
              <a:r>
                <a:rPr lang="en-GB" sz="1000" b="1" i="0" baseline="0">
                  <a:solidFill>
                    <a:schemeClr val="tx1"/>
                  </a:solidFill>
                  <a:effectLst/>
                  <a:latin typeface="Cambria Math" panose="02040503050406030204" pitchFamily="18" charset="0"/>
                  <a:ea typeface="+mn-ea"/>
                  <a:cs typeface="+mn-cs"/>
                </a:rPr>
                <a:t>)/</a:t>
              </a:r>
              <a:r>
                <a:rPr lang="en-US" sz="1000" b="1" i="0" baseline="0">
                  <a:latin typeface="Cambria Math" panose="02040503050406030204" pitchFamily="18" charset="0"/>
                </a:rPr>
                <a:t>𝑵</a:t>
              </a:r>
              <a:r>
                <a:rPr lang="en-GB" sz="1000" b="1" i="0" baseline="0">
                  <a:latin typeface="Cambria Math" panose="02040503050406030204" pitchFamily="18" charset="0"/>
                </a:rPr>
                <a:t>_</a:t>
              </a:r>
              <a:r>
                <a:rPr lang="en-US" sz="1000" b="1" i="0" baseline="0">
                  <a:latin typeface="Cambria Math" panose="02040503050406030204" pitchFamily="18" charset="0"/>
                </a:rPr>
                <a:t>𝒊</a:t>
              </a:r>
              <a:r>
                <a:rPr lang="en-GB" sz="1000" b="1" i="0" baseline="0">
                  <a:latin typeface="Cambria Math" panose="02040503050406030204" pitchFamily="18" charset="0"/>
                </a:rPr>
                <a:t> </a:t>
              </a:r>
              <a:r>
                <a:rPr lang="en-US" sz="1000" b="1" i="0" baseline="0">
                  <a:latin typeface="Cambria Math" panose="02040503050406030204" pitchFamily="18" charset="0"/>
                </a:rPr>
                <a:t>)</a:t>
              </a:r>
              <a:r>
                <a:rPr lang="en-GB" sz="1000" b="0"/>
                <a:t> </a:t>
              </a:r>
              <a:r>
                <a:rPr lang="en-GB" sz="1050" b="0" baseline="0">
                  <a:solidFill>
                    <a:schemeClr val="tx1"/>
                  </a:solidFill>
                  <a:effectLst/>
                  <a:latin typeface="+mn-lt"/>
                  <a:ea typeface="+mn-ea"/>
                  <a:cs typeface="+mn-cs"/>
                </a:rPr>
                <a:t>and non-pipelined units </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mn-lt"/>
                  <a:ea typeface="+mn-ea"/>
                  <a:cs typeface="+mn-cs"/>
                </a:rPr>
                <a:t>(𝑵 × 𝑼_𝒋)/(𝑵_𝒋  × 〖𝒍𝒂𝒕〗_𝒋 )</a:t>
              </a:r>
              <a:r>
                <a:rPr lang="en-US" sz="1100" b="1" i="0">
                  <a:solidFill>
                    <a:schemeClr val="tx1"/>
                  </a:solidFill>
                  <a:effectLst/>
                  <a:latin typeface="Cambria Math" panose="02040503050406030204" pitchFamily="18" charset="0"/>
                  <a:ea typeface="+mn-ea"/>
                  <a:cs typeface="+mn-cs"/>
                </a:rPr>
                <a:t>)</a:t>
              </a:r>
              <a:r>
                <a:rPr lang="en-GB" sz="1000" b="1"/>
                <a:t> </a:t>
              </a:r>
              <a:r>
                <a:rPr lang="en-GB" sz="1000" b="0"/>
                <a:t>where i and j range over</a:t>
              </a:r>
              <a:r>
                <a:rPr lang="en-GB" sz="1000" b="0" baseline="0"/>
                <a:t> all types of pipleined and non-pipelined functional units respectively. </a:t>
              </a:r>
              <a:endParaRPr lang="en-GB" sz="1000" b="1"/>
            </a:p>
          </xdr:txBody>
        </xdr:sp>
      </mc:Fallback>
    </mc:AlternateContent>
    <xdr:clientData/>
  </xdr:oneCellAnchor>
  <xdr:oneCellAnchor>
    <xdr:from>
      <xdr:col>3</xdr:col>
      <xdr:colOff>248516</xdr:colOff>
      <xdr:row>58</xdr:row>
      <xdr:rowOff>147782</xdr:rowOff>
    </xdr:from>
    <xdr:ext cx="5063374" cy="50828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2577C2E-DC7D-4B09-95C4-CB4852E13CA0}"/>
                </a:ext>
              </a:extLst>
            </xdr:cNvPr>
            <xdr:cNvSpPr txBox="1"/>
          </xdr:nvSpPr>
          <xdr:spPr>
            <a:xfrm>
              <a:off x="3712152" y="14911532"/>
              <a:ext cx="5063374" cy="50828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600" b="0" i="1">
                        <a:latin typeface="Cambria Math" panose="02040503050406030204" pitchFamily="18" charset="0"/>
                      </a:rPr>
                      <m:t>𝑀𝐿𝑃</m:t>
                    </m:r>
                    <m:r>
                      <a:rPr lang="en-US" sz="1600" b="0" i="1">
                        <a:latin typeface="Cambria Math" panose="02040503050406030204" pitchFamily="18" charset="0"/>
                      </a:rPr>
                      <m:t> = </m:t>
                    </m:r>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𝐷𝑅𝐴𝑀</m:t>
                        </m:r>
                      </m:e>
                      <m:sub>
                        <m:r>
                          <a:rPr lang="en-US" sz="1600" b="0" i="1">
                            <a:latin typeface="Cambria Math" panose="02040503050406030204" pitchFamily="18" charset="0"/>
                            <a:ea typeface="Cambria Math" panose="02040503050406030204" pitchFamily="18" charset="0"/>
                          </a:rPr>
                          <m:t>𝑀𝑆𝐻𝑅</m:t>
                        </m:r>
                      </m:sub>
                    </m:sSub>
                    <m:r>
                      <a:rPr lang="en-US" sz="1600" b="0" i="1">
                        <a:latin typeface="Cambria Math" panose="02040503050406030204" pitchFamily="18" charset="0"/>
                        <a:ea typeface="Cambria Math" panose="02040503050406030204" pitchFamily="18" charset="0"/>
                      </a:rPr>
                      <m:t>+ </m:t>
                    </m:r>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𝐷𝑅𝐴𝑀</m:t>
                        </m:r>
                      </m:e>
                      <m:sub>
                        <m:r>
                          <a:rPr lang="en-US" sz="1600" b="0" i="1">
                            <a:latin typeface="Cambria Math" panose="02040503050406030204" pitchFamily="18" charset="0"/>
                            <a:ea typeface="Cambria Math" panose="02040503050406030204" pitchFamily="18" charset="0"/>
                          </a:rPr>
                          <m:t>𝑤𝑎𝑖𝑡</m:t>
                        </m:r>
                      </m:sub>
                    </m:sSub>
                    <m:r>
                      <a:rPr lang="en-US" sz="1600" b="0" i="1">
                        <a:latin typeface="Cambria Math" panose="02040503050406030204" pitchFamily="18" charset="0"/>
                        <a:ea typeface="Cambria Math" panose="02040503050406030204" pitchFamily="18" charset="0"/>
                      </a:rPr>
                      <m:t>× </m:t>
                    </m:r>
                    <m:f>
                      <m:fPr>
                        <m:ctrlPr>
                          <a:rPr lang="en-US" sz="1600" b="0" i="1">
                            <a:latin typeface="Cambria Math" panose="02040503050406030204" pitchFamily="18" charset="0"/>
                            <a:ea typeface="Cambria Math" panose="02040503050406030204" pitchFamily="18" charset="0"/>
                          </a:rPr>
                        </m:ctrlPr>
                      </m:fPr>
                      <m:num>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𝑇</m:t>
                            </m:r>
                          </m:e>
                          <m:sub>
                            <m:r>
                              <a:rPr lang="en-US" sz="1600" b="0" i="1">
                                <a:latin typeface="Cambria Math" panose="02040503050406030204" pitchFamily="18" charset="0"/>
                                <a:ea typeface="Cambria Math" panose="02040503050406030204" pitchFamily="18" charset="0"/>
                              </a:rPr>
                              <m:t>𝐷𝑅𝐴𝑀</m:t>
                            </m:r>
                          </m:sub>
                        </m:sSub>
                        <m:r>
                          <a:rPr lang="en-US" sz="1600" b="0" i="1">
                            <a:latin typeface="Cambria Math" panose="02040503050406030204" pitchFamily="18" charset="0"/>
                            <a:ea typeface="Cambria Math" panose="02040503050406030204" pitchFamily="18" charset="0"/>
                          </a:rPr>
                          <m:t> − </m:t>
                        </m:r>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𝑇</m:t>
                            </m:r>
                          </m:e>
                          <m:sub>
                            <m:r>
                              <a:rPr lang="en-US" sz="1600" b="0" i="1">
                                <a:latin typeface="Cambria Math" panose="02040503050406030204" pitchFamily="18" charset="0"/>
                                <a:ea typeface="Cambria Math" panose="02040503050406030204" pitchFamily="18" charset="0"/>
                              </a:rPr>
                              <m:t>𝑀𝑆𝐻𝑅𝑓𝑟𝑒𝑒</m:t>
                            </m:r>
                          </m:sub>
                        </m:sSub>
                      </m:num>
                      <m:den>
                        <m:sSub>
                          <m:sSubPr>
                            <m:ctrlPr>
                              <a:rPr lang="en-US" sz="1600" b="0" i="1">
                                <a:latin typeface="Cambria Math" panose="02040503050406030204" pitchFamily="18" charset="0"/>
                                <a:ea typeface="Cambria Math" panose="02040503050406030204" pitchFamily="18" charset="0"/>
                              </a:rPr>
                            </m:ctrlPr>
                          </m:sSubPr>
                          <m:e>
                            <m:r>
                              <a:rPr lang="en-US" sz="1600" b="0" i="1">
                                <a:latin typeface="Cambria Math" panose="02040503050406030204" pitchFamily="18" charset="0"/>
                                <a:ea typeface="Cambria Math" panose="02040503050406030204" pitchFamily="18" charset="0"/>
                              </a:rPr>
                              <m:t>𝑇</m:t>
                            </m:r>
                          </m:e>
                          <m:sub>
                            <m:r>
                              <a:rPr lang="en-US" sz="1600" b="0" i="1">
                                <a:latin typeface="Cambria Math" panose="02040503050406030204" pitchFamily="18" charset="0"/>
                                <a:ea typeface="Cambria Math" panose="02040503050406030204" pitchFamily="18" charset="0"/>
                              </a:rPr>
                              <m:t>𝐷𝑅𝐴𝑀</m:t>
                            </m:r>
                          </m:sub>
                        </m:sSub>
                      </m:den>
                    </m:f>
                  </m:oMath>
                </m:oMathPara>
              </a14:m>
              <a:endParaRPr lang="en-GB" sz="1600"/>
            </a:p>
          </xdr:txBody>
        </xdr:sp>
      </mc:Choice>
      <mc:Fallback xmlns="">
        <xdr:sp macro="" textlink="">
          <xdr:nvSpPr>
            <xdr:cNvPr id="4" name="TextBox 3">
              <a:extLst>
                <a:ext uri="{FF2B5EF4-FFF2-40B4-BE49-F238E27FC236}">
                  <a16:creationId xmlns:a16="http://schemas.microsoft.com/office/drawing/2014/main" id="{C2577C2E-DC7D-4B09-95C4-CB4852E13CA0}"/>
                </a:ext>
              </a:extLst>
            </xdr:cNvPr>
            <xdr:cNvSpPr txBox="1"/>
          </xdr:nvSpPr>
          <xdr:spPr>
            <a:xfrm>
              <a:off x="3712152" y="14911532"/>
              <a:ext cx="5063374" cy="50828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600" b="0" i="0">
                  <a:latin typeface="Cambria Math" panose="02040503050406030204" pitchFamily="18" charset="0"/>
                </a:rPr>
                <a:t>𝑀𝐿𝑃 </a:t>
              </a:r>
              <a:r>
                <a:rPr lang="en-US" sz="1600" b="0" i="0">
                  <a:latin typeface="Cambria Math" panose="02040503050406030204" pitchFamily="18" charset="0"/>
                  <a:ea typeface="Cambria Math" panose="02040503050406030204" pitchFamily="18" charset="0"/>
                </a:rPr>
                <a:t>= 〖𝐷𝑅𝐴𝑀〗_𝑀𝑆𝐻𝑅+ 〖𝐷𝑅𝐴𝑀〗_𝑤𝑎𝑖𝑡×  (𝑇_𝐷𝑅𝐴𝑀  − 𝑇_𝑀𝑆𝐻𝑅𝑓𝑟𝑒𝑒)/𝑇_𝐷𝑅𝐴𝑀 </a:t>
              </a:r>
              <a:endParaRPr lang="en-GB" sz="1600"/>
            </a:p>
          </xdr:txBody>
        </xdr:sp>
      </mc:Fallback>
    </mc:AlternateContent>
    <xdr:clientData/>
  </xdr:oneCellAnchor>
  <xdr:oneCellAnchor>
    <xdr:from>
      <xdr:col>2</xdr:col>
      <xdr:colOff>294595</xdr:colOff>
      <xdr:row>69</xdr:row>
      <xdr:rowOff>76662</xdr:rowOff>
    </xdr:from>
    <xdr:ext cx="6744347" cy="52706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0E8179B-2C77-4B8F-A456-74DBA8B2120D}"/>
                </a:ext>
              </a:extLst>
            </xdr:cNvPr>
            <xdr:cNvSpPr txBox="1"/>
          </xdr:nvSpPr>
          <xdr:spPr>
            <a:xfrm>
              <a:off x="2677577" y="18600189"/>
              <a:ext cx="6744347" cy="52706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ctr"/>
              <a14:m>
                <m:oMath xmlns:m="http://schemas.openxmlformats.org/officeDocument/2006/math">
                  <m:r>
                    <a:rPr lang="en-US" sz="1100" b="0" i="1">
                      <a:latin typeface="Cambria Math" panose="02040503050406030204" pitchFamily="18" charset="0"/>
                    </a:rPr>
                    <m:t>𝑀</m:t>
                  </m:r>
                  <m:d>
                    <m:dPr>
                      <m:ctrlPr>
                        <a:rPr lang="en-US" sz="1100" b="0" i="1">
                          <a:latin typeface="Cambria Math" panose="02040503050406030204" pitchFamily="18" charset="0"/>
                        </a:rPr>
                      </m:ctrlPr>
                    </m:dPr>
                    <m:e>
                      <m:r>
                        <a:rPr lang="en-US" sz="1100" b="0" i="1">
                          <a:latin typeface="Cambria Math" panose="02040503050406030204" pitchFamily="18" charset="0"/>
                        </a:rPr>
                        <m:t>𝐸</m:t>
                      </m:r>
                    </m:e>
                  </m:d>
                  <m:r>
                    <a:rPr lang="en-US" sz="1100" b="0" i="1">
                      <a:latin typeface="Cambria Math" panose="02040503050406030204" pitchFamily="18" charset="0"/>
                    </a:rPr>
                    <m:t> </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𝛼</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𝛽</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𝐸</m:t>
                  </m:r>
                  <m:r>
                    <a:rPr lang="en-US" sz="1100" b="0" i="1">
                      <a:latin typeface="Cambria Math" panose="02040503050406030204" pitchFamily="18" charset="0"/>
                      <a:ea typeface="Cambria Math" panose="02040503050406030204" pitchFamily="18" charset="0"/>
                    </a:rPr>
                    <m:t>,</m:t>
                  </m:r>
                </m:oMath>
              </a14:m>
              <a:r>
                <a:rPr lang="en-GB" sz="1100"/>
                <a:t> Where</a:t>
              </a:r>
            </a:p>
            <a:p>
              <a:r>
                <a:rPr lang="en-US" sz="1100" b="0"/>
                <a:t>- </a:t>
              </a:r>
              <a14:m>
                <m:oMath xmlns:m="http://schemas.openxmlformats.org/officeDocument/2006/math">
                  <m:r>
                    <a:rPr lang="en-US" sz="1100" b="1" i="1">
                      <a:latin typeface="Cambria Math" panose="02040503050406030204" pitchFamily="18" charset="0"/>
                    </a:rPr>
                    <m:t>𝑴</m:t>
                  </m:r>
                  <m:d>
                    <m:dPr>
                      <m:ctrlPr>
                        <a:rPr lang="en-US" sz="1100" b="1" i="1">
                          <a:latin typeface="Cambria Math" panose="02040503050406030204" pitchFamily="18" charset="0"/>
                        </a:rPr>
                      </m:ctrlPr>
                    </m:dPr>
                    <m:e>
                      <m:r>
                        <a:rPr lang="en-US" sz="1100" b="1" i="1">
                          <a:latin typeface="Cambria Math" panose="02040503050406030204" pitchFamily="18" charset="0"/>
                        </a:rPr>
                        <m:t>𝑬</m:t>
                      </m:r>
                    </m:e>
                  </m:d>
                </m:oMath>
              </a14:m>
              <a:r>
                <a:rPr lang="en-GB" sz="1100" b="1"/>
                <a:t> </a:t>
              </a:r>
              <a:r>
                <a:rPr lang="en-GB" sz="1100"/>
                <a:t>is the </a:t>
              </a:r>
              <a:r>
                <a:rPr lang="en-GB" sz="1100" b="1"/>
                <a:t>Miss</a:t>
              </a:r>
              <a:r>
                <a:rPr lang="en-GB" sz="1100" b="1" baseline="0"/>
                <a:t> rate </a:t>
              </a:r>
              <a:r>
                <a:rPr lang="en-GB" sz="1100" baseline="0"/>
                <a:t>calculated from </a:t>
              </a:r>
              <a:r>
                <a:rPr lang="en-GB" sz="1100" b="1" baseline="0"/>
                <a:t>Entropy</a:t>
              </a:r>
              <a:r>
                <a:rPr lang="en-GB" sz="1100" baseline="0"/>
                <a:t> </a:t>
              </a:r>
              <a14:m>
                <m:oMath xmlns:m="http://schemas.openxmlformats.org/officeDocument/2006/math">
                  <m:r>
                    <a:rPr lang="en-US" sz="1100" b="1" i="0" baseline="0">
                      <a:latin typeface="Cambria Math" panose="02040503050406030204" pitchFamily="18" charset="0"/>
                    </a:rPr>
                    <m:t>(</m:t>
                  </m:r>
                  <m:r>
                    <a:rPr lang="en-US" sz="1100" b="1" i="1" baseline="0">
                      <a:latin typeface="Cambria Math" panose="02040503050406030204" pitchFamily="18" charset="0"/>
                    </a:rPr>
                    <m:t>𝑬</m:t>
                  </m:r>
                  <m:r>
                    <a:rPr lang="en-US" sz="1100" b="1" i="1" baseline="0">
                      <a:latin typeface="Cambria Math" panose="02040503050406030204" pitchFamily="18" charset="0"/>
                    </a:rPr>
                    <m:t>)</m:t>
                  </m:r>
                </m:oMath>
              </a14:m>
              <a:r>
                <a:rPr lang="en-GB" sz="1100" b="1"/>
                <a:t> </a:t>
              </a:r>
              <a:r>
                <a:rPr lang="en-GB" sz="1100"/>
                <a:t>and parameters </a:t>
              </a:r>
              <a14:m>
                <m:oMath xmlns:m="http://schemas.openxmlformats.org/officeDocument/2006/math">
                  <m:r>
                    <a:rPr lang="en-GB" sz="1100" b="1" i="1">
                      <a:latin typeface="Cambria Math" panose="02040503050406030204" pitchFamily="18" charset="0"/>
                      <a:ea typeface="Cambria Math" panose="02040503050406030204" pitchFamily="18" charset="0"/>
                    </a:rPr>
                    <m:t>𝜶</m:t>
                  </m:r>
                </m:oMath>
              </a14:m>
              <a:r>
                <a:rPr lang="en-GB" sz="1100"/>
                <a:t> and </a:t>
              </a:r>
              <a14:m>
                <m:oMath xmlns:m="http://schemas.openxmlformats.org/officeDocument/2006/math">
                  <m:r>
                    <a:rPr lang="en-GB" sz="1100" b="1" i="1">
                      <a:latin typeface="Cambria Math" panose="02040503050406030204" pitchFamily="18" charset="0"/>
                      <a:ea typeface="Cambria Math" panose="02040503050406030204" pitchFamily="18" charset="0"/>
                    </a:rPr>
                    <m:t>𝜷</m:t>
                  </m:r>
                </m:oMath>
              </a14:m>
              <a:r>
                <a:rPr lang="en-GB" sz="1100"/>
                <a:t> are determined using a least-squares fit</a:t>
              </a:r>
            </a:p>
            <a:p>
              <a:r>
                <a:rPr lang="en-GB" sz="1100"/>
                <a:t>- the estimated 𝑴(𝑬) can directly be used as </a:t>
              </a:r>
              <a14:m>
                <m:oMath xmlns:m="http://schemas.openxmlformats.org/officeDocument/2006/math">
                  <m:sSub>
                    <m:sSubPr>
                      <m:ctrlPr>
                        <a:rPr lang="en-GB" sz="1100" i="1">
                          <a:latin typeface="Cambria Math" panose="02040503050406030204" pitchFamily="18" charset="0"/>
                        </a:rPr>
                      </m:ctrlPr>
                    </m:sSubPr>
                    <m:e>
                      <m:r>
                        <a:rPr lang="en-US" sz="1100" b="0" i="1">
                          <a:latin typeface="Cambria Math" panose="02040503050406030204" pitchFamily="18" charset="0"/>
                        </a:rPr>
                        <m:t>𝑚</m:t>
                      </m:r>
                    </m:e>
                    <m:sub>
                      <m:r>
                        <a:rPr lang="en-US" sz="1100" b="0" i="1">
                          <a:latin typeface="Cambria Math" panose="02040503050406030204" pitchFamily="18" charset="0"/>
                        </a:rPr>
                        <m:t>𝑏𝑝𝑟𝑒𝑑</m:t>
                      </m:r>
                    </m:sub>
                  </m:sSub>
                </m:oMath>
              </a14:m>
              <a:endParaRPr lang="en-GB" sz="1100"/>
            </a:p>
          </xdr:txBody>
        </xdr:sp>
      </mc:Choice>
      <mc:Fallback xmlns="">
        <xdr:sp macro="" textlink="">
          <xdr:nvSpPr>
            <xdr:cNvPr id="5" name="TextBox 4">
              <a:extLst>
                <a:ext uri="{FF2B5EF4-FFF2-40B4-BE49-F238E27FC236}">
                  <a16:creationId xmlns:a16="http://schemas.microsoft.com/office/drawing/2014/main" id="{40E8179B-2C77-4B8F-A456-74DBA8B2120D}"/>
                </a:ext>
              </a:extLst>
            </xdr:cNvPr>
            <xdr:cNvSpPr txBox="1"/>
          </xdr:nvSpPr>
          <xdr:spPr>
            <a:xfrm>
              <a:off x="2677577" y="18600189"/>
              <a:ext cx="6744347" cy="52706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ctr"/>
              <a:r>
                <a:rPr lang="en-US" sz="1100" b="0" i="0">
                  <a:latin typeface="Cambria Math" panose="02040503050406030204" pitchFamily="18" charset="0"/>
                </a:rPr>
                <a:t>𝑀(𝐸)  </a:t>
              </a:r>
              <a:r>
                <a:rPr lang="en-US" sz="1100" b="0" i="0">
                  <a:latin typeface="Cambria Math" panose="02040503050406030204" pitchFamily="18" charset="0"/>
                  <a:ea typeface="Cambria Math" panose="02040503050406030204" pitchFamily="18" charset="0"/>
                </a:rPr>
                <a:t>= 𝛼+𝛽 ×𝐸,</a:t>
              </a:r>
              <a:r>
                <a:rPr lang="en-GB" sz="1100"/>
                <a:t> Where</a:t>
              </a:r>
            </a:p>
            <a:p>
              <a:r>
                <a:rPr lang="en-US" sz="1100" b="0"/>
                <a:t>- </a:t>
              </a:r>
              <a:r>
                <a:rPr lang="en-US" sz="1100" b="1" i="0">
                  <a:latin typeface="Cambria Math" panose="02040503050406030204" pitchFamily="18" charset="0"/>
                </a:rPr>
                <a:t>𝑴(𝑬)</a:t>
              </a:r>
              <a:r>
                <a:rPr lang="en-GB" sz="1100" b="1"/>
                <a:t> </a:t>
              </a:r>
              <a:r>
                <a:rPr lang="en-GB" sz="1100"/>
                <a:t>is the </a:t>
              </a:r>
              <a:r>
                <a:rPr lang="en-GB" sz="1100" b="1"/>
                <a:t>Miss</a:t>
              </a:r>
              <a:r>
                <a:rPr lang="en-GB" sz="1100" b="1" baseline="0"/>
                <a:t> rate </a:t>
              </a:r>
              <a:r>
                <a:rPr lang="en-GB" sz="1100" baseline="0"/>
                <a:t>calculated from </a:t>
              </a:r>
              <a:r>
                <a:rPr lang="en-GB" sz="1100" b="1" baseline="0"/>
                <a:t>Entropy</a:t>
              </a:r>
              <a:r>
                <a:rPr lang="en-GB" sz="1100" baseline="0"/>
                <a:t> </a:t>
              </a:r>
              <a:r>
                <a:rPr lang="en-US" sz="1100" b="1" i="0" baseline="0">
                  <a:latin typeface="Cambria Math" panose="02040503050406030204" pitchFamily="18" charset="0"/>
                </a:rPr>
                <a:t>(𝑬)</a:t>
              </a:r>
              <a:r>
                <a:rPr lang="en-GB" sz="1100" b="1"/>
                <a:t> </a:t>
              </a:r>
              <a:r>
                <a:rPr lang="en-GB" sz="1100"/>
                <a:t>and parameters </a:t>
              </a:r>
              <a:r>
                <a:rPr lang="en-GB" sz="1100" b="1" i="0">
                  <a:latin typeface="Cambria Math" panose="02040503050406030204" pitchFamily="18" charset="0"/>
                  <a:ea typeface="Cambria Math" panose="02040503050406030204" pitchFamily="18" charset="0"/>
                </a:rPr>
                <a:t>𝜶</a:t>
              </a:r>
              <a:r>
                <a:rPr lang="en-GB" sz="1100"/>
                <a:t> and </a:t>
              </a:r>
              <a:r>
                <a:rPr lang="en-GB" sz="1100" b="1" i="0">
                  <a:latin typeface="Cambria Math" panose="02040503050406030204" pitchFamily="18" charset="0"/>
                  <a:ea typeface="Cambria Math" panose="02040503050406030204" pitchFamily="18" charset="0"/>
                </a:rPr>
                <a:t>𝜷</a:t>
              </a:r>
              <a:r>
                <a:rPr lang="en-GB" sz="1100"/>
                <a:t> are determined using a least-squares fit</a:t>
              </a:r>
            </a:p>
            <a:p>
              <a:r>
                <a:rPr lang="en-GB" sz="1100"/>
                <a:t>- the estimated 𝑴(𝑬) can directly be used as </a:t>
              </a:r>
              <a:r>
                <a:rPr lang="en-US" sz="1100" b="0" i="0">
                  <a:latin typeface="Cambria Math" panose="02040503050406030204" pitchFamily="18" charset="0"/>
                </a:rPr>
                <a:t>𝑚</a:t>
              </a:r>
              <a:r>
                <a:rPr lang="en-GB" sz="1100" b="0" i="0">
                  <a:latin typeface="Cambria Math" panose="02040503050406030204" pitchFamily="18" charset="0"/>
                </a:rPr>
                <a:t>_</a:t>
              </a:r>
              <a:r>
                <a:rPr lang="en-US" sz="1100" b="0" i="0">
                  <a:latin typeface="Cambria Math" panose="02040503050406030204" pitchFamily="18" charset="0"/>
                </a:rPr>
                <a:t>𝑏𝑝𝑟𝑒𝑑</a:t>
              </a:r>
              <a:endParaRPr lang="en-GB" sz="1100"/>
            </a:p>
          </xdr:txBody>
        </xdr:sp>
      </mc:Fallback>
    </mc:AlternateContent>
    <xdr:clientData/>
  </xdr:oneCellAnchor>
  <xdr:oneCellAnchor>
    <xdr:from>
      <xdr:col>3</xdr:col>
      <xdr:colOff>1740476</xdr:colOff>
      <xdr:row>72</xdr:row>
      <xdr:rowOff>63269</xdr:rowOff>
    </xdr:from>
    <xdr:ext cx="2266326" cy="410753"/>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39736B2-9DCB-49CC-8DAF-36030F059C61}"/>
                </a:ext>
              </a:extLst>
            </xdr:cNvPr>
            <xdr:cNvSpPr txBox="1"/>
          </xdr:nvSpPr>
          <xdr:spPr>
            <a:xfrm>
              <a:off x="5211040" y="19140978"/>
              <a:ext cx="2266326" cy="41075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𝐸</m:t>
                    </m:r>
                    <m:r>
                      <a:rPr lang="en-US" sz="1100" b="0" i="1">
                        <a:latin typeface="Cambria Math" panose="02040503050406030204" pitchFamily="18" charset="0"/>
                      </a:rPr>
                      <m:t> = </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1</m:t>
                        </m:r>
                      </m:num>
                      <m:den>
                        <m:r>
                          <a:rPr lang="en-US" sz="1100" b="0" i="1">
                            <a:latin typeface="Cambria Math" panose="02040503050406030204" pitchFamily="18" charset="0"/>
                            <a:ea typeface="Cambria Math" panose="02040503050406030204" pitchFamily="18" charset="0"/>
                          </a:rPr>
                          <m:t>𝑁</m:t>
                        </m:r>
                      </m:den>
                    </m:f>
                    <m:r>
                      <a:rPr lang="en-US" sz="1100" b="0" i="1">
                        <a:latin typeface="Cambria Math" panose="02040503050406030204" pitchFamily="18" charset="0"/>
                        <a:ea typeface="Cambria Math" panose="02040503050406030204" pitchFamily="18" charset="0"/>
                      </a:rPr>
                      <m:t> </m:t>
                    </m:r>
                    <m:nary>
                      <m:naryPr>
                        <m:chr m:val="∑"/>
                        <m:supHide m:val="on"/>
                        <m:ctrlPr>
                          <a:rPr lang="en-US" sz="1100" b="0" i="1">
                            <a:latin typeface="Cambria Math" panose="02040503050406030204" pitchFamily="18" charset="0"/>
                            <a:ea typeface="Cambria Math" panose="02040503050406030204" pitchFamily="18" charset="0"/>
                          </a:rPr>
                        </m:ctrlPr>
                      </m:naryPr>
                      <m:sub>
                        <m:r>
                          <m:rPr>
                            <m:brk m:alnAt="7"/>
                          </m:rPr>
                          <a:rPr lang="en-US" sz="1100" b="0" i="1">
                            <a:latin typeface="Cambria Math" panose="02040503050406030204" pitchFamily="18" charset="0"/>
                            <a:ea typeface="Cambria Math" panose="02040503050406030204" pitchFamily="18" charset="0"/>
                          </a:rPr>
                          <m:t>𝑖</m:t>
                        </m:r>
                      </m:sub>
                      <m:sup/>
                      <m:e>
                        <m:nary>
                          <m:naryPr>
                            <m:chr m:val="∑"/>
                            <m:supHide m:val="on"/>
                            <m:ctrlPr>
                              <a:rPr lang="en-US" sz="1100" b="0" i="1">
                                <a:latin typeface="Cambria Math" panose="02040503050406030204" pitchFamily="18" charset="0"/>
                                <a:ea typeface="Cambria Math" panose="02040503050406030204" pitchFamily="18" charset="0"/>
                              </a:rPr>
                            </m:ctrlPr>
                          </m:naryPr>
                          <m:sub>
                            <m:r>
                              <m:rPr>
                                <m:brk m:alnAt="7"/>
                              </m:rPr>
                              <a:rPr lang="en-US" sz="1100" b="0" i="1">
                                <a:latin typeface="Cambria Math" panose="02040503050406030204" pitchFamily="18" charset="0"/>
                                <a:ea typeface="Cambria Math" panose="02040503050406030204" pitchFamily="18" charset="0"/>
                              </a:rPr>
                              <m:t>𝐻</m:t>
                            </m:r>
                          </m:sub>
                          <m:sup/>
                          <m:e>
                            <m:r>
                              <a:rPr lang="en-US" sz="1100" b="0" i="1">
                                <a:latin typeface="Cambria Math" panose="02040503050406030204" pitchFamily="18" charset="0"/>
                                <a:ea typeface="Cambria Math" panose="02040503050406030204" pitchFamily="18" charset="0"/>
                              </a:rPr>
                              <m:t>𝑛</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𝑖</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𝐻</m:t>
                                </m:r>
                              </m:e>
                            </m:d>
                            <m:r>
                              <a:rPr lang="en-US" sz="1100" b="0" i="1">
                                <a:latin typeface="Cambria Math" panose="02040503050406030204" pitchFamily="18" charset="0"/>
                                <a:ea typeface="Cambria Math" panose="02040503050406030204" pitchFamily="18" charset="0"/>
                              </a:rPr>
                              <m:t> ×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𝐸</m:t>
                                </m:r>
                              </m:e>
                              <m:sub>
                                <m:r>
                                  <a:rPr lang="en-US" sz="1100" b="0" i="1">
                                    <a:latin typeface="Cambria Math" panose="02040503050406030204" pitchFamily="18" charset="0"/>
                                    <a:ea typeface="Cambria Math" panose="02040503050406030204" pitchFamily="18" charset="0"/>
                                  </a:rPr>
                                  <m:t>𝐿</m:t>
                                </m:r>
                              </m:sub>
                            </m:sSub>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𝑝</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𝑖</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𝐻</m:t>
                                    </m:r>
                                  </m:e>
                                </m:d>
                              </m:e>
                            </m:d>
                          </m:e>
                        </m:nary>
                      </m:e>
                    </m:nary>
                  </m:oMath>
                </m:oMathPara>
              </a14:m>
              <a:endParaRPr lang="en-GB" sz="1100"/>
            </a:p>
          </xdr:txBody>
        </xdr:sp>
      </mc:Choice>
      <mc:Fallback xmlns="">
        <xdr:sp macro="" textlink="">
          <xdr:nvSpPr>
            <xdr:cNvPr id="6" name="TextBox 5">
              <a:extLst>
                <a:ext uri="{FF2B5EF4-FFF2-40B4-BE49-F238E27FC236}">
                  <a16:creationId xmlns:a16="http://schemas.microsoft.com/office/drawing/2014/main" id="{539736B2-9DCB-49CC-8DAF-36030F059C61}"/>
                </a:ext>
              </a:extLst>
            </xdr:cNvPr>
            <xdr:cNvSpPr txBox="1"/>
          </xdr:nvSpPr>
          <xdr:spPr>
            <a:xfrm>
              <a:off x="5211040" y="19140978"/>
              <a:ext cx="2266326" cy="41075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𝐸 </a:t>
              </a:r>
              <a:r>
                <a:rPr lang="en-US" sz="1100" b="0" i="0">
                  <a:latin typeface="Cambria Math" panose="02040503050406030204" pitchFamily="18" charset="0"/>
                  <a:ea typeface="Cambria Math" panose="02040503050406030204" pitchFamily="18" charset="0"/>
                </a:rPr>
                <a:t>=  1/𝑁  ∑8_𝑖▒∑8_𝐻▒〖𝑛(𝑖,𝐻)  × 𝐸_𝐿 (𝑝(𝑖, 𝐻)) 〗</a:t>
              </a:r>
              <a:endParaRPr lang="en-GB"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13</xdr:col>
      <xdr:colOff>276225</xdr:colOff>
      <xdr:row>3</xdr:row>
      <xdr:rowOff>9525</xdr:rowOff>
    </xdr:from>
    <xdr:ext cx="5906113" cy="3403601"/>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0888325" y="11430000"/>
          <a:ext cx="5906113" cy="3403601"/>
        </a:xfrm>
        <a:prstGeom prst="rect">
          <a:avLst/>
        </a:prstGeom>
      </xdr:spPr>
    </xdr:pic>
    <xdr:clientData/>
  </xdr:oneCellAnchor>
  <xdr:oneCellAnchor>
    <xdr:from>
      <xdr:col>13</xdr:col>
      <xdr:colOff>323850</xdr:colOff>
      <xdr:row>21</xdr:row>
      <xdr:rowOff>57150</xdr:rowOff>
    </xdr:from>
    <xdr:ext cx="5812701" cy="3920650"/>
    <xdr:pic>
      <xdr:nvPicPr>
        <xdr:cNvPr id="3" name="Picture 2">
          <a:extLst>
            <a:ext uri="{FF2B5EF4-FFF2-40B4-BE49-F238E27FC236}">
              <a16:creationId xmlns:a16="http://schemas.microsoft.com/office/drawing/2014/main" id="{00000000-0008-0000-0700-000003000000}"/>
            </a:ext>
            <a:ext uri="{147F2762-F138-4A5C-976F-8EAC2B608ADB}">
              <a16:predDERef xmlns:a16="http://schemas.microsoft.com/office/drawing/2014/main" pred="{E4C84CF9-A084-48A2-9844-D5D3D6C2B12D}"/>
            </a:ext>
          </a:extLst>
        </xdr:cNvPr>
        <xdr:cNvPicPr>
          <a:picLocks noChangeAspect="1"/>
        </xdr:cNvPicPr>
      </xdr:nvPicPr>
      <xdr:blipFill>
        <a:blip xmlns:r="http://schemas.openxmlformats.org/officeDocument/2006/relationships" r:embed="rId2"/>
        <a:stretch>
          <a:fillRect/>
        </a:stretch>
      </xdr:blipFill>
      <xdr:spPr>
        <a:xfrm>
          <a:off x="20935950" y="14906625"/>
          <a:ext cx="5812701" cy="392065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Peter Debacker (imec)" id="{B9ADEDA0-0D9E-4BB5-8F1D-32D0C908C3A3}" userId="S::pdback@imec.be::3d231820-7d43-4d0b-bc9a-25746991914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D5C952-4940-4D1D-9B91-B0832995EE05}" name="Network" displayName="Network" ref="E4:P50" totalsRowCount="1" totalsRowCellStyle="Output">
  <autoFilter ref="E4:P49" xr:uid="{D5D5C952-4940-4D1D-9B91-B0832995EE05}"/>
  <tableColumns count="12">
    <tableColumn id="1" xr3:uid="{2D6F7763-75B3-41C0-BCAF-FA00C50C66D2}" name="Network" totalsRowLabel="GPT-custom"/>
    <tableColumn id="2" xr3:uid="{B2A1981F-480D-478F-9C85-A0AEB7950999}" name="Tokens" totalsRowLabel="28782" totalsRowDxfId="10"/>
    <tableColumn id="3" xr3:uid="{C48FD54A-7FB4-43C4-82D4-EE9FF0219690}" name="Dimensionality" totalsRowLabel="512" totalsRowDxfId="9" dataCellStyle="Input"/>
    <tableColumn id="4" xr3:uid="{03E7B7C6-40F7-462E-805D-62401F833675}" name="Context" totalsRowLabel="512" totalsRowDxfId="8"/>
    <tableColumn id="5" xr3:uid="{742B306A-4007-43EB-8B6C-614DE67A8896}" name="Layers" totalsRowLabel="8" totalsRowDxfId="7"/>
    <tableColumn id="6" xr3:uid="{87671CEB-BE1E-4EFB-97DD-0020DD51994F}" name="Attention Heads" totalsRowLabel="8" totalsRowDxfId="6"/>
    <tableColumn id="7" xr3:uid="{718567E4-DE17-46B5-A9EF-0A3F12CD929E}" name="query/key length" totalsRowFunction="custom" totalsRowDxfId="5">
      <totalsRowFormula>G50/J50</totalsRowFormula>
    </tableColumn>
    <tableColumn id="8" xr3:uid="{FE4875CA-28A5-48E4-8621-EC93F9D35996}" name="value length" totalsRowFunction="custom" totalsRowDxfId="4">
      <totalsRowFormula>G50/J50</totalsRowFormula>
    </tableColumn>
    <tableColumn id="9" xr3:uid="{C5314484-7358-4C9A-B05F-1EA0F44CA17D}" name="hidden layer size" totalsRowLabel="512" totalsRowDxfId="3">
      <calculatedColumnFormula>G5*4</calculatedColumnFormula>
    </tableColumn>
    <tableColumn id="10" xr3:uid="{239698A1-0040-4C33-8C4C-0A4B3BF86DAF}" name="Tokens to train" totalsRowLabel="40.00E+9" dataDxfId="72" totalsRowDxfId="2">
      <calculatedColumnFormula>300000000000000</calculatedColumnFormula>
    </tableColumn>
    <tableColumn id="11" xr3:uid="{A2F98F52-DA6A-44EE-806F-5DC880858E36}" name="Experts" totalsRowLabel="1" dataDxfId="71" totalsRowDxfId="1" dataCellStyle="Input"/>
    <tableColumn id="12" xr3:uid="{28B9BFBA-9432-4009-A3DB-E7BF4C9DE04B}" name="Compute cost FP16" totalsRowDxfId="0"/>
  </tableColumns>
  <tableStyleInfo name="TableStyleLight8"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9A7BBA-69CC-4C96-BBDD-5D3FF60AE712}" name="Accelerator" displayName="Accelerator" ref="A4:P11" totalsRowShown="0" headerRowDxfId="78" tableBorderDxfId="77">
  <autoFilter ref="A4:P11" xr:uid="{AE9A7BBA-69CC-4C96-BBDD-5D3FF60AE712}"/>
  <tableColumns count="16">
    <tableColumn id="1" xr3:uid="{F5EA22AE-EE9B-4362-ACE1-4F5DBD423080}" name="Accelerator"/>
    <tableColumn id="2" xr3:uid="{67B11D24-BF74-4E00-8190-2836C29DB5F2}" name="frequency (cycles/s) [f]"/>
    <tableColumn id="3" xr3:uid="{873610CD-BCC0-4230-8868-CBCEE934ADF2}" name="number of cores [N_cores]"/>
    <tableColumn id="4" xr3:uid="{7CAE5694-4861-4616-B4F4-F9C923E4AA94}" name="number of functional units per core [N_FU]"/>
    <tableColumn id="5" xr3:uid="{56D0807E-4A90-40E5-948C-79BEA8771569}" name="functional unit hardware 8-bit MAC/cycle [W_FU]"/>
    <tableColumn id="6" xr3:uid="{F3352B1D-F660-4CB3-ADFA-E54F0764D020}" name="number of non-linear functional units per core"/>
    <tableColumn id="7" xr3:uid="{E1AFEC33-1813-4EDD-B8D3-F1EC9350E21D}" name="non linear functional unit hardware 8-bit NLIN/cycle"/>
    <tableColumn id="8" xr3:uid="{DD0DEF94-C573-47EA-BD4B-D002EA792972}" name="inter accelerator latency (intra node) (s)" dataCellStyle="Input"/>
    <tableColumn id="9" xr3:uid="{65E843DB-3346-47B3-851F-099719C84B73}" name="intra accelerator BW (Gb/s)" dataCellStyle="Input"/>
    <tableColumn id="13" xr3:uid="{412D1D9F-FB90-4BEE-9899-337613870D4F}" name="TDP (W)" dataDxfId="76" dataCellStyle="Input"/>
    <tableColumn id="15" xr3:uid="{005C207F-8295-4C27-ABB7-1529D6A74F3D}" name="Die size (mm2)" dataDxfId="75" dataCellStyle="Input"/>
    <tableColumn id="16" xr3:uid="{1B34B832-54BF-4131-AB18-DE9BC744DEFE}" name="Node" dataDxfId="74" dataCellStyle="Input"/>
    <tableColumn id="14" xr3:uid="{64DDA4ED-670E-47C7-8683-01166E285968}" name="voltage" dataDxfId="73" dataCellStyle="Input"/>
    <tableColumn id="10" xr3:uid="{5412519F-F27A-43FB-BADA-ABD45A01A4EE}" name="Local Memory"/>
    <tableColumn id="11" xr3:uid="{69225864-B9AD-4548-B1D5-69FF7BB10EFC}" name="Node Level Memory"/>
    <tableColumn id="12" xr3:uid="{9B8DCBE2-5A0C-4180-934A-A29C163D7C86}" name="Cluster Level Memory"/>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3" dT="2022-01-14T09:31:23.91" personId="{B9ADEDA0-0D9E-4BB5-8F1D-32D0C908C3A3}" id="{7CF20D25-D227-49E7-8BAF-EE2F609DDBF9}">
    <text>Table in paper says 128 but is likley wrong -&gt; gives &gt;&gt; 1.3B weights (which is also reported in the paper)</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mec.atlassian.net/jira/software/c/projects/AM/boards/222?quickFilter=822" TargetMode="External"/></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github.com/NVIDIA/Megatron-LM" TargetMode="External"/><Relationship Id="rId7" Type="http://schemas.openxmlformats.org/officeDocument/2006/relationships/printerSettings" Target="../printerSettings/printerSettings2.bin"/><Relationship Id="rId2" Type="http://schemas.openxmlformats.org/officeDocument/2006/relationships/hyperlink" Target="https://openai.com/blog/better-language-models/" TargetMode="External"/><Relationship Id="rId1" Type="http://schemas.openxmlformats.org/officeDocument/2006/relationships/hyperlink" Target="https://arxiv.org/abs/2005.14165" TargetMode="External"/><Relationship Id="rId6" Type="http://schemas.openxmlformats.org/officeDocument/2006/relationships/hyperlink" Target="https://openai.com/blog/better-language-models/" TargetMode="External"/><Relationship Id="rId11" Type="http://schemas.microsoft.com/office/2017/10/relationships/threadedComment" Target="../threadedComments/threadedComment1.xml"/><Relationship Id="rId5" Type="http://schemas.openxmlformats.org/officeDocument/2006/relationships/hyperlink" Target="https://openai.com/blog/better-language-models/" TargetMode="External"/><Relationship Id="rId10" Type="http://schemas.openxmlformats.org/officeDocument/2006/relationships/comments" Target="../comments1.xml"/><Relationship Id="rId4" Type="http://schemas.openxmlformats.org/officeDocument/2006/relationships/hyperlink" Target="https://arxiv.org/abs/2005.14165" TargetMode="Externa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B0EE-43E1-49CE-8364-F88BF45CF179}">
  <sheetPr codeName="Sheet1"/>
  <dimension ref="A1:BA33"/>
  <sheetViews>
    <sheetView tabSelected="1" topLeftCell="B1" zoomScale="85" zoomScaleNormal="85" workbookViewId="0">
      <selection activeCell="P14" sqref="P14"/>
    </sheetView>
  </sheetViews>
  <sheetFormatPr defaultRowHeight="15" x14ac:dyDescent="0.25"/>
  <cols>
    <col min="1" max="1" width="56.42578125" bestFit="1" customWidth="1"/>
    <col min="2" max="40" width="20.7109375" customWidth="1"/>
    <col min="41" max="41" width="10" bestFit="1" customWidth="1"/>
    <col min="42" max="42" width="13.140625" customWidth="1"/>
    <col min="43" max="43" width="15.140625" customWidth="1"/>
    <col min="44" max="44" width="16.28515625" customWidth="1"/>
    <col min="45" max="45" width="17.85546875" customWidth="1"/>
    <col min="46" max="46" width="19.5703125" customWidth="1"/>
    <col min="47" max="47" width="16.7109375" customWidth="1"/>
    <col min="48" max="48" width="25" customWidth="1"/>
    <col min="49" max="49" width="17.28515625" customWidth="1"/>
    <col min="50" max="50" width="22.85546875" customWidth="1"/>
    <col min="51" max="51" width="27" customWidth="1"/>
    <col min="52" max="52" width="27.7109375" customWidth="1"/>
    <col min="53" max="53" width="14.28515625" customWidth="1"/>
  </cols>
  <sheetData>
    <row r="1" spans="1:53" s="18" customFormat="1" ht="24" thickBot="1" x14ac:dyDescent="0.4">
      <c r="A1" s="147"/>
      <c r="B1" s="148" t="s">
        <v>0</v>
      </c>
      <c r="C1" s="149" t="s">
        <v>1</v>
      </c>
      <c r="D1" s="116" t="s">
        <v>2</v>
      </c>
    </row>
    <row r="2" spans="1:53" s="18" customFormat="1" ht="23.25" x14ac:dyDescent="0.35">
      <c r="A2" s="150" t="s">
        <v>3</v>
      </c>
      <c r="B2" s="72" t="s">
        <v>4</v>
      </c>
      <c r="C2"/>
    </row>
    <row r="3" spans="1:53" s="82" customFormat="1" ht="16.5" thickBot="1" x14ac:dyDescent="0.3">
      <c r="A3" s="151" t="s">
        <v>5</v>
      </c>
      <c r="B3" s="152"/>
      <c r="C3"/>
    </row>
    <row r="4" spans="1:53" s="108" customFormat="1" ht="53.25" customHeight="1" thickTop="1" thickBot="1" x14ac:dyDescent="0.3">
      <c r="A4" s="107" t="s">
        <v>6</v>
      </c>
      <c r="B4" s="122" t="s">
        <v>7</v>
      </c>
      <c r="C4" s="131" t="s">
        <v>1062</v>
      </c>
      <c r="D4" s="123"/>
    </row>
    <row r="5" spans="1:53" s="19" customFormat="1" ht="71.25" customHeight="1" thickTop="1" x14ac:dyDescent="0.25">
      <c r="A5" s="24" t="s">
        <v>9</v>
      </c>
      <c r="B5" s="29" t="s">
        <v>10</v>
      </c>
      <c r="C5" s="29" t="s">
        <v>11</v>
      </c>
      <c r="D5" s="29" t="s">
        <v>12</v>
      </c>
      <c r="E5" s="28" t="s">
        <v>13</v>
      </c>
      <c r="F5" s="121" t="s">
        <v>14</v>
      </c>
      <c r="G5" s="121" t="s">
        <v>15</v>
      </c>
      <c r="H5" s="28" t="s">
        <v>16</v>
      </c>
      <c r="I5" s="28" t="s">
        <v>17</v>
      </c>
      <c r="J5" s="28" t="s">
        <v>18</v>
      </c>
      <c r="K5" s="28" t="s">
        <v>19</v>
      </c>
      <c r="L5" s="28" t="s">
        <v>20</v>
      </c>
      <c r="M5" s="29" t="s">
        <v>21</v>
      </c>
      <c r="N5" s="29" t="s">
        <v>22</v>
      </c>
      <c r="O5" s="29" t="s">
        <v>23</v>
      </c>
      <c r="P5" s="29" t="s">
        <v>24</v>
      </c>
      <c r="Q5" s="29" t="s">
        <v>25</v>
      </c>
      <c r="R5" s="29" t="s">
        <v>26</v>
      </c>
      <c r="S5" s="29" t="s">
        <v>27</v>
      </c>
      <c r="T5" s="29" t="s">
        <v>28</v>
      </c>
      <c r="U5" s="29" t="s">
        <v>29</v>
      </c>
      <c r="V5" s="29" t="s">
        <v>30</v>
      </c>
      <c r="W5" s="29" t="s">
        <v>31</v>
      </c>
      <c r="X5" s="29" t="s">
        <v>32</v>
      </c>
      <c r="Y5" s="29" t="s">
        <v>33</v>
      </c>
      <c r="Z5" s="29" t="s">
        <v>34</v>
      </c>
      <c r="AA5" s="29" t="s">
        <v>35</v>
      </c>
      <c r="AB5" s="29" t="s">
        <v>36</v>
      </c>
      <c r="AC5" s="28" t="s">
        <v>37</v>
      </c>
      <c r="AD5" s="28" t="s">
        <v>38</v>
      </c>
      <c r="AE5" s="28" t="s">
        <v>39</v>
      </c>
      <c r="AF5" s="28" t="s">
        <v>40</v>
      </c>
      <c r="AG5" s="28" t="s">
        <v>41</v>
      </c>
      <c r="AH5" s="28" t="s">
        <v>42</v>
      </c>
      <c r="AI5" s="28" t="s">
        <v>43</v>
      </c>
      <c r="AJ5" s="28" t="s">
        <v>44</v>
      </c>
      <c r="AK5" s="28" t="s">
        <v>45</v>
      </c>
      <c r="AL5" s="28" t="s">
        <v>46</v>
      </c>
      <c r="AM5" s="28" t="s">
        <v>47</v>
      </c>
      <c r="AN5" s="28" t="s">
        <v>48</v>
      </c>
      <c r="AO5" s="28" t="s">
        <v>49</v>
      </c>
      <c r="AP5" s="28" t="s">
        <v>50</v>
      </c>
      <c r="AQ5" s="28" t="s">
        <v>51</v>
      </c>
      <c r="AR5" s="28" t="s">
        <v>52</v>
      </c>
      <c r="AS5" s="28" t="s">
        <v>53</v>
      </c>
      <c r="AT5" s="29" t="s">
        <v>54</v>
      </c>
      <c r="AU5" s="28" t="s">
        <v>994</v>
      </c>
      <c r="AV5" s="28" t="s">
        <v>55</v>
      </c>
      <c r="AW5" s="28" t="s">
        <v>992</v>
      </c>
      <c r="AX5" s="28" t="s">
        <v>993</v>
      </c>
      <c r="AY5" s="28" t="s">
        <v>1003</v>
      </c>
      <c r="AZ5" s="28" t="s">
        <v>1002</v>
      </c>
      <c r="BA5" s="28" t="s">
        <v>1004</v>
      </c>
    </row>
    <row r="6" spans="1:53" s="18" customFormat="1" ht="17.25" x14ac:dyDescent="0.35">
      <c r="A6" s="18" t="s">
        <v>56</v>
      </c>
      <c r="B6" s="16" t="s">
        <v>1</v>
      </c>
      <c r="C6" s="16" t="s">
        <v>1</v>
      </c>
      <c r="D6" s="16" t="s">
        <v>1</v>
      </c>
      <c r="E6" s="16" t="s">
        <v>1</v>
      </c>
      <c r="F6" s="16" t="s">
        <v>2</v>
      </c>
      <c r="G6" s="16" t="s">
        <v>2</v>
      </c>
      <c r="H6" s="16" t="s">
        <v>2</v>
      </c>
      <c r="I6" s="16" t="s">
        <v>2</v>
      </c>
      <c r="J6" s="16" t="s">
        <v>2</v>
      </c>
      <c r="K6" s="16" t="s">
        <v>2</v>
      </c>
      <c r="L6" s="16" t="s">
        <v>2</v>
      </c>
      <c r="M6" s="16" t="s">
        <v>2</v>
      </c>
      <c r="N6" s="16" t="s">
        <v>2</v>
      </c>
      <c r="O6" s="16" t="s">
        <v>2</v>
      </c>
      <c r="P6" s="16" t="s">
        <v>2</v>
      </c>
      <c r="Q6" s="16" t="s">
        <v>2</v>
      </c>
      <c r="R6" s="16" t="s">
        <v>2</v>
      </c>
      <c r="S6" s="16" t="s">
        <v>2</v>
      </c>
      <c r="T6" s="16" t="s">
        <v>2</v>
      </c>
      <c r="U6" s="16" t="s">
        <v>2</v>
      </c>
      <c r="V6" s="16" t="s">
        <v>2</v>
      </c>
      <c r="W6" s="16" t="s">
        <v>2</v>
      </c>
      <c r="X6" s="16" t="s">
        <v>2</v>
      </c>
      <c r="Y6" s="16" t="s">
        <v>2</v>
      </c>
      <c r="Z6" s="16" t="s">
        <v>2</v>
      </c>
      <c r="AA6" s="16" t="s">
        <v>2</v>
      </c>
      <c r="AB6" s="16" t="s">
        <v>2</v>
      </c>
      <c r="AC6" s="16" t="s">
        <v>2</v>
      </c>
      <c r="AD6" s="16" t="s">
        <v>2</v>
      </c>
      <c r="AE6" s="16" t="s">
        <v>2</v>
      </c>
      <c r="AF6" s="16" t="s">
        <v>2</v>
      </c>
      <c r="AG6" s="16" t="s">
        <v>2</v>
      </c>
      <c r="AH6" s="16" t="s">
        <v>2</v>
      </c>
      <c r="AI6" s="16" t="s">
        <v>2</v>
      </c>
      <c r="AJ6" s="16" t="s">
        <v>2</v>
      </c>
      <c r="AK6" s="16" t="s">
        <v>2</v>
      </c>
      <c r="AL6" s="16" t="s">
        <v>2</v>
      </c>
      <c r="AM6" s="16" t="s">
        <v>2</v>
      </c>
      <c r="AN6" s="16" t="s">
        <v>1</v>
      </c>
      <c r="AO6" s="16" t="s">
        <v>2</v>
      </c>
      <c r="AP6" s="16" t="s">
        <v>2</v>
      </c>
      <c r="AQ6" s="16" t="s">
        <v>2</v>
      </c>
      <c r="AR6" s="16" t="s">
        <v>2</v>
      </c>
      <c r="AS6" s="16" t="s">
        <v>2</v>
      </c>
      <c r="AT6" s="16" t="s">
        <v>2</v>
      </c>
      <c r="AU6" s="16" t="s">
        <v>2</v>
      </c>
      <c r="AV6" s="16" t="s">
        <v>2</v>
      </c>
      <c r="AW6" s="16" t="s">
        <v>2</v>
      </c>
      <c r="AX6" s="16" t="s">
        <v>2</v>
      </c>
      <c r="AY6" s="16" t="s">
        <v>2</v>
      </c>
      <c r="AZ6" s="16" t="s">
        <v>2</v>
      </c>
      <c r="BA6" s="16" t="s">
        <v>1</v>
      </c>
    </row>
    <row r="7" spans="1:53" s="17" customFormat="1" ht="17.25" x14ac:dyDescent="0.35">
      <c r="A7" t="s">
        <v>57</v>
      </c>
      <c r="B7" s="73">
        <f t="shared" ref="B7:AM7" si="0">IF(B6=$C$1,B8,B9)</f>
        <v>16</v>
      </c>
      <c r="C7" s="73">
        <f t="shared" si="0"/>
        <v>16</v>
      </c>
      <c r="D7" s="73">
        <f t="shared" si="0"/>
        <v>32</v>
      </c>
      <c r="E7" s="73">
        <f t="shared" si="0"/>
        <v>5120</v>
      </c>
      <c r="F7" s="73">
        <f t="shared" si="0"/>
        <v>5120</v>
      </c>
      <c r="G7" s="73">
        <f t="shared" si="0"/>
        <v>5120</v>
      </c>
      <c r="H7" s="73">
        <f t="shared" si="0"/>
        <v>8192</v>
      </c>
      <c r="I7" s="73">
        <f t="shared" si="0"/>
        <v>77.333333333333329</v>
      </c>
      <c r="J7" s="73">
        <f t="shared" si="0"/>
        <v>37120</v>
      </c>
      <c r="K7" s="73">
        <f t="shared" si="0"/>
        <v>148480</v>
      </c>
      <c r="L7" s="73">
        <f t="shared" si="0"/>
        <v>3243595093.333333</v>
      </c>
      <c r="M7" s="73">
        <f t="shared" si="0"/>
        <v>7152557.373046875</v>
      </c>
      <c r="N7" s="73">
        <f t="shared" si="0"/>
        <v>480</v>
      </c>
      <c r="O7" s="73">
        <f t="shared" si="0"/>
        <v>300000000000000</v>
      </c>
      <c r="P7" s="73">
        <f t="shared" si="0"/>
        <v>36621093750</v>
      </c>
      <c r="Q7" s="73" t="str">
        <f t="shared" si="0"/>
        <v>480</v>
      </c>
      <c r="R7" s="73">
        <f t="shared" si="0"/>
        <v>37120</v>
      </c>
      <c r="S7" s="73">
        <f t="shared" si="0"/>
        <v>120402249864533.33</v>
      </c>
      <c r="T7" s="73">
        <f t="shared" si="0"/>
        <v>120402249864533.33</v>
      </c>
      <c r="U7" s="73">
        <f t="shared" si="0"/>
        <v>120402249864533.33</v>
      </c>
      <c r="V7" s="17">
        <f t="shared" si="0"/>
        <v>53143062009173.328</v>
      </c>
      <c r="W7" s="73">
        <f t="shared" si="0"/>
        <v>1.988879095693312E+17</v>
      </c>
      <c r="X7" s="73">
        <f t="shared" si="0"/>
        <v>5.7793079934976E+16</v>
      </c>
      <c r="Y7" s="73">
        <f t="shared" si="0"/>
        <v>2.566809895043072E+17</v>
      </c>
      <c r="Z7" s="73">
        <f t="shared" si="0"/>
        <v>4.62344639479808E+17</v>
      </c>
      <c r="AA7" s="73">
        <f t="shared" si="0"/>
        <v>1556925644799.9998</v>
      </c>
      <c r="AB7" s="73">
        <f t="shared" si="0"/>
        <v>1900544000</v>
      </c>
      <c r="AC7" s="73">
        <f t="shared" si="0"/>
        <v>3243595093.333333</v>
      </c>
      <c r="AD7" s="73">
        <f t="shared" si="0"/>
        <v>37120</v>
      </c>
      <c r="AE7" s="73">
        <f t="shared" si="0"/>
        <v>37120</v>
      </c>
      <c r="AF7" s="73">
        <f t="shared" si="0"/>
        <v>37120</v>
      </c>
      <c r="AG7" s="73">
        <f t="shared" si="0"/>
        <v>37120</v>
      </c>
      <c r="AH7" s="73">
        <f t="shared" si="0"/>
        <v>37120</v>
      </c>
      <c r="AI7" s="73">
        <f t="shared" si="0"/>
        <v>37120</v>
      </c>
      <c r="AJ7" s="73">
        <f t="shared" si="0"/>
        <v>37120</v>
      </c>
      <c r="AK7" s="73">
        <f t="shared" si="0"/>
        <v>37120</v>
      </c>
      <c r="AL7" s="73">
        <f t="shared" si="0"/>
        <v>16538840746.666666</v>
      </c>
      <c r="AM7" s="73">
        <f t="shared" si="0"/>
        <v>7938643558400</v>
      </c>
      <c r="AN7" s="73">
        <f t="shared" ref="AN7" si="1">IF(AN6=$C$1,AN8,AN9)</f>
        <v>32</v>
      </c>
      <c r="AO7" s="73">
        <f t="shared" ref="AO7:BA7" si="2">IF(AO6=$C$1,AO8,AO9)</f>
        <v>240</v>
      </c>
      <c r="AP7" s="73">
        <f t="shared" si="2"/>
        <v>0</v>
      </c>
      <c r="AQ7" s="73">
        <f t="shared" si="2"/>
        <v>1</v>
      </c>
      <c r="AR7" s="73">
        <f t="shared" si="2"/>
        <v>0</v>
      </c>
      <c r="AS7" s="73">
        <f t="shared" si="2"/>
        <v>0</v>
      </c>
      <c r="AT7" s="73">
        <f t="shared" si="2"/>
        <v>0</v>
      </c>
      <c r="AU7" s="73">
        <f t="shared" si="2"/>
        <v>7938643558400</v>
      </c>
      <c r="AV7" s="73">
        <f t="shared" si="2"/>
        <v>77.333333333333329</v>
      </c>
      <c r="AW7" s="73">
        <f t="shared" si="2"/>
        <v>51200</v>
      </c>
      <c r="AX7" s="73">
        <f t="shared" si="2"/>
        <v>1900544000</v>
      </c>
      <c r="AY7" s="73">
        <f t="shared" si="2"/>
        <v>7942444646400</v>
      </c>
      <c r="AZ7" s="73">
        <f t="shared" si="2"/>
        <v>9730785280000</v>
      </c>
      <c r="BA7" s="73">
        <f t="shared" si="2"/>
        <v>1</v>
      </c>
    </row>
    <row r="8" spans="1:53" s="18" customFormat="1" ht="17.25" x14ac:dyDescent="0.35">
      <c r="A8" s="18" t="s">
        <v>58</v>
      </c>
      <c r="B8" s="35">
        <v>16</v>
      </c>
      <c r="C8" s="35">
        <v>16</v>
      </c>
      <c r="D8" s="35">
        <v>32</v>
      </c>
      <c r="E8" s="16">
        <v>5120</v>
      </c>
      <c r="F8" s="35"/>
      <c r="G8" s="35"/>
      <c r="H8" s="35">
        <v>5</v>
      </c>
      <c r="I8" s="35">
        <v>64</v>
      </c>
      <c r="J8" s="35">
        <v>512</v>
      </c>
      <c r="K8" s="35">
        <v>64</v>
      </c>
      <c r="L8" s="35"/>
      <c r="M8" s="35">
        <v>12288</v>
      </c>
      <c r="N8" s="16">
        <v>16</v>
      </c>
      <c r="O8" s="16">
        <v>2049990</v>
      </c>
      <c r="P8" s="16">
        <v>2049990</v>
      </c>
      <c r="Q8" s="16">
        <v>8</v>
      </c>
      <c r="R8" s="16">
        <v>1024</v>
      </c>
      <c r="S8" s="35"/>
      <c r="T8" s="35"/>
      <c r="U8" s="35"/>
      <c r="V8" s="16"/>
      <c r="W8" s="35"/>
      <c r="X8" s="35"/>
      <c r="Y8" s="35"/>
      <c r="Z8" s="35"/>
      <c r="AA8" s="35"/>
      <c r="AB8" s="35"/>
      <c r="AC8" s="35"/>
      <c r="AD8" s="35"/>
      <c r="AE8" s="3"/>
      <c r="AF8" s="3"/>
      <c r="AG8" s="3"/>
      <c r="AH8" s="3"/>
      <c r="AI8" s="3"/>
      <c r="AJ8" s="3"/>
      <c r="AK8" s="3"/>
      <c r="AL8" s="3"/>
      <c r="AM8" s="3"/>
      <c r="AN8" s="3">
        <v>32</v>
      </c>
      <c r="AO8" s="3">
        <v>0</v>
      </c>
      <c r="AP8" s="3"/>
      <c r="AQ8" s="3">
        <v>96</v>
      </c>
      <c r="AR8" s="3"/>
      <c r="AS8" s="3"/>
      <c r="AT8" s="3"/>
      <c r="AU8" s="3"/>
      <c r="AV8" s="3">
        <v>64</v>
      </c>
      <c r="AW8" s="3">
        <v>28782</v>
      </c>
      <c r="AX8" s="3">
        <v>50257</v>
      </c>
      <c r="AY8" s="3">
        <v>50257</v>
      </c>
      <c r="AZ8" s="3">
        <v>50257</v>
      </c>
      <c r="BA8" s="3">
        <v>1</v>
      </c>
    </row>
    <row r="9" spans="1:53" s="18" customFormat="1" ht="17.25" x14ac:dyDescent="0.35">
      <c r="A9" s="18" t="s">
        <v>59</v>
      </c>
      <c r="B9" s="38" t="s">
        <v>60</v>
      </c>
      <c r="C9" s="38" t="s">
        <v>60</v>
      </c>
      <c r="D9" s="38" t="s">
        <v>60</v>
      </c>
      <c r="E9" s="38">
        <v>5120</v>
      </c>
      <c r="F9" s="38">
        <f>E7/J14</f>
        <v>5120</v>
      </c>
      <c r="G9" s="38">
        <f>F7/B14</f>
        <v>5120</v>
      </c>
      <c r="H9" s="38">
        <f>VLOOKUP($C$4,Network[#All],4,FALSE)</f>
        <v>8192</v>
      </c>
      <c r="I9" s="38">
        <f>VLOOKUP($C$4,Network[#All],7,FALSE)</f>
        <v>77.333333333333329</v>
      </c>
      <c r="J9" s="38">
        <f>R7</f>
        <v>37120</v>
      </c>
      <c r="K9" s="38">
        <f>VLOOKUP($C$4,Network[#All],9,FALSE)</f>
        <v>148480</v>
      </c>
      <c r="L9" s="38">
        <f>E7*H7*I7</f>
        <v>3243595093.333333</v>
      </c>
      <c r="M9" s="38">
        <f>P7/E7</f>
        <v>7152557.373046875</v>
      </c>
      <c r="N9" s="38">
        <f>VLOOKUP($C$4,Network[#All],5,FALSE)</f>
        <v>480</v>
      </c>
      <c r="O9" s="38">
        <f>VLOOKUP($C$4,Network[#All],10,FALSE)</f>
        <v>300000000000000</v>
      </c>
      <c r="P9" s="38">
        <f>O7/H7</f>
        <v>36621093750</v>
      </c>
      <c r="Q9" s="38" t="str">
        <f>VLOOKUP($C$4,Network[#All],6,FALSE)</f>
        <v>480</v>
      </c>
      <c r="R9" s="38">
        <f>VLOOKUP($C$4,Network[#All],3,FALSE)</f>
        <v>37120</v>
      </c>
      <c r="S9" s="38">
        <f>E7*R7*I7*H7</f>
        <v>120402249864533.33</v>
      </c>
      <c r="T9" s="38">
        <f>E7*R7*I7*H7</f>
        <v>120402249864533.33</v>
      </c>
      <c r="U9" s="38">
        <f>E7*R7*I7*H7</f>
        <v>120402249864533.33</v>
      </c>
      <c r="V9" s="5">
        <f>2*E7*H7*H7*I7</f>
        <v>53143062009173.328</v>
      </c>
      <c r="W9" s="38">
        <f>(S9+T9+U9+V9)*Q7</f>
        <v>1.988879095693312E+17</v>
      </c>
      <c r="X9" s="5">
        <f>E7*H7*R7*R7</f>
        <v>5.7793079934976E+16</v>
      </c>
      <c r="Y9" s="5">
        <f>W9+X9</f>
        <v>2.566809895043072E+17</v>
      </c>
      <c r="Z9" s="5">
        <f>E7*H7*J7*K7*2</f>
        <v>4.62344639479808E+17</v>
      </c>
      <c r="AA9" s="5">
        <f>E7*H7*I7*Q7</f>
        <v>1556925644799.9998</v>
      </c>
      <c r="AB9" s="5">
        <f>2*E7*(J7+K7)</f>
        <v>1900544000</v>
      </c>
      <c r="AC9" s="5">
        <f>E7*H7*I7</f>
        <v>3243595093.333333</v>
      </c>
      <c r="AD9" s="5">
        <f>R7</f>
        <v>37120</v>
      </c>
      <c r="AE9" s="5">
        <f>R7</f>
        <v>37120</v>
      </c>
      <c r="AF9" s="5">
        <f>R7</f>
        <v>37120</v>
      </c>
      <c r="AG9" s="5">
        <f>R7</f>
        <v>37120</v>
      </c>
      <c r="AH9" s="38">
        <f>R7</f>
        <v>37120</v>
      </c>
      <c r="AI9" s="5">
        <f>R7</f>
        <v>37120</v>
      </c>
      <c r="AJ9" s="5">
        <f>R7</f>
        <v>37120</v>
      </c>
      <c r="AK9" s="5">
        <f>R7</f>
        <v>37120</v>
      </c>
      <c r="AL9" s="5">
        <f>(AD7*AV7*Q7 + AE7*AV7*Q7 + AF7*AV7*Q7+AG7*AV7*Q7+AH7+AI7+AJ7+AK7+2*K7*J7)+AX7/N7</f>
        <v>16538840746.666666</v>
      </c>
      <c r="AM9" s="5">
        <f>AL7*N7</f>
        <v>7938643558400</v>
      </c>
      <c r="AN9" s="6" t="s">
        <v>60</v>
      </c>
      <c r="AO9" s="5">
        <f>N7/2</f>
        <v>240</v>
      </c>
      <c r="AP9" s="39">
        <f>INT(AQ7&gt;1)</f>
        <v>0</v>
      </c>
      <c r="AQ9" s="39">
        <f>VLOOKUP($C$4,Network[#All],11,FALSE)</f>
        <v>1</v>
      </c>
      <c r="AR9" s="39">
        <f>AP7*R7*AQ7*AO7</f>
        <v>0</v>
      </c>
      <c r="AS9" s="39">
        <f>(AQ7-1)*AO7*2*(J7*K7)</f>
        <v>0</v>
      </c>
      <c r="AT9" s="39">
        <f>H7*(R7-1)*E7*AP7*AQ7*AO7</f>
        <v>0</v>
      </c>
      <c r="AU9" s="39">
        <f>(AL7*N7)+AR7+AS7</f>
        <v>7938643558400</v>
      </c>
      <c r="AV9" s="39">
        <f>VLOOKUP($C$4,Network[#All],7,FALSE)</f>
        <v>77.333333333333329</v>
      </c>
      <c r="AW9" s="5">
        <f>VLOOKUP($C$4,Network[#All],2,FALSE)</f>
        <v>51200</v>
      </c>
      <c r="AX9" s="5">
        <f>AW7*R7</f>
        <v>1900544000</v>
      </c>
      <c r="AY9" s="5">
        <f>2*AX9+AU9</f>
        <v>7942444646400</v>
      </c>
      <c r="AZ9" s="5">
        <f>E7*AW7*R7*BA7</f>
        <v>9730785280000</v>
      </c>
      <c r="BA9" s="5">
        <f>F7*AX7*S7</f>
        <v>1.1716084406606829E+27</v>
      </c>
    </row>
    <row r="10" spans="1:53" x14ac:dyDescent="0.25">
      <c r="A10" t="s">
        <v>61</v>
      </c>
      <c r="N10" t="s">
        <v>62</v>
      </c>
      <c r="O10" s="141" t="s">
        <v>63</v>
      </c>
    </row>
    <row r="11" spans="1:53" s="108" customFormat="1" ht="53.25" customHeight="1" x14ac:dyDescent="0.25">
      <c r="A11" s="107" t="s">
        <v>64</v>
      </c>
    </row>
    <row r="12" spans="1:53" s="19" customFormat="1" ht="72.75" customHeight="1" x14ac:dyDescent="0.25">
      <c r="A12" s="24" t="s">
        <v>9</v>
      </c>
      <c r="B12" s="29" t="s">
        <v>65</v>
      </c>
      <c r="C12" s="28" t="s">
        <v>66</v>
      </c>
      <c r="D12" s="28" t="s">
        <v>67</v>
      </c>
      <c r="E12" s="28" t="s">
        <v>68</v>
      </c>
      <c r="F12" s="28" t="s">
        <v>69</v>
      </c>
      <c r="G12" s="28" t="s">
        <v>70</v>
      </c>
      <c r="H12" s="28" t="s">
        <v>71</v>
      </c>
      <c r="I12" s="28" t="s">
        <v>72</v>
      </c>
      <c r="J12" s="28" t="s">
        <v>73</v>
      </c>
      <c r="K12" s="28" t="s">
        <v>74</v>
      </c>
      <c r="L12" s="28" t="s">
        <v>75</v>
      </c>
      <c r="M12" s="28" t="s">
        <v>76</v>
      </c>
      <c r="N12" s="28" t="s">
        <v>77</v>
      </c>
      <c r="O12" s="95" t="s">
        <v>1010</v>
      </c>
      <c r="P12" s="95" t="s">
        <v>1009</v>
      </c>
      <c r="Q12" s="95" t="s">
        <v>1011</v>
      </c>
      <c r="R12" s="95" t="s">
        <v>1012</v>
      </c>
      <c r="S12" s="19" t="s">
        <v>1050</v>
      </c>
      <c r="T12" s="19" t="s">
        <v>1046</v>
      </c>
      <c r="U12" s="19" t="s">
        <v>1047</v>
      </c>
      <c r="V12" s="19" t="s">
        <v>1048</v>
      </c>
      <c r="W12" s="19" t="s">
        <v>1049</v>
      </c>
    </row>
    <row r="13" spans="1:53" s="18" customFormat="1" ht="17.25" x14ac:dyDescent="0.35">
      <c r="A13" s="18" t="s">
        <v>56</v>
      </c>
      <c r="B13" s="16" t="s">
        <v>2</v>
      </c>
      <c r="C13" s="16" t="s">
        <v>1</v>
      </c>
      <c r="D13" s="16" t="s">
        <v>1</v>
      </c>
      <c r="E13" s="16" t="s">
        <v>1</v>
      </c>
      <c r="F13" s="16" t="s">
        <v>2</v>
      </c>
      <c r="G13" s="16" t="s">
        <v>1</v>
      </c>
      <c r="H13" s="16" t="s">
        <v>1</v>
      </c>
      <c r="I13" s="16" t="s">
        <v>1</v>
      </c>
      <c r="J13" s="16" t="s">
        <v>2</v>
      </c>
      <c r="K13" s="16" t="s">
        <v>2</v>
      </c>
      <c r="L13" s="16" t="s">
        <v>2</v>
      </c>
      <c r="M13" s="16" t="s">
        <v>2</v>
      </c>
      <c r="N13" s="16" t="s">
        <v>2</v>
      </c>
      <c r="O13" s="16" t="s">
        <v>2</v>
      </c>
      <c r="P13" s="16" t="s">
        <v>2</v>
      </c>
      <c r="Q13" s="16" t="s">
        <v>2</v>
      </c>
      <c r="R13" s="16" t="s">
        <v>2</v>
      </c>
      <c r="S13" s="16" t="s">
        <v>2</v>
      </c>
      <c r="T13" s="16" t="s">
        <v>2</v>
      </c>
      <c r="U13" s="16" t="s">
        <v>2</v>
      </c>
      <c r="V13" s="16" t="s">
        <v>2</v>
      </c>
      <c r="W13" s="16" t="s">
        <v>2</v>
      </c>
    </row>
    <row r="14" spans="1:53" s="17" customFormat="1" ht="17.25" x14ac:dyDescent="0.35">
      <c r="A14" t="s">
        <v>57</v>
      </c>
      <c r="B14" s="73">
        <f t="shared" ref="B14:R14" si="3">IF(B13=$C$1,B15,B16)</f>
        <v>1</v>
      </c>
      <c r="C14" s="73">
        <f t="shared" si="3"/>
        <v>1</v>
      </c>
      <c r="D14" s="73">
        <f t="shared" si="3"/>
        <v>1</v>
      </c>
      <c r="E14" s="73">
        <f t="shared" si="3"/>
        <v>1</v>
      </c>
      <c r="F14" s="73">
        <f t="shared" si="3"/>
        <v>1</v>
      </c>
      <c r="G14" s="73">
        <f t="shared" si="3"/>
        <v>1</v>
      </c>
      <c r="H14" s="73">
        <f t="shared" si="3"/>
        <v>1</v>
      </c>
      <c r="I14" s="73">
        <f t="shared" si="3"/>
        <v>1</v>
      </c>
      <c r="J14" s="73">
        <f t="shared" si="3"/>
        <v>1</v>
      </c>
      <c r="K14" s="73">
        <f t="shared" si="3"/>
        <v>1</v>
      </c>
      <c r="L14" s="73">
        <f t="shared" si="3"/>
        <v>1</v>
      </c>
      <c r="M14" s="73">
        <f t="shared" si="3"/>
        <v>1</v>
      </c>
      <c r="N14" s="73">
        <f>IF(N13=$C$1,N15,N16)</f>
        <v>1</v>
      </c>
      <c r="O14" s="73">
        <f t="shared" si="3"/>
        <v>142895.58405120001</v>
      </c>
      <c r="P14" s="73">
        <f t="shared" si="3"/>
        <v>1502700.8438271997</v>
      </c>
      <c r="Q14" s="73">
        <f t="shared" si="3"/>
        <v>1645596.4278783996</v>
      </c>
      <c r="R14" s="73">
        <f t="shared" si="3"/>
        <v>1534455.4180607996</v>
      </c>
      <c r="S14" s="197">
        <f t="shared" ref="S14" si="4">IF(S13=$C$1,S15,S16)</f>
        <v>1645596.4278783998</v>
      </c>
      <c r="T14" s="197">
        <f t="shared" ref="T14:U14" si="5">IF(T13=$C$1,T15,T16)</f>
        <v>142895.58405120001</v>
      </c>
      <c r="U14" s="197">
        <f t="shared" si="5"/>
        <v>142895.58405120001</v>
      </c>
      <c r="V14" s="73">
        <f t="shared" ref="V14:W14" si="6">IF(V13=$C$1,V15,V16)</f>
        <v>1787</v>
      </c>
      <c r="W14" s="73">
        <f t="shared" si="6"/>
        <v>20570</v>
      </c>
    </row>
    <row r="15" spans="1:53" s="18" customFormat="1" ht="17.25" x14ac:dyDescent="0.35">
      <c r="A15" s="18" t="s">
        <v>58</v>
      </c>
      <c r="B15" s="35">
        <v>1</v>
      </c>
      <c r="C15" s="35">
        <v>1</v>
      </c>
      <c r="D15" s="35">
        <v>1</v>
      </c>
      <c r="E15" s="35">
        <v>1</v>
      </c>
      <c r="F15" s="35"/>
      <c r="G15" s="35">
        <v>1</v>
      </c>
      <c r="H15" s="35">
        <v>1</v>
      </c>
      <c r="I15" s="35">
        <v>1</v>
      </c>
      <c r="J15" s="35"/>
      <c r="K15" s="35"/>
      <c r="L15" s="35"/>
      <c r="M15" s="35"/>
      <c r="N15" s="35"/>
      <c r="O15" s="16"/>
      <c r="P15" s="35"/>
      <c r="Q15" s="35"/>
      <c r="R15" s="35"/>
      <c r="S15" s="35"/>
      <c r="T15" s="35"/>
      <c r="U15" s="35"/>
      <c r="V15" s="35"/>
      <c r="W15" s="35"/>
    </row>
    <row r="16" spans="1:53" s="18" customFormat="1" ht="17.25" x14ac:dyDescent="0.35">
      <c r="A16" s="18" t="s">
        <v>59</v>
      </c>
      <c r="B16" s="5">
        <f>L14</f>
        <v>1</v>
      </c>
      <c r="C16" s="38"/>
      <c r="D16" s="38"/>
      <c r="E16" s="38"/>
      <c r="F16" s="5">
        <f>C14*D14*E14</f>
        <v>1</v>
      </c>
      <c r="G16" s="38"/>
      <c r="H16" s="38"/>
      <c r="I16" s="38"/>
      <c r="J16" s="38">
        <f>C14*G14</f>
        <v>1</v>
      </c>
      <c r="K16" s="38">
        <f>D14*H14</f>
        <v>1</v>
      </c>
      <c r="L16" s="38">
        <f>E14*I14</f>
        <v>1</v>
      </c>
      <c r="M16" s="38">
        <f>J14*K14*L14</f>
        <v>1</v>
      </c>
      <c r="N16" s="38">
        <f>M14/F14</f>
        <v>1</v>
      </c>
      <c r="O16" s="5">
        <f>(B7 + D7 + 3*AN7)*AU7/(8*J14*K14*L14)/1000000000</f>
        <v>142895.58405120001</v>
      </c>
      <c r="P16" s="5">
        <f>(C7*N7)*((AA7+AB7+2*AC7)/B14/J14)/(8*J14*K14*L14)/1000000000</f>
        <v>1502700.8438271997</v>
      </c>
      <c r="Q16" s="5">
        <f>P16+O16</f>
        <v>1645596.4278783996</v>
      </c>
      <c r="R16" s="5">
        <f>(B7 + D7/2)*AU7/(8*J14*K14*L14)/1000000000+P14</f>
        <v>1534455.4180607996</v>
      </c>
      <c r="S16" s="196">
        <f>(((B7 + D7 + 3*AN7)*AU7)+((C7*N7)*((AA7+AB7+2*AC7))))/(8*1000000000)</f>
        <v>1645596.4278783998</v>
      </c>
      <c r="T16" s="196">
        <f>(B7 + D7 + 3*AN7)*AU7/(8)/1000000000</f>
        <v>142895.58405120001</v>
      </c>
      <c r="U16" s="196">
        <f>T16/M16</f>
        <v>142895.58405120001</v>
      </c>
      <c r="V16" s="196">
        <f>_xlfn.CEILING.MATH((T16/(N28/1000000000)))</f>
        <v>1787</v>
      </c>
      <c r="W16" s="196">
        <f>_xlfn.CEILING.MATH((S16/(N28/1000000000)))</f>
        <v>20570</v>
      </c>
    </row>
    <row r="17" spans="1:16" s="89" customFormat="1" ht="17.25" x14ac:dyDescent="0.35">
      <c r="A17" s="89" t="s">
        <v>61</v>
      </c>
      <c r="B17" s="90" t="s">
        <v>1</v>
      </c>
      <c r="K17" s="89" t="s">
        <v>78</v>
      </c>
      <c r="O17" s="124" t="s">
        <v>979</v>
      </c>
      <c r="P17" s="124"/>
    </row>
    <row r="18" spans="1:16" s="108" customFormat="1" ht="53.25" customHeight="1" x14ac:dyDescent="0.25">
      <c r="A18" s="107" t="s">
        <v>79</v>
      </c>
    </row>
    <row r="19" spans="1:16" s="19" customFormat="1" ht="70.5" customHeight="1" x14ac:dyDescent="0.25">
      <c r="A19" s="24" t="s">
        <v>9</v>
      </c>
      <c r="B19" s="29" t="s">
        <v>80</v>
      </c>
      <c r="C19" s="29" t="s">
        <v>81</v>
      </c>
      <c r="D19" s="29" t="s">
        <v>82</v>
      </c>
      <c r="E19" s="29" t="s">
        <v>83</v>
      </c>
      <c r="F19" s="29" t="s">
        <v>84</v>
      </c>
      <c r="G19" s="29" t="s">
        <v>85</v>
      </c>
      <c r="H19" s="29" t="s">
        <v>86</v>
      </c>
      <c r="I19" s="29" t="s">
        <v>87</v>
      </c>
      <c r="J19" s="29" t="s">
        <v>88</v>
      </c>
      <c r="K19" s="29" t="s">
        <v>89</v>
      </c>
      <c r="L19" s="29"/>
    </row>
    <row r="20" spans="1:16" s="18" customFormat="1" ht="17.25" x14ac:dyDescent="0.35">
      <c r="A20" s="18" t="s">
        <v>56</v>
      </c>
      <c r="B20" s="16" t="s">
        <v>1</v>
      </c>
      <c r="C20" s="16" t="s">
        <v>1</v>
      </c>
      <c r="D20" s="16" t="s">
        <v>2</v>
      </c>
      <c r="E20" s="16" t="s">
        <v>2</v>
      </c>
      <c r="F20" s="16" t="s">
        <v>1</v>
      </c>
      <c r="G20" s="16" t="s">
        <v>1</v>
      </c>
      <c r="H20" s="16" t="s">
        <v>2</v>
      </c>
      <c r="I20" s="16" t="s">
        <v>1</v>
      </c>
      <c r="J20" s="16" t="s">
        <v>1</v>
      </c>
      <c r="K20" s="16" t="s">
        <v>2</v>
      </c>
      <c r="L20" s="16"/>
    </row>
    <row r="21" spans="1:16" s="17" customFormat="1" ht="17.25" x14ac:dyDescent="0.35">
      <c r="A21" t="s">
        <v>57</v>
      </c>
      <c r="B21" s="73">
        <f t="shared" ref="B21:K21" si="7">IF(B20=$C$1,B22,B23)</f>
        <v>9.9999999999999995E-8</v>
      </c>
      <c r="C21" s="73">
        <f t="shared" si="7"/>
        <v>1</v>
      </c>
      <c r="D21" s="73">
        <f t="shared" si="7"/>
        <v>40000000000000</v>
      </c>
      <c r="E21" s="73">
        <f t="shared" si="7"/>
        <v>40000000000000</v>
      </c>
      <c r="F21" s="73">
        <f t="shared" si="7"/>
        <v>0</v>
      </c>
      <c r="G21" s="73">
        <f t="shared" si="7"/>
        <v>8</v>
      </c>
      <c r="H21" s="73">
        <f t="shared" si="7"/>
        <v>1600000000000000</v>
      </c>
      <c r="I21" s="73">
        <f t="shared" si="7"/>
        <v>0</v>
      </c>
      <c r="J21" s="73">
        <f t="shared" si="7"/>
        <v>1</v>
      </c>
      <c r="K21" s="73">
        <f t="shared" si="7"/>
        <v>8</v>
      </c>
      <c r="L21" s="73"/>
    </row>
    <row r="22" spans="1:16" s="18" customFormat="1" ht="17.25" x14ac:dyDescent="0.35">
      <c r="A22" s="18" t="s">
        <v>58</v>
      </c>
      <c r="B22" s="16">
        <v>9.9999999999999995E-8</v>
      </c>
      <c r="C22" s="16">
        <f>F14</f>
        <v>1</v>
      </c>
      <c r="D22" s="16">
        <v>204800000000000</v>
      </c>
      <c r="E22" s="35"/>
      <c r="F22" s="16"/>
      <c r="G22" s="35">
        <v>8</v>
      </c>
      <c r="H22" s="35"/>
      <c r="I22" s="16"/>
      <c r="J22" s="35">
        <v>1</v>
      </c>
      <c r="K22" s="35"/>
      <c r="L22" s="16"/>
    </row>
    <row r="23" spans="1:16" s="18" customFormat="1" ht="18" thickBot="1" x14ac:dyDescent="0.4">
      <c r="A23" s="18" t="s">
        <v>59</v>
      </c>
      <c r="B23" s="87"/>
      <c r="C23" s="87"/>
      <c r="D23" s="195">
        <f>VLOOKUP($D$24,'Communication specs'!A2:B45,2,FALSE)</f>
        <v>40000000000000</v>
      </c>
      <c r="E23" s="87">
        <f>C21*D21</f>
        <v>40000000000000</v>
      </c>
      <c r="F23" s="88"/>
      <c r="G23" s="87"/>
      <c r="H23" s="87">
        <f>M28*G21</f>
        <v>1600000000000000</v>
      </c>
      <c r="I23" s="88"/>
      <c r="J23" s="87"/>
      <c r="K23" s="87">
        <f>J21*G21</f>
        <v>8</v>
      </c>
      <c r="L23" s="87"/>
    </row>
    <row r="24" spans="1:16" s="89" customFormat="1" ht="18" thickBot="1" x14ac:dyDescent="0.3">
      <c r="A24" s="89" t="s">
        <v>61</v>
      </c>
      <c r="B24" s="89" t="s">
        <v>90</v>
      </c>
      <c r="C24" s="120"/>
      <c r="D24" s="130" t="s">
        <v>1041</v>
      </c>
      <c r="F24" s="89" t="s">
        <v>91</v>
      </c>
      <c r="I24" s="89" t="s">
        <v>91</v>
      </c>
      <c r="J24" s="89" t="s">
        <v>91</v>
      </c>
      <c r="K24" s="89" t="s">
        <v>91</v>
      </c>
      <c r="L24" s="90" t="s">
        <v>92</v>
      </c>
    </row>
    <row r="25" spans="1:16" s="108" customFormat="1" ht="53.25" customHeight="1" thickBot="1" x14ac:dyDescent="0.3">
      <c r="A25" s="107" t="s">
        <v>93</v>
      </c>
      <c r="B25" s="107" t="s">
        <v>94</v>
      </c>
      <c r="C25" s="130" t="s">
        <v>654</v>
      </c>
    </row>
    <row r="26" spans="1:16" s="19" customFormat="1" ht="96.75" customHeight="1" x14ac:dyDescent="0.25">
      <c r="A26" s="24" t="s">
        <v>9</v>
      </c>
      <c r="B26" s="28" t="s">
        <v>96</v>
      </c>
      <c r="C26" s="121" t="s">
        <v>97</v>
      </c>
      <c r="D26" s="28" t="s">
        <v>98</v>
      </c>
      <c r="E26" s="28" t="s">
        <v>99</v>
      </c>
      <c r="F26" s="28" t="s">
        <v>100</v>
      </c>
      <c r="G26" s="28" t="s">
        <v>101</v>
      </c>
      <c r="H26" s="28" t="s">
        <v>102</v>
      </c>
      <c r="I26" s="28" t="s">
        <v>103</v>
      </c>
      <c r="J26" s="28" t="s">
        <v>104</v>
      </c>
      <c r="K26" s="28" t="s">
        <v>105</v>
      </c>
      <c r="L26" s="28" t="s">
        <v>106</v>
      </c>
      <c r="M26" s="28" t="s">
        <v>107</v>
      </c>
      <c r="N26" s="29" t="s">
        <v>108</v>
      </c>
      <c r="O26" s="29" t="s">
        <v>109</v>
      </c>
      <c r="P26" s="29" t="s">
        <v>110</v>
      </c>
    </row>
    <row r="27" spans="1:16" s="18" customFormat="1" ht="17.25" x14ac:dyDescent="0.35">
      <c r="A27" s="18" t="s">
        <v>56</v>
      </c>
      <c r="B27" s="16" t="s">
        <v>2</v>
      </c>
      <c r="C27" s="16" t="s">
        <v>1</v>
      </c>
      <c r="D27" s="16" t="s">
        <v>2</v>
      </c>
      <c r="E27" s="16" t="s">
        <v>2</v>
      </c>
      <c r="F27" s="16" t="s">
        <v>2</v>
      </c>
      <c r="G27" s="16" t="s">
        <v>1</v>
      </c>
      <c r="H27" s="16" t="s">
        <v>2</v>
      </c>
      <c r="I27" s="16" t="s">
        <v>2</v>
      </c>
      <c r="J27" s="16" t="s">
        <v>2</v>
      </c>
      <c r="K27" s="16" t="s">
        <v>2</v>
      </c>
      <c r="L27" s="16" t="s">
        <v>2</v>
      </c>
      <c r="M27" s="16" t="s">
        <v>1</v>
      </c>
      <c r="N27" s="16" t="s">
        <v>2</v>
      </c>
      <c r="O27" s="16" t="s">
        <v>2</v>
      </c>
      <c r="P27" s="16" t="s">
        <v>2</v>
      </c>
    </row>
    <row r="28" spans="1:16" s="17" customFormat="1" ht="17.25" x14ac:dyDescent="0.35">
      <c r="A28" t="s">
        <v>57</v>
      </c>
      <c r="B28" s="17">
        <f t="shared" ref="B28:M28" si="8">IF(B27=$C$1,B29,B30)</f>
        <v>1800000000</v>
      </c>
      <c r="C28" s="73">
        <f t="shared" si="8"/>
        <v>252</v>
      </c>
      <c r="D28" s="73">
        <f t="shared" si="8"/>
        <v>4</v>
      </c>
      <c r="E28" s="73">
        <f t="shared" si="8"/>
        <v>1024</v>
      </c>
      <c r="F28" s="73">
        <f t="shared" si="8"/>
        <v>1857945600000000</v>
      </c>
      <c r="G28" s="73">
        <f t="shared" si="8"/>
        <v>2</v>
      </c>
      <c r="H28" s="73">
        <f t="shared" si="8"/>
        <v>3715891200000000</v>
      </c>
      <c r="I28" s="73">
        <f t="shared" si="8"/>
        <v>320</v>
      </c>
      <c r="J28" s="73">
        <f t="shared" si="8"/>
        <v>4</v>
      </c>
      <c r="K28" s="73">
        <f t="shared" si="8"/>
        <v>580608000000000</v>
      </c>
      <c r="L28" s="73">
        <f t="shared" si="8"/>
        <v>1E-8</v>
      </c>
      <c r="M28" s="73">
        <f t="shared" si="8"/>
        <v>200000000000000</v>
      </c>
      <c r="N28" s="73">
        <f>IF(N27=$C$1,N29,N30)</f>
        <v>80000000000</v>
      </c>
      <c r="O28" s="73">
        <f>IF(O27=$C$1,O29,O30)</f>
        <v>700</v>
      </c>
      <c r="P28" s="17">
        <f>IF(P27=$C$1,P29,P30)</f>
        <v>1800000000</v>
      </c>
    </row>
    <row r="29" spans="1:16" s="18" customFormat="1" ht="17.25" x14ac:dyDescent="0.35">
      <c r="A29" s="18" t="s">
        <v>58</v>
      </c>
      <c r="B29" s="16">
        <v>1410000000</v>
      </c>
      <c r="C29" s="35">
        <v>252</v>
      </c>
      <c r="D29" s="35">
        <v>4</v>
      </c>
      <c r="E29" s="35">
        <v>512</v>
      </c>
      <c r="F29" s="35"/>
      <c r="G29" s="35">
        <v>2</v>
      </c>
      <c r="H29" s="35"/>
      <c r="I29" s="35">
        <f>48*4</f>
        <v>192</v>
      </c>
      <c r="J29" s="35">
        <v>4</v>
      </c>
      <c r="K29" s="35"/>
      <c r="L29" s="16">
        <v>1E-8</v>
      </c>
      <c r="M29" s="16">
        <f>M33</f>
        <v>200000000000000</v>
      </c>
      <c r="N29" s="16">
        <v>80000000000</v>
      </c>
      <c r="O29" s="16">
        <v>400</v>
      </c>
      <c r="P29" s="16"/>
    </row>
    <row r="30" spans="1:16" s="18" customFormat="1" ht="18" thickBot="1" x14ac:dyDescent="0.4">
      <c r="A30" s="18" t="s">
        <v>59</v>
      </c>
      <c r="B30" s="38">
        <f>VLOOKUP($C$25,Accelerator[#All],2,FALSE)</f>
        <v>1800000000</v>
      </c>
      <c r="C30" s="38">
        <f>VLOOKUP($C$25,Accelerator[#All],3,FALSE)</f>
        <v>132</v>
      </c>
      <c r="D30" s="38">
        <f>VLOOKUP($C$25,Accelerator[#All],4,FALSE)</f>
        <v>4</v>
      </c>
      <c r="E30" s="38">
        <f>VLOOKUP($C$25,Accelerator[#All],5,FALSE)</f>
        <v>1024</v>
      </c>
      <c r="F30" s="5">
        <f>B28*C28*D28*E28</f>
        <v>1857945600000000</v>
      </c>
      <c r="G30" s="5"/>
      <c r="H30" s="5">
        <f>F28*G28</f>
        <v>3715891200000000</v>
      </c>
      <c r="I30" s="5">
        <f>VLOOKUP($C$25,Accelerator[#All],6,FALSE)</f>
        <v>320</v>
      </c>
      <c r="J30" s="5">
        <f>VLOOKUP($C$25,Accelerator[#All],7,FALSE)</f>
        <v>4</v>
      </c>
      <c r="K30" s="5">
        <f>B28*C28*I28*J28</f>
        <v>580608000000000</v>
      </c>
      <c r="L30" s="87">
        <f>VLOOKUP($C$25,Accelerator[#All],8,FALSE)</f>
        <v>1E-8</v>
      </c>
      <c r="M30" s="87">
        <f>VLOOKUP($C$25,Accelerator[#All],9,FALSE)</f>
        <v>3600000000000</v>
      </c>
      <c r="N30" s="158">
        <f>VLOOKUP($C$25,Accelerator[#All],14,FALSE)</f>
        <v>80000000000</v>
      </c>
      <c r="O30" s="158">
        <f>VLOOKUP($C$25,Accelerator[#All],10,FALSE)</f>
        <v>700</v>
      </c>
      <c r="P30" s="88">
        <f>VLOOKUP($C$25,Accelerator[#All],2,FALSE)</f>
        <v>1800000000</v>
      </c>
    </row>
    <row r="31" spans="1:16" s="20" customFormat="1" ht="18" thickBot="1" x14ac:dyDescent="0.3">
      <c r="G31" s="20" t="s">
        <v>111</v>
      </c>
      <c r="L31" s="89"/>
      <c r="M31" s="130" t="s">
        <v>1030</v>
      </c>
    </row>
    <row r="32" spans="1:16" s="18" customFormat="1" ht="24.75" x14ac:dyDescent="0.25">
      <c r="A32" s="107" t="s">
        <v>112</v>
      </c>
    </row>
    <row r="33" spans="13:13" x14ac:dyDescent="0.25">
      <c r="M33">
        <f>VLOOKUP($M$31,'Communication specs'!A2:B45,2,FALSE)</f>
        <v>200000000000000</v>
      </c>
    </row>
  </sheetData>
  <conditionalFormatting sqref="A6:XFD6 A13:XFD13 A20:XFD20">
    <cfRule type="containsText" dxfId="70" priority="9" operator="containsText" text="calculated">
      <formula>NOT(ISERROR(SEARCH("calculated",A6)))</formula>
    </cfRule>
  </conditionalFormatting>
  <conditionalFormatting sqref="A27:XFD27">
    <cfRule type="containsText" dxfId="69" priority="6" operator="containsText" text="calculated">
      <formula>NOT(ISERROR(SEARCH("calculated",A27)))</formula>
    </cfRule>
  </conditionalFormatting>
  <conditionalFormatting sqref="M14">
    <cfRule type="cellIs" dxfId="68" priority="4" operator="lessThan">
      <formula>1024</formula>
    </cfRule>
    <cfRule type="cellIs" dxfId="67" priority="5" operator="greaterThan">
      <formula>1024</formula>
    </cfRule>
  </conditionalFormatting>
  <conditionalFormatting sqref="N14">
    <cfRule type="cellIs" dxfId="66" priority="2" operator="lessThan">
      <formula>128</formula>
    </cfRule>
    <cfRule type="cellIs" dxfId="65" priority="3" operator="greaterThan">
      <formula>128</formula>
    </cfRule>
  </conditionalFormatting>
  <conditionalFormatting sqref="O14:W14">
    <cfRule type="cellIs" dxfId="64" priority="1" operator="greaterThan">
      <formula>$N$28</formula>
    </cfRule>
  </conditionalFormatting>
  <dataValidations count="1">
    <dataValidation type="list" allowBlank="1" showInputMessage="1" showErrorMessage="1" sqref="B27:P27 B20:L20 B6:BA6 B13:W13" xr:uid="{C62D4F6E-8F32-44F3-B94D-62A038E95AD0}">
      <formula1>$C$1:$D$1</formula1>
    </dataValidation>
  </dataValidations>
  <hyperlinks>
    <hyperlink ref="B2" r:id="rId1" xr:uid="{D134152D-E5BB-4612-9674-02095F5B1112}"/>
  </hyperlinks>
  <pageMargins left="0.7" right="0.7" top="0.75" bottom="0.75" header="0.3" footer="0.3"/>
  <pageSetup orientation="portrait" r:id="rId2"/>
  <headerFooter>
    <oddFooter>&amp;R&amp;1#&amp;"Calibri"&amp;8&amp;K000000strictly confidential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E4780EC5-649C-4069-8852-606299C3F057}">
          <x14:formula1>
            <xm:f>'Accelerator specifications'!$A$5:$A$11</xm:f>
          </x14:formula1>
          <xm:sqref>C25</xm:sqref>
        </x14:dataValidation>
        <x14:dataValidation type="list" allowBlank="1" showInputMessage="1" showErrorMessage="1" xr:uid="{003BC37C-D58B-4A7B-B604-5CDB479DA812}">
          <x14:formula1>
            <xm:f>'Transformer Network Parameters'!$E$5:$E$51</xm:f>
          </x14:formula1>
          <xm:sqref>C4</xm:sqref>
        </x14:dataValidation>
        <x14:dataValidation type="list" allowBlank="1" showInputMessage="1" showErrorMessage="1" xr:uid="{15E5307D-8425-4E63-9CED-8FE71403F70C}">
          <x14:formula1>
            <xm:f>'Communication specs'!$A$2:$A$21</xm:f>
          </x14:formula1>
          <xm:sqref>D24 M31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69C8A-F3C2-41DA-AEB6-DB9D3F59EF8E}">
  <sheetPr codeName="Sheet2"/>
  <dimension ref="A2:R51"/>
  <sheetViews>
    <sheetView topLeftCell="D12" workbookViewId="0">
      <selection activeCell="G27" sqref="G27"/>
    </sheetView>
  </sheetViews>
  <sheetFormatPr defaultRowHeight="15" x14ac:dyDescent="0.25"/>
  <cols>
    <col min="3" max="3" width="47.5703125" bestFit="1" customWidth="1"/>
    <col min="5" max="5" width="31.42578125" bestFit="1" customWidth="1"/>
    <col min="6" max="6" width="9.5703125" bestFit="1" customWidth="1"/>
    <col min="7" max="7" width="16.85546875" bestFit="1" customWidth="1"/>
    <col min="8" max="8" width="10.28515625" bestFit="1" customWidth="1"/>
    <col min="9" max="9" width="11.28515625" bestFit="1" customWidth="1"/>
    <col min="10" max="10" width="17.85546875" bestFit="1" customWidth="1"/>
    <col min="11" max="11" width="18.7109375" bestFit="1" customWidth="1"/>
    <col min="12" max="12" width="14.28515625" bestFit="1" customWidth="1"/>
    <col min="13" max="13" width="18.42578125" bestFit="1" customWidth="1"/>
    <col min="14" max="14" width="19.42578125" customWidth="1"/>
    <col min="15" max="15" width="14.140625" customWidth="1"/>
    <col min="16" max="16" width="11.28515625" bestFit="1" customWidth="1"/>
    <col min="17" max="17" width="22.28515625" bestFit="1" customWidth="1"/>
  </cols>
  <sheetData>
    <row r="2" spans="2:16" x14ac:dyDescent="0.25">
      <c r="F2" s="198" t="s">
        <v>659</v>
      </c>
      <c r="G2" s="198"/>
      <c r="H2" s="198"/>
      <c r="I2" s="198"/>
      <c r="J2" s="198"/>
      <c r="K2" s="198" t="s">
        <v>660</v>
      </c>
      <c r="L2" s="198"/>
      <c r="M2" s="198"/>
    </row>
    <row r="3" spans="2:16" x14ac:dyDescent="0.25">
      <c r="F3" s="71"/>
      <c r="G3" s="71"/>
      <c r="H3" s="71"/>
      <c r="I3" s="71"/>
      <c r="J3" s="71"/>
      <c r="K3" s="71"/>
      <c r="L3" s="71"/>
      <c r="M3" s="71"/>
    </row>
    <row r="4" spans="2:16" ht="15.75" thickBot="1" x14ac:dyDescent="0.3">
      <c r="E4" t="s">
        <v>661</v>
      </c>
      <c r="F4" t="s">
        <v>662</v>
      </c>
      <c r="G4" t="s">
        <v>663</v>
      </c>
      <c r="H4" t="s">
        <v>664</v>
      </c>
      <c r="I4" t="s">
        <v>665</v>
      </c>
      <c r="J4" t="s">
        <v>666</v>
      </c>
      <c r="K4" t="s">
        <v>667</v>
      </c>
      <c r="L4" t="s">
        <v>668</v>
      </c>
      <c r="M4" t="s">
        <v>669</v>
      </c>
      <c r="N4" t="s">
        <v>670</v>
      </c>
      <c r="O4" t="s">
        <v>671</v>
      </c>
      <c r="P4" t="s">
        <v>1033</v>
      </c>
    </row>
    <row r="5" spans="2:16" ht="18" thickTop="1" x14ac:dyDescent="0.35">
      <c r="B5" t="s">
        <v>672</v>
      </c>
      <c r="C5" s="72" t="s">
        <v>673</v>
      </c>
      <c r="E5" s="194" t="s">
        <v>1005</v>
      </c>
      <c r="F5" s="3">
        <v>65</v>
      </c>
      <c r="G5" s="3">
        <v>768</v>
      </c>
      <c r="H5" s="3">
        <v>128</v>
      </c>
      <c r="I5" s="3">
        <v>12</v>
      </c>
      <c r="J5" s="3">
        <v>12</v>
      </c>
      <c r="K5" s="73">
        <f t="shared" ref="K5" si="0">G5/J5</f>
        <v>64</v>
      </c>
      <c r="L5" s="73">
        <f t="shared" ref="L5" si="1">G5/J5</f>
        <v>64</v>
      </c>
      <c r="M5" s="73">
        <f t="shared" ref="M5" si="2">G5*4</f>
        <v>3072</v>
      </c>
      <c r="N5" s="74">
        <v>40000000000</v>
      </c>
      <c r="O5" s="35">
        <v>1</v>
      </c>
    </row>
    <row r="6" spans="2:16" ht="17.25" x14ac:dyDescent="0.35">
      <c r="B6" t="s">
        <v>672</v>
      </c>
      <c r="C6" s="72" t="s">
        <v>673</v>
      </c>
      <c r="E6" t="s">
        <v>674</v>
      </c>
      <c r="F6" s="3">
        <v>50257</v>
      </c>
      <c r="G6" s="3">
        <v>768</v>
      </c>
      <c r="H6" s="3">
        <v>1024</v>
      </c>
      <c r="I6" s="3">
        <v>12</v>
      </c>
      <c r="J6" s="3">
        <v>12</v>
      </c>
      <c r="K6" s="73">
        <f t="shared" ref="K6:K12" si="3">G6/J6</f>
        <v>64</v>
      </c>
      <c r="L6" s="73">
        <f t="shared" ref="L6:L12" si="4">G6/J6</f>
        <v>64</v>
      </c>
      <c r="M6" s="73">
        <f t="shared" ref="M6:M22" si="5">G6*4</f>
        <v>3072</v>
      </c>
      <c r="N6" s="74">
        <v>40000000000</v>
      </c>
      <c r="O6" s="35">
        <v>1</v>
      </c>
    </row>
    <row r="7" spans="2:16" ht="17.25" x14ac:dyDescent="0.35">
      <c r="B7" t="s">
        <v>675</v>
      </c>
      <c r="C7" s="72" t="s">
        <v>676</v>
      </c>
      <c r="E7" t="s">
        <v>677</v>
      </c>
      <c r="F7" s="3">
        <v>50257</v>
      </c>
      <c r="G7" s="3">
        <v>1024</v>
      </c>
      <c r="H7" s="3">
        <v>1024</v>
      </c>
      <c r="I7" s="3">
        <v>24</v>
      </c>
      <c r="J7" s="3">
        <v>16</v>
      </c>
      <c r="K7" s="73">
        <f t="shared" si="3"/>
        <v>64</v>
      </c>
      <c r="L7" s="73">
        <f t="shared" si="4"/>
        <v>64</v>
      </c>
      <c r="M7" s="73">
        <f t="shared" si="5"/>
        <v>4096</v>
      </c>
      <c r="N7" s="74">
        <v>40000000000</v>
      </c>
      <c r="O7" s="35">
        <v>1</v>
      </c>
    </row>
    <row r="8" spans="2:16" ht="17.25" x14ac:dyDescent="0.35">
      <c r="B8" t="s">
        <v>678</v>
      </c>
      <c r="C8" s="72" t="s">
        <v>679</v>
      </c>
      <c r="E8" t="s">
        <v>680</v>
      </c>
      <c r="F8" s="3">
        <v>50257</v>
      </c>
      <c r="G8" s="3">
        <v>1280</v>
      </c>
      <c r="H8" s="3">
        <v>1024</v>
      </c>
      <c r="I8" s="3">
        <v>36</v>
      </c>
      <c r="J8" s="3">
        <v>20</v>
      </c>
      <c r="K8" s="73">
        <f t="shared" si="3"/>
        <v>64</v>
      </c>
      <c r="L8" s="73">
        <f t="shared" si="4"/>
        <v>64</v>
      </c>
      <c r="M8" s="73">
        <f t="shared" si="5"/>
        <v>5120</v>
      </c>
      <c r="N8" s="74">
        <v>40000000000</v>
      </c>
      <c r="O8" s="35">
        <v>1</v>
      </c>
    </row>
    <row r="9" spans="2:16" ht="17.25" x14ac:dyDescent="0.35">
      <c r="C9" s="72"/>
      <c r="E9" t="s">
        <v>681</v>
      </c>
      <c r="F9" s="3">
        <v>50257</v>
      </c>
      <c r="G9" s="3">
        <v>1600</v>
      </c>
      <c r="H9" s="3">
        <v>1024</v>
      </c>
      <c r="I9" s="3">
        <v>48</v>
      </c>
      <c r="J9" s="3">
        <v>25</v>
      </c>
      <c r="K9" s="73">
        <f t="shared" si="3"/>
        <v>64</v>
      </c>
      <c r="L9" s="73">
        <f t="shared" si="4"/>
        <v>64</v>
      </c>
      <c r="M9" s="73">
        <f t="shared" si="5"/>
        <v>6400</v>
      </c>
      <c r="N9" s="74">
        <v>40000000000</v>
      </c>
      <c r="O9" s="35">
        <v>1</v>
      </c>
    </row>
    <row r="10" spans="2:16" ht="17.25" x14ac:dyDescent="0.35">
      <c r="C10" s="72"/>
      <c r="E10" t="s">
        <v>682</v>
      </c>
      <c r="F10" s="3">
        <v>50257</v>
      </c>
      <c r="G10" s="3">
        <v>768</v>
      </c>
      <c r="H10" s="3">
        <v>2048</v>
      </c>
      <c r="I10" s="3">
        <v>12</v>
      </c>
      <c r="J10" s="3">
        <v>12</v>
      </c>
      <c r="K10" s="73">
        <f t="shared" si="3"/>
        <v>64</v>
      </c>
      <c r="L10" s="73">
        <f t="shared" si="4"/>
        <v>64</v>
      </c>
      <c r="M10" s="73">
        <f t="shared" si="5"/>
        <v>3072</v>
      </c>
      <c r="N10" s="74">
        <v>300000000000</v>
      </c>
      <c r="O10" s="35">
        <v>1</v>
      </c>
    </row>
    <row r="11" spans="2:16" ht="17.25" x14ac:dyDescent="0.35">
      <c r="E11" t="s">
        <v>683</v>
      </c>
      <c r="F11" s="3">
        <v>50257</v>
      </c>
      <c r="G11" s="3">
        <v>1024</v>
      </c>
      <c r="H11" s="3">
        <v>2048</v>
      </c>
      <c r="I11" s="3">
        <v>24</v>
      </c>
      <c r="J11" s="3">
        <v>16</v>
      </c>
      <c r="K11" s="73">
        <f t="shared" si="3"/>
        <v>64</v>
      </c>
      <c r="L11" s="73">
        <f t="shared" si="4"/>
        <v>64</v>
      </c>
      <c r="M11" s="73">
        <f t="shared" si="5"/>
        <v>4096</v>
      </c>
      <c r="N11" s="74">
        <v>300000000000</v>
      </c>
      <c r="O11" s="35">
        <v>1</v>
      </c>
    </row>
    <row r="12" spans="2:16" ht="17.25" x14ac:dyDescent="0.35">
      <c r="E12" t="s">
        <v>684</v>
      </c>
      <c r="F12" s="3">
        <v>50257</v>
      </c>
      <c r="G12" s="3">
        <v>1536</v>
      </c>
      <c r="H12" s="3">
        <v>2048</v>
      </c>
      <c r="I12" s="3">
        <v>24</v>
      </c>
      <c r="J12" s="3">
        <v>16</v>
      </c>
      <c r="K12" s="73">
        <f t="shared" si="3"/>
        <v>96</v>
      </c>
      <c r="L12" s="73">
        <f t="shared" si="4"/>
        <v>96</v>
      </c>
      <c r="M12" s="73">
        <f t="shared" si="5"/>
        <v>6144</v>
      </c>
      <c r="N12" s="74">
        <v>300000000000</v>
      </c>
      <c r="O12" s="35">
        <v>1</v>
      </c>
    </row>
    <row r="13" spans="2:16" ht="17.25" x14ac:dyDescent="0.35">
      <c r="C13" s="75"/>
      <c r="E13" t="s">
        <v>685</v>
      </c>
      <c r="F13" s="3">
        <v>50257</v>
      </c>
      <c r="G13" s="3">
        <v>2048</v>
      </c>
      <c r="H13" s="3">
        <v>2048</v>
      </c>
      <c r="I13" s="3">
        <v>24</v>
      </c>
      <c r="J13" s="3">
        <v>24</v>
      </c>
      <c r="K13" s="73">
        <v>80</v>
      </c>
      <c r="L13" s="73">
        <v>80</v>
      </c>
      <c r="M13" s="73">
        <f t="shared" si="5"/>
        <v>8192</v>
      </c>
      <c r="N13" s="74">
        <v>300000000000</v>
      </c>
      <c r="O13" s="35">
        <v>1</v>
      </c>
    </row>
    <row r="14" spans="2:16" ht="17.25" x14ac:dyDescent="0.35">
      <c r="C14" s="76"/>
      <c r="E14" t="s">
        <v>686</v>
      </c>
      <c r="F14" s="3">
        <v>50257</v>
      </c>
      <c r="G14" s="3">
        <v>2560</v>
      </c>
      <c r="H14" s="3">
        <v>2048</v>
      </c>
      <c r="I14" s="3">
        <v>32</v>
      </c>
      <c r="J14" s="3">
        <v>32</v>
      </c>
      <c r="K14" s="73">
        <f t="shared" ref="K14:K26" si="6">G14/J14</f>
        <v>80</v>
      </c>
      <c r="L14" s="73">
        <f t="shared" ref="L14:L26" si="7">G14/J14</f>
        <v>80</v>
      </c>
      <c r="M14" s="73">
        <f t="shared" si="5"/>
        <v>10240</v>
      </c>
      <c r="N14" s="74">
        <v>300000000000</v>
      </c>
      <c r="O14" s="35">
        <v>1</v>
      </c>
    </row>
    <row r="15" spans="2:16" ht="17.25" x14ac:dyDescent="0.35">
      <c r="C15" s="76"/>
      <c r="E15" t="s">
        <v>687</v>
      </c>
      <c r="F15" s="3">
        <v>50257</v>
      </c>
      <c r="G15" s="3">
        <v>4096</v>
      </c>
      <c r="H15" s="3">
        <v>2048</v>
      </c>
      <c r="I15" s="3">
        <v>32</v>
      </c>
      <c r="J15" s="3">
        <v>32</v>
      </c>
      <c r="K15" s="73">
        <f t="shared" si="6"/>
        <v>128</v>
      </c>
      <c r="L15" s="73">
        <f t="shared" si="7"/>
        <v>128</v>
      </c>
      <c r="M15" s="73">
        <f t="shared" si="5"/>
        <v>16384</v>
      </c>
      <c r="N15" s="74">
        <v>300000000000</v>
      </c>
      <c r="O15" s="35">
        <v>1</v>
      </c>
    </row>
    <row r="16" spans="2:16" ht="17.25" x14ac:dyDescent="0.35">
      <c r="E16" t="s">
        <v>688</v>
      </c>
      <c r="F16" s="3">
        <v>50257</v>
      </c>
      <c r="G16" s="3">
        <v>5120</v>
      </c>
      <c r="H16" s="3">
        <v>2048</v>
      </c>
      <c r="I16" s="3">
        <v>40</v>
      </c>
      <c r="J16" s="3">
        <v>40</v>
      </c>
      <c r="K16" s="73">
        <f t="shared" si="6"/>
        <v>128</v>
      </c>
      <c r="L16" s="73">
        <f t="shared" si="7"/>
        <v>128</v>
      </c>
      <c r="M16" s="73">
        <f t="shared" si="5"/>
        <v>20480</v>
      </c>
      <c r="N16" s="74">
        <v>300000000000</v>
      </c>
      <c r="O16" s="35">
        <v>1</v>
      </c>
    </row>
    <row r="17" spans="1:18" ht="17.25" x14ac:dyDescent="0.35">
      <c r="E17" t="s">
        <v>689</v>
      </c>
      <c r="F17" s="3">
        <v>50257</v>
      </c>
      <c r="G17" s="3">
        <v>12288</v>
      </c>
      <c r="H17" s="3">
        <v>2048</v>
      </c>
      <c r="I17" s="3">
        <v>96</v>
      </c>
      <c r="J17" s="3">
        <v>96</v>
      </c>
      <c r="K17" s="73">
        <f t="shared" si="6"/>
        <v>128</v>
      </c>
      <c r="L17" s="73">
        <f t="shared" si="7"/>
        <v>128</v>
      </c>
      <c r="M17" s="73">
        <f t="shared" si="5"/>
        <v>49152</v>
      </c>
      <c r="N17" s="74">
        <v>300000000000</v>
      </c>
      <c r="O17" s="35">
        <v>1</v>
      </c>
      <c r="P17">
        <f>3.14E+23</f>
        <v>3.14E+23</v>
      </c>
      <c r="R17" s="18">
        <v>300000000000</v>
      </c>
    </row>
    <row r="18" spans="1:18" ht="17.25" x14ac:dyDescent="0.35">
      <c r="E18" t="s">
        <v>690</v>
      </c>
      <c r="F18" s="3">
        <v>51200</v>
      </c>
      <c r="G18" s="3">
        <v>12288</v>
      </c>
      <c r="H18" s="3">
        <v>2048</v>
      </c>
      <c r="I18" s="3">
        <v>80</v>
      </c>
      <c r="J18" s="3">
        <v>96</v>
      </c>
      <c r="K18" s="73">
        <f t="shared" si="6"/>
        <v>128</v>
      </c>
      <c r="L18" s="73">
        <f t="shared" si="7"/>
        <v>128</v>
      </c>
      <c r="M18" s="73">
        <f t="shared" si="5"/>
        <v>49152</v>
      </c>
      <c r="N18" s="74">
        <v>300000000000</v>
      </c>
      <c r="O18" s="35">
        <v>1</v>
      </c>
    </row>
    <row r="19" spans="1:18" ht="17.25" x14ac:dyDescent="0.35">
      <c r="E19" t="s">
        <v>691</v>
      </c>
      <c r="F19" s="3">
        <v>51200</v>
      </c>
      <c r="G19" s="3">
        <v>16384</v>
      </c>
      <c r="H19" s="3">
        <v>2048</v>
      </c>
      <c r="I19" s="3">
        <v>96</v>
      </c>
      <c r="J19" s="3">
        <v>128</v>
      </c>
      <c r="K19" s="73">
        <f t="shared" si="6"/>
        <v>128</v>
      </c>
      <c r="L19" s="73">
        <f t="shared" si="7"/>
        <v>128</v>
      </c>
      <c r="M19" s="73">
        <f t="shared" si="5"/>
        <v>65536</v>
      </c>
      <c r="N19" s="74">
        <v>300000000000</v>
      </c>
      <c r="O19" s="35">
        <v>1</v>
      </c>
    </row>
    <row r="20" spans="1:18" ht="17.25" x14ac:dyDescent="0.35">
      <c r="E20" t="s">
        <v>692</v>
      </c>
      <c r="F20" s="3">
        <v>51200</v>
      </c>
      <c r="G20" s="3">
        <v>20480</v>
      </c>
      <c r="H20" s="3">
        <v>2048</v>
      </c>
      <c r="I20" s="3">
        <v>105</v>
      </c>
      <c r="J20" s="3">
        <v>128</v>
      </c>
      <c r="K20" s="73">
        <f t="shared" si="6"/>
        <v>160</v>
      </c>
      <c r="L20" s="73">
        <f t="shared" si="7"/>
        <v>160</v>
      </c>
      <c r="M20" s="73">
        <f t="shared" si="5"/>
        <v>81920</v>
      </c>
      <c r="N20" s="74">
        <v>300000000000</v>
      </c>
      <c r="O20" s="35">
        <v>1</v>
      </c>
    </row>
    <row r="21" spans="1:18" ht="17.25" x14ac:dyDescent="0.35">
      <c r="E21" t="s">
        <v>693</v>
      </c>
      <c r="F21" s="3">
        <v>51200</v>
      </c>
      <c r="G21" s="3">
        <v>25600</v>
      </c>
      <c r="H21" s="3">
        <v>2048</v>
      </c>
      <c r="I21" s="3">
        <v>128</v>
      </c>
      <c r="J21" s="3">
        <v>160</v>
      </c>
      <c r="K21" s="73">
        <f t="shared" si="6"/>
        <v>160</v>
      </c>
      <c r="L21" s="73">
        <f t="shared" si="7"/>
        <v>160</v>
      </c>
      <c r="M21" s="73">
        <f t="shared" si="5"/>
        <v>102400</v>
      </c>
      <c r="N21" s="74">
        <v>300000000000</v>
      </c>
      <c r="O21" s="35">
        <v>1</v>
      </c>
    </row>
    <row r="22" spans="1:18" ht="17.25" x14ac:dyDescent="0.35">
      <c r="E22" t="s">
        <v>694</v>
      </c>
      <c r="F22" s="3">
        <v>51200</v>
      </c>
      <c r="G22" s="3">
        <f>(256+128)*1024</f>
        <v>393216</v>
      </c>
      <c r="H22" s="3">
        <f>8*1024</f>
        <v>8192</v>
      </c>
      <c r="I22" s="3">
        <f>512+256</f>
        <v>768</v>
      </c>
      <c r="J22" s="3">
        <f>1024+512</f>
        <v>1536</v>
      </c>
      <c r="K22" s="73">
        <f t="shared" si="6"/>
        <v>256</v>
      </c>
      <c r="L22" s="73">
        <f t="shared" si="7"/>
        <v>256</v>
      </c>
      <c r="M22" s="73">
        <f t="shared" si="5"/>
        <v>1572864</v>
      </c>
      <c r="N22" s="74">
        <f>(1420000000000000/175000000000000)^0.74*N17</f>
        <v>1412428504410.9668</v>
      </c>
      <c r="O22" s="35">
        <v>1</v>
      </c>
    </row>
    <row r="23" spans="1:18" ht="17.25" x14ac:dyDescent="0.35">
      <c r="E23" t="s">
        <v>695</v>
      </c>
      <c r="F23" s="3">
        <v>50257</v>
      </c>
      <c r="G23" s="3">
        <v>512</v>
      </c>
      <c r="H23" s="3">
        <v>128</v>
      </c>
      <c r="I23" s="3">
        <v>1000</v>
      </c>
      <c r="J23" s="3">
        <v>8</v>
      </c>
      <c r="K23" s="73">
        <f t="shared" si="6"/>
        <v>64</v>
      </c>
      <c r="L23" s="73">
        <f t="shared" si="7"/>
        <v>64</v>
      </c>
      <c r="M23" s="73">
        <f>G23*4</f>
        <v>2048</v>
      </c>
      <c r="N23" s="74">
        <v>40000000000</v>
      </c>
      <c r="O23" s="35">
        <v>1</v>
      </c>
    </row>
    <row r="24" spans="1:18" ht="17.25" x14ac:dyDescent="0.35">
      <c r="E24" t="s">
        <v>696</v>
      </c>
      <c r="F24" s="3">
        <v>50257</v>
      </c>
      <c r="G24" s="3">
        <v>1024</v>
      </c>
      <c r="H24" s="3">
        <v>256</v>
      </c>
      <c r="I24" s="3">
        <v>200</v>
      </c>
      <c r="J24" s="3">
        <v>16</v>
      </c>
      <c r="K24" s="73">
        <f t="shared" si="6"/>
        <v>64</v>
      </c>
      <c r="L24" s="73">
        <f t="shared" si="7"/>
        <v>64</v>
      </c>
      <c r="M24" s="73">
        <f>G24*4</f>
        <v>4096</v>
      </c>
      <c r="N24" s="74">
        <v>40000000000</v>
      </c>
      <c r="O24" s="35">
        <v>1</v>
      </c>
    </row>
    <row r="25" spans="1:18" ht="17.25" x14ac:dyDescent="0.35">
      <c r="E25" t="s">
        <v>697</v>
      </c>
      <c r="F25" s="3">
        <v>51200</v>
      </c>
      <c r="G25" s="3">
        <v>12288</v>
      </c>
      <c r="H25" s="3">
        <v>2048</v>
      </c>
      <c r="I25" s="3">
        <f>1024*512</f>
        <v>524288</v>
      </c>
      <c r="J25" s="3">
        <v>96</v>
      </c>
      <c r="K25" s="73">
        <f t="shared" si="6"/>
        <v>128</v>
      </c>
      <c r="L25" s="73">
        <f t="shared" si="7"/>
        <v>128</v>
      </c>
      <c r="M25" s="73">
        <f t="shared" ref="M25:M39" si="8">G25*4</f>
        <v>49152</v>
      </c>
      <c r="N25" s="74">
        <f>(1420000000000000/175000000000000)^0.74*N20</f>
        <v>1412428504410.9668</v>
      </c>
      <c r="O25" s="35">
        <v>1</v>
      </c>
    </row>
    <row r="26" spans="1:18" ht="17.25" x14ac:dyDescent="0.35">
      <c r="A26" t="s">
        <v>1104</v>
      </c>
      <c r="B26" t="s">
        <v>1103</v>
      </c>
      <c r="C26" t="s">
        <v>1102</v>
      </c>
      <c r="D26" t="s">
        <v>1075</v>
      </c>
      <c r="E26" t="s">
        <v>698</v>
      </c>
      <c r="F26" s="77">
        <v>51200</v>
      </c>
      <c r="G26" s="3">
        <v>1024</v>
      </c>
      <c r="H26" s="3">
        <v>1024</v>
      </c>
      <c r="I26" s="3">
        <f>1024*1024*64</f>
        <v>67108864</v>
      </c>
      <c r="J26" s="3">
        <v>16</v>
      </c>
      <c r="K26" s="73">
        <f t="shared" si="6"/>
        <v>64</v>
      </c>
      <c r="L26" s="73">
        <f t="shared" si="7"/>
        <v>64</v>
      </c>
      <c r="M26" s="73">
        <f t="shared" si="8"/>
        <v>4096</v>
      </c>
      <c r="N26" s="78">
        <f>(1420000000000000/175000000000000)^0.74*N21</f>
        <v>1412428504410.9668</v>
      </c>
      <c r="O26" s="35">
        <v>1</v>
      </c>
    </row>
    <row r="27" spans="1:18" ht="17.25" x14ac:dyDescent="0.35">
      <c r="A27" t="s">
        <v>1076</v>
      </c>
      <c r="B27" t="s">
        <v>1063</v>
      </c>
      <c r="C27" t="s">
        <v>1077</v>
      </c>
      <c r="D27" t="s">
        <v>1063</v>
      </c>
      <c r="E27" t="s">
        <v>1051</v>
      </c>
      <c r="F27" s="3">
        <v>51200</v>
      </c>
      <c r="G27" s="3">
        <f>A27/4</f>
        <v>6144</v>
      </c>
      <c r="H27" s="3">
        <v>8192</v>
      </c>
      <c r="I27" s="3">
        <f>A27/D27</f>
        <v>128</v>
      </c>
      <c r="J27" s="3" t="str">
        <f>C27</f>
        <v>128</v>
      </c>
      <c r="K27" s="73">
        <f t="shared" ref="K27:K38" si="9">G27/J27</f>
        <v>48</v>
      </c>
      <c r="L27" s="73">
        <f t="shared" ref="L27:L38" si="10">G27/J27</f>
        <v>48</v>
      </c>
      <c r="M27" s="73">
        <f>G27*4</f>
        <v>24576</v>
      </c>
      <c r="N27" s="79">
        <f>300000000000000</f>
        <v>300000000000000</v>
      </c>
      <c r="O27" s="35">
        <v>1</v>
      </c>
    </row>
    <row r="28" spans="1:18" ht="17.25" x14ac:dyDescent="0.35">
      <c r="A28" t="s">
        <v>1078</v>
      </c>
      <c r="B28" t="s">
        <v>1079</v>
      </c>
      <c r="C28" t="s">
        <v>1080</v>
      </c>
      <c r="D28" t="s">
        <v>1064</v>
      </c>
      <c r="E28" t="s">
        <v>1052</v>
      </c>
      <c r="F28" s="3">
        <v>51200</v>
      </c>
      <c r="G28" s="3">
        <f t="shared" ref="G28:G38" si="11">A28/4</f>
        <v>8192</v>
      </c>
      <c r="H28" s="3">
        <v>8192</v>
      </c>
      <c r="I28" s="3">
        <f t="shared" ref="I28:I38" si="12">A28/D28</f>
        <v>160</v>
      </c>
      <c r="J28" s="3" t="str">
        <f t="shared" ref="J28:J38" si="13">C28</f>
        <v>160</v>
      </c>
      <c r="K28" s="73">
        <f t="shared" si="9"/>
        <v>51.2</v>
      </c>
      <c r="L28" s="73">
        <f t="shared" si="10"/>
        <v>51.2</v>
      </c>
      <c r="M28" s="73">
        <f t="shared" ref="M28:M38" si="14">G28*4</f>
        <v>32768</v>
      </c>
      <c r="N28" s="79">
        <f t="shared" ref="N28:N38" si="15">300000000000000</f>
        <v>300000000000000</v>
      </c>
      <c r="O28" s="35">
        <v>1</v>
      </c>
    </row>
    <row r="29" spans="1:18" ht="17.25" x14ac:dyDescent="0.35">
      <c r="A29" t="s">
        <v>1081</v>
      </c>
      <c r="B29" t="s">
        <v>1082</v>
      </c>
      <c r="C29" t="s">
        <v>1063</v>
      </c>
      <c r="D29" t="s">
        <v>1065</v>
      </c>
      <c r="E29" t="s">
        <v>1053</v>
      </c>
      <c r="F29" s="3">
        <v>51200</v>
      </c>
      <c r="G29" s="3">
        <f t="shared" si="11"/>
        <v>10240</v>
      </c>
      <c r="H29" s="3">
        <v>8192</v>
      </c>
      <c r="I29" s="3">
        <f>_xlfn.FLOOR.MATH(A29/D29)</f>
        <v>192</v>
      </c>
      <c r="J29" s="3" t="str">
        <f t="shared" si="13"/>
        <v>192</v>
      </c>
      <c r="K29" s="73">
        <f t="shared" si="9"/>
        <v>53.333333333333336</v>
      </c>
      <c r="L29" s="73">
        <f t="shared" si="10"/>
        <v>53.333333333333336</v>
      </c>
      <c r="M29" s="73">
        <f t="shared" si="14"/>
        <v>40960</v>
      </c>
      <c r="N29" s="79">
        <f t="shared" si="15"/>
        <v>300000000000000</v>
      </c>
      <c r="O29" s="35">
        <v>1</v>
      </c>
    </row>
    <row r="30" spans="1:18" ht="17.25" x14ac:dyDescent="0.35">
      <c r="A30" t="s">
        <v>1083</v>
      </c>
      <c r="B30" t="s">
        <v>1066</v>
      </c>
      <c r="C30" t="s">
        <v>1066</v>
      </c>
      <c r="D30" t="s">
        <v>1066</v>
      </c>
      <c r="E30" t="s">
        <v>1054</v>
      </c>
      <c r="F30" s="3">
        <v>51200</v>
      </c>
      <c r="G30" s="3">
        <f t="shared" si="11"/>
        <v>12544</v>
      </c>
      <c r="H30" s="3">
        <v>8192</v>
      </c>
      <c r="I30" s="3">
        <f t="shared" ref="I30:I38" si="16">_xlfn.FLOOR.MATH(A30/D30)</f>
        <v>224</v>
      </c>
      <c r="J30" s="3" t="str">
        <f t="shared" si="13"/>
        <v>224</v>
      </c>
      <c r="K30" s="73">
        <f t="shared" si="9"/>
        <v>56</v>
      </c>
      <c r="L30" s="73">
        <f t="shared" si="10"/>
        <v>56</v>
      </c>
      <c r="M30" s="73">
        <f t="shared" si="14"/>
        <v>50176</v>
      </c>
      <c r="N30" s="79">
        <f t="shared" si="15"/>
        <v>300000000000000</v>
      </c>
      <c r="O30" s="35">
        <v>1</v>
      </c>
    </row>
    <row r="31" spans="1:18" ht="17.25" x14ac:dyDescent="0.35">
      <c r="A31" t="s">
        <v>1084</v>
      </c>
      <c r="B31" t="s">
        <v>1067</v>
      </c>
      <c r="C31" t="s">
        <v>1069</v>
      </c>
      <c r="D31" t="s">
        <v>1067</v>
      </c>
      <c r="E31" t="s">
        <v>1055</v>
      </c>
      <c r="F31" s="3">
        <v>51200</v>
      </c>
      <c r="G31" s="3">
        <f t="shared" si="11"/>
        <v>15104</v>
      </c>
      <c r="H31" s="3">
        <v>8192</v>
      </c>
      <c r="I31" s="3">
        <f t="shared" si="16"/>
        <v>256</v>
      </c>
      <c r="J31" s="3" t="str">
        <f t="shared" si="13"/>
        <v>256</v>
      </c>
      <c r="K31" s="73">
        <f t="shared" si="9"/>
        <v>59</v>
      </c>
      <c r="L31" s="73">
        <f t="shared" si="10"/>
        <v>59</v>
      </c>
      <c r="M31" s="73">
        <f t="shared" si="14"/>
        <v>60416</v>
      </c>
      <c r="N31" s="79">
        <f t="shared" si="15"/>
        <v>300000000000000</v>
      </c>
      <c r="O31" s="35">
        <v>1</v>
      </c>
    </row>
    <row r="32" spans="1:18" ht="17.25" x14ac:dyDescent="0.35">
      <c r="A32" t="s">
        <v>1085</v>
      </c>
      <c r="B32" t="s">
        <v>1068</v>
      </c>
      <c r="C32" t="s">
        <v>1072</v>
      </c>
      <c r="D32" t="s">
        <v>1068</v>
      </c>
      <c r="E32" t="s">
        <v>1056</v>
      </c>
      <c r="F32" s="3">
        <v>51200</v>
      </c>
      <c r="G32" s="3">
        <f t="shared" si="11"/>
        <v>17664</v>
      </c>
      <c r="H32" s="3">
        <v>8192</v>
      </c>
      <c r="I32" s="3">
        <f t="shared" si="16"/>
        <v>288</v>
      </c>
      <c r="J32" s="3" t="str">
        <f t="shared" si="13"/>
        <v>288</v>
      </c>
      <c r="K32" s="73">
        <f t="shared" si="9"/>
        <v>61.333333333333336</v>
      </c>
      <c r="L32" s="73">
        <f t="shared" si="10"/>
        <v>61.333333333333336</v>
      </c>
      <c r="M32" s="73">
        <f t="shared" si="14"/>
        <v>70656</v>
      </c>
      <c r="N32" s="79">
        <f t="shared" si="15"/>
        <v>300000000000000</v>
      </c>
      <c r="O32" s="35">
        <v>1</v>
      </c>
    </row>
    <row r="33" spans="1:17" ht="17.25" x14ac:dyDescent="0.35">
      <c r="A33" t="s">
        <v>1086</v>
      </c>
      <c r="B33" t="s">
        <v>1069</v>
      </c>
      <c r="C33" t="s">
        <v>1087</v>
      </c>
      <c r="D33" t="s">
        <v>1069</v>
      </c>
      <c r="E33" t="s">
        <v>1057</v>
      </c>
      <c r="F33" s="3">
        <v>51200</v>
      </c>
      <c r="G33" s="3">
        <f t="shared" si="11"/>
        <v>20480</v>
      </c>
      <c r="H33" s="3">
        <v>8192</v>
      </c>
      <c r="I33" s="3">
        <f t="shared" si="16"/>
        <v>320</v>
      </c>
      <c r="J33" s="3" t="str">
        <f t="shared" si="13"/>
        <v>320</v>
      </c>
      <c r="K33" s="73">
        <f t="shared" si="9"/>
        <v>64</v>
      </c>
      <c r="L33" s="73">
        <f t="shared" si="10"/>
        <v>64</v>
      </c>
      <c r="M33" s="73">
        <f t="shared" si="14"/>
        <v>81920</v>
      </c>
      <c r="N33" s="79">
        <f t="shared" si="15"/>
        <v>300000000000000</v>
      </c>
      <c r="O33" s="35">
        <v>1</v>
      </c>
    </row>
    <row r="34" spans="1:17" ht="17.25" x14ac:dyDescent="0.35">
      <c r="A34" t="s">
        <v>1088</v>
      </c>
      <c r="B34" t="s">
        <v>1089</v>
      </c>
      <c r="C34" t="s">
        <v>1090</v>
      </c>
      <c r="D34" t="s">
        <v>1070</v>
      </c>
      <c r="E34" t="s">
        <v>1058</v>
      </c>
      <c r="F34" s="3">
        <v>51200</v>
      </c>
      <c r="G34" s="3">
        <f t="shared" si="11"/>
        <v>23552</v>
      </c>
      <c r="H34" s="3">
        <v>8192</v>
      </c>
      <c r="I34" s="3">
        <f t="shared" si="16"/>
        <v>352</v>
      </c>
      <c r="J34" s="3" t="str">
        <f t="shared" si="13"/>
        <v>352</v>
      </c>
      <c r="K34" s="73">
        <f t="shared" si="9"/>
        <v>66.909090909090907</v>
      </c>
      <c r="L34" s="73">
        <f t="shared" si="10"/>
        <v>66.909090909090907</v>
      </c>
      <c r="M34" s="73">
        <f t="shared" si="14"/>
        <v>94208</v>
      </c>
      <c r="N34" s="79">
        <f t="shared" si="15"/>
        <v>300000000000000</v>
      </c>
      <c r="O34" s="35">
        <v>1</v>
      </c>
    </row>
    <row r="35" spans="1:17" ht="17.25" x14ac:dyDescent="0.35">
      <c r="A35" t="s">
        <v>1091</v>
      </c>
      <c r="B35" t="s">
        <v>1092</v>
      </c>
      <c r="C35" t="s">
        <v>1093</v>
      </c>
      <c r="D35" t="s">
        <v>1071</v>
      </c>
      <c r="E35" t="s">
        <v>1059</v>
      </c>
      <c r="F35" s="3">
        <v>51200</v>
      </c>
      <c r="G35" s="3">
        <f t="shared" si="11"/>
        <v>26624</v>
      </c>
      <c r="H35" s="3">
        <v>8192</v>
      </c>
      <c r="I35" s="3">
        <f t="shared" si="16"/>
        <v>384</v>
      </c>
      <c r="J35" s="3" t="str">
        <f t="shared" si="13"/>
        <v>384</v>
      </c>
      <c r="K35" s="73">
        <f t="shared" si="9"/>
        <v>69.333333333333329</v>
      </c>
      <c r="L35" s="73">
        <f t="shared" si="10"/>
        <v>69.333333333333329</v>
      </c>
      <c r="M35" s="73">
        <f t="shared" si="14"/>
        <v>106496</v>
      </c>
      <c r="N35" s="79">
        <f t="shared" si="15"/>
        <v>300000000000000</v>
      </c>
      <c r="O35" s="35">
        <v>1</v>
      </c>
    </row>
    <row r="36" spans="1:17" ht="17.25" x14ac:dyDescent="0.35">
      <c r="A36" t="s">
        <v>1094</v>
      </c>
      <c r="B36" t="s">
        <v>1072</v>
      </c>
      <c r="C36" t="s">
        <v>1095</v>
      </c>
      <c r="D36" t="s">
        <v>1072</v>
      </c>
      <c r="E36" t="s">
        <v>1060</v>
      </c>
      <c r="F36" s="3">
        <v>51200</v>
      </c>
      <c r="G36" s="3">
        <f t="shared" si="11"/>
        <v>29952</v>
      </c>
      <c r="H36" s="3">
        <v>8192</v>
      </c>
      <c r="I36" s="3">
        <f t="shared" si="16"/>
        <v>416</v>
      </c>
      <c r="J36" s="3" t="str">
        <f t="shared" si="13"/>
        <v>416</v>
      </c>
      <c r="K36" s="73">
        <f t="shared" si="9"/>
        <v>72</v>
      </c>
      <c r="L36" s="73">
        <f t="shared" si="10"/>
        <v>72</v>
      </c>
      <c r="M36" s="73">
        <f t="shared" si="14"/>
        <v>119808</v>
      </c>
      <c r="N36" s="79">
        <f t="shared" si="15"/>
        <v>300000000000000</v>
      </c>
      <c r="O36" s="35">
        <v>1</v>
      </c>
    </row>
    <row r="37" spans="1:17" ht="17.25" x14ac:dyDescent="0.35">
      <c r="A37" t="s">
        <v>1096</v>
      </c>
      <c r="B37" t="s">
        <v>1097</v>
      </c>
      <c r="C37" t="s">
        <v>1098</v>
      </c>
      <c r="D37" t="s">
        <v>1073</v>
      </c>
      <c r="E37" t="s">
        <v>1061</v>
      </c>
      <c r="F37" s="3">
        <v>51200</v>
      </c>
      <c r="G37" s="3">
        <f t="shared" si="11"/>
        <v>33536</v>
      </c>
      <c r="H37" s="3">
        <v>8192</v>
      </c>
      <c r="I37" s="3">
        <f t="shared" si="16"/>
        <v>448</v>
      </c>
      <c r="J37" s="3" t="str">
        <f t="shared" si="13"/>
        <v>448</v>
      </c>
      <c r="K37" s="73">
        <f t="shared" si="9"/>
        <v>74.857142857142861</v>
      </c>
      <c r="L37" s="73">
        <f t="shared" si="10"/>
        <v>74.857142857142861</v>
      </c>
      <c r="M37" s="73">
        <f t="shared" si="14"/>
        <v>134144</v>
      </c>
      <c r="N37" s="79">
        <f t="shared" si="15"/>
        <v>300000000000000</v>
      </c>
      <c r="O37" s="35">
        <v>1</v>
      </c>
    </row>
    <row r="38" spans="1:17" ht="17.25" x14ac:dyDescent="0.35">
      <c r="A38" t="s">
        <v>1099</v>
      </c>
      <c r="B38" t="s">
        <v>1100</v>
      </c>
      <c r="C38" t="s">
        <v>1101</v>
      </c>
      <c r="D38" t="s">
        <v>1074</v>
      </c>
      <c r="E38" t="s">
        <v>1062</v>
      </c>
      <c r="F38" s="3">
        <v>51200</v>
      </c>
      <c r="G38" s="3">
        <f t="shared" si="11"/>
        <v>37120</v>
      </c>
      <c r="H38" s="3">
        <v>8192</v>
      </c>
      <c r="I38" s="3">
        <f t="shared" si="16"/>
        <v>480</v>
      </c>
      <c r="J38" s="3" t="str">
        <f t="shared" si="13"/>
        <v>480</v>
      </c>
      <c r="K38" s="73">
        <f t="shared" si="9"/>
        <v>77.333333333333329</v>
      </c>
      <c r="L38" s="73">
        <f t="shared" si="10"/>
        <v>77.333333333333329</v>
      </c>
      <c r="M38" s="73">
        <f t="shared" si="14"/>
        <v>148480</v>
      </c>
      <c r="N38" s="79">
        <f t="shared" si="15"/>
        <v>300000000000000</v>
      </c>
      <c r="O38" s="35">
        <v>1</v>
      </c>
    </row>
    <row r="39" spans="1:17" ht="17.25" x14ac:dyDescent="0.35">
      <c r="E39" t="s">
        <v>699</v>
      </c>
      <c r="F39" s="77">
        <v>51200</v>
      </c>
      <c r="G39" s="3">
        <v>1024</v>
      </c>
      <c r="H39" s="3">
        <v>2048</v>
      </c>
      <c r="I39" s="3">
        <v>24</v>
      </c>
      <c r="J39" s="3">
        <v>16</v>
      </c>
      <c r="K39" s="73">
        <v>64</v>
      </c>
      <c r="L39" s="73">
        <v>64</v>
      </c>
      <c r="M39" s="73">
        <f t="shared" si="8"/>
        <v>4096</v>
      </c>
      <c r="N39" s="79">
        <f>300000000000</f>
        <v>300000000000</v>
      </c>
      <c r="O39" s="35">
        <v>128</v>
      </c>
    </row>
    <row r="40" spans="1:17" ht="17.25" x14ac:dyDescent="0.35">
      <c r="E40" t="s">
        <v>700</v>
      </c>
      <c r="F40" s="77">
        <v>51200</v>
      </c>
      <c r="G40" s="3">
        <v>2048</v>
      </c>
      <c r="H40" s="3">
        <v>2048</v>
      </c>
      <c r="I40" s="3">
        <v>24</v>
      </c>
      <c r="J40" s="3">
        <v>16</v>
      </c>
      <c r="K40" s="73">
        <v>128</v>
      </c>
      <c r="L40" s="73">
        <v>128</v>
      </c>
      <c r="M40" s="73">
        <v>8192</v>
      </c>
      <c r="N40" s="79">
        <v>300000000000</v>
      </c>
      <c r="O40" s="35">
        <v>128</v>
      </c>
    </row>
    <row r="41" spans="1:17" ht="17.25" x14ac:dyDescent="0.35">
      <c r="E41" t="s">
        <v>701</v>
      </c>
      <c r="F41" s="80">
        <v>256000</v>
      </c>
      <c r="G41" s="3">
        <v>4096</v>
      </c>
      <c r="H41" s="3">
        <v>1024</v>
      </c>
      <c r="I41" s="3">
        <v>32</v>
      </c>
      <c r="J41" s="3">
        <v>32</v>
      </c>
      <c r="K41" s="73">
        <v>224</v>
      </c>
      <c r="L41" s="73">
        <v>224</v>
      </c>
      <c r="M41" s="73">
        <v>16384</v>
      </c>
      <c r="N41" s="79">
        <v>280000000000</v>
      </c>
      <c r="O41" s="35">
        <v>64</v>
      </c>
    </row>
    <row r="42" spans="1:17" ht="17.25" x14ac:dyDescent="0.35">
      <c r="E42" t="s">
        <v>702</v>
      </c>
      <c r="F42" s="80">
        <v>256000</v>
      </c>
      <c r="G42" s="3">
        <v>8192</v>
      </c>
      <c r="H42" s="3">
        <v>1024</v>
      </c>
      <c r="I42" s="3">
        <v>64</v>
      </c>
      <c r="J42" s="3">
        <v>128</v>
      </c>
      <c r="K42" s="73">
        <v>112</v>
      </c>
      <c r="L42" s="73">
        <v>112</v>
      </c>
      <c r="M42" s="73">
        <v>32768</v>
      </c>
      <c r="N42" s="79">
        <v>280000000000000</v>
      </c>
      <c r="O42" s="35">
        <v>64</v>
      </c>
    </row>
    <row r="43" spans="1:17" ht="17.25" x14ac:dyDescent="0.35">
      <c r="E43" t="s">
        <v>703</v>
      </c>
      <c r="F43" s="80">
        <v>51200</v>
      </c>
      <c r="G43" s="3">
        <v>2048</v>
      </c>
      <c r="H43" s="3">
        <v>2048</v>
      </c>
      <c r="I43" s="3">
        <v>24</v>
      </c>
      <c r="J43" s="3">
        <v>32</v>
      </c>
      <c r="K43" s="73">
        <v>128</v>
      </c>
      <c r="L43" s="73">
        <v>128</v>
      </c>
      <c r="M43" s="73">
        <v>8192</v>
      </c>
      <c r="N43" s="79">
        <v>300000000000</v>
      </c>
      <c r="O43" s="35">
        <v>512</v>
      </c>
      <c r="Q43" t="s">
        <v>704</v>
      </c>
    </row>
    <row r="44" spans="1:17" ht="17.25" x14ac:dyDescent="0.35">
      <c r="E44" t="s">
        <v>705</v>
      </c>
      <c r="F44" s="80">
        <v>51200</v>
      </c>
      <c r="G44" s="3">
        <v>4096</v>
      </c>
      <c r="H44" s="3">
        <v>2048</v>
      </c>
      <c r="I44" s="3">
        <v>32</v>
      </c>
      <c r="J44" s="3">
        <v>32</v>
      </c>
      <c r="K44" s="73">
        <v>128</v>
      </c>
      <c r="L44" s="73">
        <v>128</v>
      </c>
      <c r="M44" s="73">
        <v>16384</v>
      </c>
      <c r="N44" s="79">
        <v>300000000000</v>
      </c>
      <c r="O44" s="35">
        <v>512</v>
      </c>
    </row>
    <row r="45" spans="1:17" ht="17.25" x14ac:dyDescent="0.35">
      <c r="E45" s="81" t="s">
        <v>8</v>
      </c>
      <c r="F45" s="3">
        <v>50257</v>
      </c>
      <c r="G45" s="3">
        <v>12288</v>
      </c>
      <c r="H45" s="3">
        <v>2048</v>
      </c>
      <c r="I45" s="3">
        <v>96</v>
      </c>
      <c r="J45" s="3">
        <v>96</v>
      </c>
      <c r="K45" s="73">
        <v>128</v>
      </c>
      <c r="L45" s="73">
        <v>128</v>
      </c>
      <c r="M45" s="73">
        <v>49152</v>
      </c>
      <c r="N45" s="74">
        <v>300000000000</v>
      </c>
      <c r="O45" s="35">
        <v>1024</v>
      </c>
    </row>
    <row r="46" spans="1:17" ht="17.25" x14ac:dyDescent="0.35">
      <c r="E46" s="81" t="s">
        <v>706</v>
      </c>
      <c r="F46" s="3">
        <v>50257</v>
      </c>
      <c r="G46" s="3">
        <v>12288</v>
      </c>
      <c r="H46" s="3">
        <v>2048</v>
      </c>
      <c r="I46" s="3">
        <v>96</v>
      </c>
      <c r="J46" s="3">
        <v>96</v>
      </c>
      <c r="K46" s="73">
        <v>128</v>
      </c>
      <c r="L46" s="73">
        <v>128</v>
      </c>
      <c r="M46" s="73">
        <v>49152</v>
      </c>
      <c r="N46" s="74">
        <v>300000000000</v>
      </c>
      <c r="O46" s="35">
        <v>17246</v>
      </c>
    </row>
    <row r="47" spans="1:17" ht="17.25" x14ac:dyDescent="0.35">
      <c r="E47" s="81" t="s">
        <v>707</v>
      </c>
      <c r="F47" s="35">
        <v>50257</v>
      </c>
      <c r="G47" s="35">
        <v>12288</v>
      </c>
      <c r="H47" s="35">
        <v>2048</v>
      </c>
      <c r="I47" s="35">
        <v>1616</v>
      </c>
      <c r="J47" s="35">
        <v>96</v>
      </c>
      <c r="K47" s="44">
        <v>128</v>
      </c>
      <c r="L47" s="44">
        <v>128</v>
      </c>
      <c r="M47" s="44">
        <v>49152</v>
      </c>
      <c r="N47" s="74">
        <v>300000000000</v>
      </c>
      <c r="O47" s="35">
        <v>1024</v>
      </c>
    </row>
    <row r="48" spans="1:17" ht="17.25" x14ac:dyDescent="0.35">
      <c r="E48" s="81" t="s">
        <v>708</v>
      </c>
      <c r="F48" s="3">
        <v>50257</v>
      </c>
      <c r="G48" s="3">
        <v>50400</v>
      </c>
      <c r="H48" s="3">
        <v>2048</v>
      </c>
      <c r="I48" s="3">
        <v>96</v>
      </c>
      <c r="J48" s="3">
        <v>96</v>
      </c>
      <c r="K48" s="73">
        <v>525</v>
      </c>
      <c r="L48" s="73">
        <v>525</v>
      </c>
      <c r="M48" s="73">
        <v>201600</v>
      </c>
      <c r="N48" s="74">
        <v>300000000000</v>
      </c>
      <c r="O48" s="35">
        <v>1024</v>
      </c>
    </row>
    <row r="49" spans="2:16" ht="17.25" x14ac:dyDescent="0.35">
      <c r="E49" s="81" t="s">
        <v>709</v>
      </c>
      <c r="F49" s="3">
        <v>50257</v>
      </c>
      <c r="G49" s="3">
        <v>16384</v>
      </c>
      <c r="H49" s="3">
        <v>2048</v>
      </c>
      <c r="I49" s="3">
        <v>480</v>
      </c>
      <c r="J49" s="3">
        <v>128</v>
      </c>
      <c r="K49" s="73">
        <v>128</v>
      </c>
      <c r="L49" s="73">
        <v>128</v>
      </c>
      <c r="M49" s="73">
        <v>65536</v>
      </c>
      <c r="N49" s="74">
        <v>300000000000</v>
      </c>
      <c r="O49" s="35">
        <v>2048</v>
      </c>
    </row>
    <row r="50" spans="2:16" ht="18" thickBot="1" x14ac:dyDescent="0.4">
      <c r="B50" t="s">
        <v>675</v>
      </c>
      <c r="C50" s="72" t="s">
        <v>676</v>
      </c>
      <c r="E50" t="s">
        <v>997</v>
      </c>
      <c r="F50" s="190" t="s">
        <v>998</v>
      </c>
      <c r="G50" s="191" t="s">
        <v>999</v>
      </c>
      <c r="H50" s="191" t="s">
        <v>999</v>
      </c>
      <c r="I50" s="191" t="s">
        <v>1000</v>
      </c>
      <c r="J50" s="191" t="s">
        <v>1000</v>
      </c>
      <c r="K50" s="192">
        <f t="shared" ref="K50:K51" si="17">G50/J50</f>
        <v>64</v>
      </c>
      <c r="L50" s="192">
        <f t="shared" ref="L50:L51" si="18">G50/J50</f>
        <v>64</v>
      </c>
      <c r="M50" s="192" t="s">
        <v>999</v>
      </c>
      <c r="N50" s="193" t="s">
        <v>995</v>
      </c>
      <c r="O50" s="191" t="s">
        <v>996</v>
      </c>
      <c r="P50" s="192"/>
    </row>
    <row r="51" spans="2:16" ht="18" thickTop="1" x14ac:dyDescent="0.35">
      <c r="B51" t="s">
        <v>672</v>
      </c>
      <c r="C51" s="72" t="s">
        <v>673</v>
      </c>
      <c r="E51" s="194" t="s">
        <v>1005</v>
      </c>
      <c r="F51" s="3">
        <v>65</v>
      </c>
      <c r="G51" s="3">
        <v>768</v>
      </c>
      <c r="H51" s="3">
        <v>128</v>
      </c>
      <c r="I51" s="3">
        <v>12</v>
      </c>
      <c r="J51" s="3">
        <v>12</v>
      </c>
      <c r="K51" s="73">
        <f t="shared" si="17"/>
        <v>64</v>
      </c>
      <c r="L51" s="73">
        <f t="shared" si="18"/>
        <v>64</v>
      </c>
      <c r="M51" s="73">
        <f t="shared" ref="M51" si="19">G51*4</f>
        <v>3072</v>
      </c>
      <c r="N51" s="74">
        <v>40000000000</v>
      </c>
      <c r="O51" s="35">
        <v>1</v>
      </c>
    </row>
  </sheetData>
  <mergeCells count="2">
    <mergeCell ref="F2:J2"/>
    <mergeCell ref="K2:M2"/>
  </mergeCells>
  <hyperlinks>
    <hyperlink ref="C7" r:id="rId1" xr:uid="{4530BF0E-F4BE-4A56-A7B6-0F41557B7127}"/>
    <hyperlink ref="C6" r:id="rId2" xr:uid="{55B02006-E623-4D8B-9BD7-CAF35091A8F8}"/>
    <hyperlink ref="C8" r:id="rId3" xr:uid="{08466B61-174A-4DE6-90C3-4919E309719D}"/>
    <hyperlink ref="C50" r:id="rId4" xr:uid="{93C866D9-0D67-451A-BEC2-5BFBAF5911B1}"/>
    <hyperlink ref="C51" r:id="rId5" xr:uid="{D9A5204A-8DC9-40C2-A29D-1B69884B2F6C}"/>
    <hyperlink ref="C5" r:id="rId6" xr:uid="{F3A5EB69-2653-4CE7-A6A8-A6149BFDB146}"/>
  </hyperlinks>
  <pageMargins left="0.7" right="0.7" top="0.75" bottom="0.75" header="0.3" footer="0.3"/>
  <pageSetup orientation="portrait" r:id="rId7"/>
  <headerFooter>
    <oddFooter>&amp;R&amp;1#&amp;"Calibri"&amp;8&amp;K000000strictly confidential</oddFooter>
  </headerFooter>
  <legacyDrawing r:id="rId8"/>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AC729-348D-43C1-87D5-95BBA80271D8}">
  <sheetPr codeName="Sheet3"/>
  <dimension ref="A1:AP346"/>
  <sheetViews>
    <sheetView topLeftCell="A57" workbookViewId="0">
      <selection activeCell="B128" sqref="B128"/>
    </sheetView>
  </sheetViews>
  <sheetFormatPr defaultColWidth="8.7109375" defaultRowHeight="15" x14ac:dyDescent="0.25"/>
  <cols>
    <col min="1" max="1" width="48.85546875" style="18" customWidth="1"/>
    <col min="2" max="5" width="25.7109375" style="18" customWidth="1"/>
    <col min="6" max="6" width="35.140625" style="18" customWidth="1"/>
    <col min="7" max="34" width="25.7109375" style="18" customWidth="1"/>
    <col min="35" max="37" width="10" style="18" bestFit="1" customWidth="1"/>
    <col min="38" max="38" width="10.5703125" style="18" customWidth="1"/>
    <col min="39" max="39" width="23.28515625" style="18" customWidth="1"/>
    <col min="40" max="40" width="39.7109375" style="18" customWidth="1"/>
    <col min="41" max="41" width="13.42578125" style="18" customWidth="1"/>
    <col min="42" max="42" width="11.85546875" style="18" customWidth="1"/>
    <col min="43" max="43" width="13.140625" style="18" customWidth="1"/>
    <col min="44" max="16384" width="8.7109375" style="18"/>
  </cols>
  <sheetData>
    <row r="1" spans="1:40" s="125" customFormat="1" ht="107.45" customHeight="1" x14ac:dyDescent="0.25">
      <c r="A1" s="125" t="s">
        <v>180</v>
      </c>
      <c r="AC1" s="140"/>
      <c r="AD1" s="140"/>
      <c r="AE1" s="140"/>
      <c r="AF1" s="140"/>
    </row>
    <row r="2" spans="1:40" s="19" customFormat="1" ht="69" x14ac:dyDescent="0.25">
      <c r="A2" s="24" t="s">
        <v>9</v>
      </c>
      <c r="B2" s="28" t="s">
        <v>181</v>
      </c>
      <c r="C2" s="28" t="s">
        <v>182</v>
      </c>
      <c r="D2" s="28" t="s">
        <v>183</v>
      </c>
      <c r="E2" s="28" t="s">
        <v>184</v>
      </c>
      <c r="F2" s="28" t="s">
        <v>185</v>
      </c>
      <c r="G2" s="28" t="s">
        <v>186</v>
      </c>
      <c r="H2" s="28" t="s">
        <v>187</v>
      </c>
      <c r="I2" s="28" t="s">
        <v>188</v>
      </c>
      <c r="J2" s="28" t="s">
        <v>189</v>
      </c>
      <c r="K2" s="28" t="s">
        <v>190</v>
      </c>
      <c r="L2" s="28" t="s">
        <v>191</v>
      </c>
      <c r="M2" s="28" t="s">
        <v>192</v>
      </c>
      <c r="N2" s="28" t="s">
        <v>193</v>
      </c>
      <c r="O2" s="28" t="s">
        <v>194</v>
      </c>
      <c r="P2" s="28" t="s">
        <v>195</v>
      </c>
      <c r="Q2" s="28" t="s">
        <v>196</v>
      </c>
      <c r="R2" s="28" t="s">
        <v>197</v>
      </c>
      <c r="S2" s="28" t="s">
        <v>198</v>
      </c>
      <c r="T2" s="28" t="s">
        <v>199</v>
      </c>
      <c r="U2" s="28" t="s">
        <v>200</v>
      </c>
      <c r="V2" s="28" t="s">
        <v>201</v>
      </c>
      <c r="W2" s="28" t="s">
        <v>202</v>
      </c>
      <c r="X2" s="28" t="s">
        <v>203</v>
      </c>
      <c r="Y2" s="29" t="s">
        <v>204</v>
      </c>
      <c r="Z2" s="29" t="s">
        <v>205</v>
      </c>
      <c r="AA2" s="29" t="s">
        <v>206</v>
      </c>
      <c r="AB2" s="29" t="s">
        <v>207</v>
      </c>
      <c r="AC2" s="28" t="s">
        <v>208</v>
      </c>
      <c r="AD2" s="28" t="s">
        <v>209</v>
      </c>
      <c r="AE2" s="29" t="s">
        <v>210</v>
      </c>
      <c r="AF2" s="29" t="s">
        <v>211</v>
      </c>
    </row>
    <row r="3" spans="1:40" ht="17.25" x14ac:dyDescent="0.35">
      <c r="A3" s="18" t="s">
        <v>56</v>
      </c>
      <c r="B3" s="16" t="s">
        <v>2</v>
      </c>
      <c r="C3" s="16" t="s">
        <v>2</v>
      </c>
      <c r="D3" s="16" t="s">
        <v>2</v>
      </c>
      <c r="E3" s="16" t="s">
        <v>2</v>
      </c>
      <c r="F3" s="16" t="s">
        <v>2</v>
      </c>
      <c r="G3" s="16" t="s">
        <v>2</v>
      </c>
      <c r="H3" s="16" t="s">
        <v>2</v>
      </c>
      <c r="I3" s="16" t="s">
        <v>2</v>
      </c>
      <c r="J3" s="16" t="s">
        <v>2</v>
      </c>
      <c r="K3" s="16" t="s">
        <v>2</v>
      </c>
      <c r="L3" s="16" t="s">
        <v>2</v>
      </c>
      <c r="M3" s="16" t="s">
        <v>2</v>
      </c>
      <c r="N3" s="16" t="s">
        <v>2</v>
      </c>
      <c r="O3" s="16" t="s">
        <v>2</v>
      </c>
      <c r="P3" s="16" t="s">
        <v>2</v>
      </c>
      <c r="Q3" s="16" t="s">
        <v>2</v>
      </c>
      <c r="R3" s="16" t="s">
        <v>2</v>
      </c>
      <c r="S3" s="16" t="s">
        <v>2</v>
      </c>
      <c r="T3" s="16" t="s">
        <v>2</v>
      </c>
      <c r="U3" s="16" t="s">
        <v>2</v>
      </c>
      <c r="V3" s="16" t="s">
        <v>2</v>
      </c>
      <c r="W3" s="16" t="s">
        <v>2</v>
      </c>
      <c r="X3" s="16" t="s">
        <v>2</v>
      </c>
      <c r="Y3" s="16" t="s">
        <v>2</v>
      </c>
      <c r="Z3" s="16" t="s">
        <v>2</v>
      </c>
      <c r="AA3" s="16" t="s">
        <v>2</v>
      </c>
      <c r="AB3" s="16" t="s">
        <v>2</v>
      </c>
      <c r="AC3" s="16" t="s">
        <v>2</v>
      </c>
      <c r="AD3" s="16" t="s">
        <v>2</v>
      </c>
      <c r="AE3" s="16" t="s">
        <v>2</v>
      </c>
      <c r="AF3" s="16" t="s">
        <v>2</v>
      </c>
    </row>
    <row r="4" spans="1:40" s="17" customFormat="1" ht="17.25" x14ac:dyDescent="0.35">
      <c r="A4" t="s">
        <v>57</v>
      </c>
      <c r="B4" s="73">
        <f>IF(B3=Inputs!$C$1,B5,B6)</f>
        <v>35781399367654.914</v>
      </c>
      <c r="C4" s="73">
        <f>IF(C3=Inputs!$C$1,C5,C6)</f>
        <v>414136566.75526524</v>
      </c>
      <c r="D4" s="73">
        <f>IF(D3=Inputs!$C$1,D5,D6)</f>
        <v>1134620.730836343</v>
      </c>
      <c r="E4" s="73">
        <f>IF(E3=Inputs!$C$1,E5,E6)</f>
        <v>10225247961071.047</v>
      </c>
      <c r="F4" s="73">
        <f>IF(F3=Inputs!$C$1,F5,F6)</f>
        <v>20445850258079.598</v>
      </c>
      <c r="G4" s="73">
        <f>IF(G3=Inputs!$C$1,G5,G6)</f>
        <v>5110301148504.2734</v>
      </c>
      <c r="H4" s="73">
        <f>IF(H3=Inputs!$C$1,H5,H6)</f>
        <v>35781399367654.922</v>
      </c>
      <c r="I4" s="73">
        <f>IF(I3=Inputs!$C$1,I5,I6)</f>
        <v>0</v>
      </c>
      <c r="J4" s="73">
        <f>IF(J3=Inputs!$C$1,J5,J6)</f>
        <v>0</v>
      </c>
      <c r="K4" s="73">
        <f>IF(K3=Inputs!$C$1,K5,K6)</f>
        <v>0</v>
      </c>
      <c r="L4" s="73">
        <f>IF(L3=Inputs!$C$1,L5,L6)</f>
        <v>0</v>
      </c>
      <c r="M4" s="73">
        <f>IF(M3=Inputs!$C$1,M5,M6)</f>
        <v>0</v>
      </c>
      <c r="N4" s="73">
        <f>IF(N3=Inputs!$C$1,N5,N6)</f>
        <v>0</v>
      </c>
      <c r="O4" s="73">
        <f>IF(O3=Inputs!$C$1,O5,O6)</f>
        <v>0</v>
      </c>
      <c r="P4" s="73">
        <f>IF(P3=Inputs!$C$1,P5,P6)</f>
        <v>0</v>
      </c>
      <c r="Q4" s="73">
        <f>IF(Q3=Inputs!$C$1,Q5,Q6)</f>
        <v>0</v>
      </c>
      <c r="R4" s="73">
        <f>IF(R3=Inputs!$C$1,R5,R6)</f>
        <v>0</v>
      </c>
      <c r="S4" s="73">
        <f>IF(S3=Inputs!$C$1,S5,S6)</f>
        <v>0</v>
      </c>
      <c r="T4" s="73">
        <f>IF(T3=Inputs!$C$1,T5,T6)</f>
        <v>0</v>
      </c>
      <c r="U4" s="73">
        <f>IF(U3=Inputs!$C$1,U5,U6)</f>
        <v>0</v>
      </c>
      <c r="V4" s="73">
        <f>IF(V3=Inputs!$C$1,V5,V6)</f>
        <v>0</v>
      </c>
      <c r="W4" s="73">
        <f>IF(W3=Inputs!$C$1,W5,W6)</f>
        <v>0</v>
      </c>
      <c r="X4" s="73">
        <f>IF(X3=Inputs!$C$1,X5,X6)</f>
        <v>7.4057798837699997E+27</v>
      </c>
      <c r="Y4" s="73">
        <f>IF(Y3=Inputs!$C$1,Y5,Y6)</f>
        <v>1.481155976754E+16</v>
      </c>
      <c r="Z4" s="73">
        <f>IF(Z3=Inputs!$C$1,Z5,Z6)</f>
        <v>413.94579388443685</v>
      </c>
      <c r="AA4" s="73">
        <f>IF(AA3=Inputs!$C$1,AA5,AA6)</f>
        <v>413.94579388443685</v>
      </c>
      <c r="AB4" s="73">
        <f>IF(AB3=Inputs!$C$1,AB5,AB6)</f>
        <v>1857.9456</v>
      </c>
      <c r="AC4" s="73">
        <f>IF(AC3=Inputs!$C$1,AC5,AC6)</f>
        <v>0</v>
      </c>
      <c r="AD4" s="73">
        <f>IF(AD3=Inputs!$C$1,AD5,AD6)</f>
        <v>0</v>
      </c>
      <c r="AE4" s="73">
        <f>IF(AE3=Inputs!$C$1,AE5,AE6)</f>
        <v>0</v>
      </c>
      <c r="AF4" s="73">
        <f>IF(AF3=Inputs!$C$1,AF5,AF6)</f>
        <v>0</v>
      </c>
    </row>
    <row r="5" spans="1:40" ht="17.25" x14ac:dyDescent="0.35">
      <c r="A5" s="18" t="s">
        <v>58</v>
      </c>
      <c r="B5" s="35"/>
      <c r="C5" s="35"/>
      <c r="D5" s="35"/>
      <c r="E5" s="35"/>
      <c r="F5" s="35"/>
      <c r="G5" s="35"/>
      <c r="H5" s="35"/>
      <c r="I5" s="35"/>
      <c r="J5" s="35"/>
      <c r="K5" s="35"/>
      <c r="L5" s="35"/>
      <c r="M5" s="35"/>
      <c r="N5" s="35"/>
      <c r="O5" s="35"/>
      <c r="P5" s="35"/>
      <c r="Q5" s="35"/>
      <c r="R5" s="35"/>
      <c r="S5" s="35"/>
      <c r="T5" s="35"/>
      <c r="U5" s="35"/>
      <c r="V5" s="35"/>
      <c r="W5" s="35"/>
      <c r="X5" s="16"/>
      <c r="Y5" s="16"/>
      <c r="Z5" s="16"/>
      <c r="AA5" s="35"/>
      <c r="AB5" s="16"/>
      <c r="AC5" s="16"/>
      <c r="AD5" s="16"/>
      <c r="AE5" s="16"/>
      <c r="AF5" s="16"/>
    </row>
    <row r="6" spans="1:40" ht="17.25" x14ac:dyDescent="0.35">
      <c r="A6" s="18" t="s">
        <v>59</v>
      </c>
      <c r="B6" s="5">
        <f>B9</f>
        <v>35781399367654.914</v>
      </c>
      <c r="C6" s="5">
        <f>B4/60/60/24</f>
        <v>414136566.75526524</v>
      </c>
      <c r="D6" s="5">
        <f>C4/365</f>
        <v>1134620.730836343</v>
      </c>
      <c r="E6" s="5">
        <f>D23*C23*B23/(Inputs!J14*Inputs!K14*Inputs!L14)</f>
        <v>10225247961071.047</v>
      </c>
      <c r="F6" s="5">
        <f>F23*C23*B23/(Inputs!J14*Inputs!K14*Inputs!L14)</f>
        <v>20445850258079.598</v>
      </c>
      <c r="G6" s="5">
        <f>B23*H23*C23/(Inputs!J14*Inputs!K14*Inputs!L14)</f>
        <v>5110301148504.2734</v>
      </c>
      <c r="H6" s="5">
        <f>SUM(E4:G4)</f>
        <v>35781399367654.922</v>
      </c>
      <c r="I6" s="5">
        <f>B98*C23*B23</f>
        <v>0</v>
      </c>
      <c r="J6" s="5">
        <f>B108*C23*B23</f>
        <v>0</v>
      </c>
      <c r="K6" s="5">
        <f>MAX(D85,E85)*C23*B23</f>
        <v>0</v>
      </c>
      <c r="L6" s="5">
        <f>F85*(B85+C85+MAX(D85,E85))*C23*B23</f>
        <v>0</v>
      </c>
      <c r="M6" s="5">
        <f>SUM(I4:L4)+AC4</f>
        <v>0</v>
      </c>
      <c r="N6" s="5">
        <f>B161*C23*B23</f>
        <v>0</v>
      </c>
      <c r="O6" s="5">
        <f>B171*C23*B23</f>
        <v>0</v>
      </c>
      <c r="P6" s="5">
        <f>MAX(B181,B191)*C23*B23</f>
        <v>0</v>
      </c>
      <c r="Q6" s="5">
        <f>F154*(B161+B171+MAX(B181,B191))*C23*B23</f>
        <v>0</v>
      </c>
      <c r="R6" s="5">
        <f>SUM(N4:Q4)+AD4</f>
        <v>0</v>
      </c>
      <c r="S6" s="5">
        <f>B234*C23*B23</f>
        <v>0</v>
      </c>
      <c r="T6" s="5">
        <f>B244*B23*C23</f>
        <v>0</v>
      </c>
      <c r="U6" s="5">
        <f>S4+T4</f>
        <v>0</v>
      </c>
      <c r="V6" s="5">
        <f>M4+R4+U4+W6</f>
        <v>0</v>
      </c>
      <c r="W6" s="5">
        <f>B28*B23*C23</f>
        <v>0</v>
      </c>
      <c r="X6" s="5">
        <f>(C41+D41+F41+G41+C143+D143+E143+F143+C207)*C23*B23+M41*C23*B23/2</f>
        <v>7.4057798837699997E+27</v>
      </c>
      <c r="Y6" s="5">
        <f>X6/10^12*2</f>
        <v>1.481155976754E+16</v>
      </c>
      <c r="Z6" s="5">
        <f>Y6/B19</f>
        <v>413.94579388443685</v>
      </c>
      <c r="AA6" s="34">
        <f>Z6/Inputs!M14</f>
        <v>413.94579388443685</v>
      </c>
      <c r="AB6" s="5">
        <f>Inputs!H28*8/Inputs!B7/1000000000000</f>
        <v>1857.9456</v>
      </c>
      <c r="AC6" s="5">
        <f>B23*C23*B268</f>
        <v>0</v>
      </c>
      <c r="AD6" s="5">
        <f>B23*C23*B277</f>
        <v>0</v>
      </c>
      <c r="AE6" s="5">
        <f>C23*B41*(M41/2)*_xlfn.CEILING.MATH(MAX(G53:H53)/I53)</f>
        <v>0</v>
      </c>
      <c r="AF6" s="5">
        <f>AC4+AD4</f>
        <v>0</v>
      </c>
    </row>
    <row r="7" spans="1:40" ht="15.75" thickBot="1" x14ac:dyDescent="0.3">
      <c r="A7" s="18" t="s">
        <v>61</v>
      </c>
    </row>
    <row r="8" spans="1:40" s="109" customFormat="1" ht="46.5" customHeight="1" x14ac:dyDescent="0.25">
      <c r="A8" s="109" t="s">
        <v>212</v>
      </c>
      <c r="AM8" s="201"/>
      <c r="AN8" s="201"/>
    </row>
    <row r="9" spans="1:40" ht="20.100000000000001" customHeight="1" x14ac:dyDescent="0.35">
      <c r="A9" s="17" t="s">
        <v>213</v>
      </c>
      <c r="B9" s="22">
        <f>MAX(B13,C13)+D13</f>
        <v>35781399367654.914</v>
      </c>
      <c r="C9" s="23"/>
      <c r="D9" s="36"/>
      <c r="E9" s="23"/>
      <c r="F9" s="37"/>
    </row>
    <row r="10" spans="1:40" x14ac:dyDescent="0.25">
      <c r="A10" s="18" t="s">
        <v>125</v>
      </c>
      <c r="B10" s="18" t="s">
        <v>214</v>
      </c>
    </row>
    <row r="11" spans="1:40" s="24" customFormat="1" ht="61.5" customHeight="1" x14ac:dyDescent="0.35">
      <c r="A11" s="24" t="s">
        <v>9</v>
      </c>
      <c r="B11" s="25" t="s">
        <v>215</v>
      </c>
      <c r="C11" s="25" t="s">
        <v>216</v>
      </c>
      <c r="D11" s="25" t="s">
        <v>217</v>
      </c>
      <c r="F11" s="18"/>
      <c r="G11" s="18"/>
      <c r="H11" s="18"/>
      <c r="I11" s="18"/>
      <c r="J11" s="18"/>
      <c r="L11" s="203"/>
      <c r="M11" s="203"/>
      <c r="N11" s="203"/>
      <c r="O11" s="70"/>
      <c r="P11" s="70"/>
    </row>
    <row r="12" spans="1:40" ht="21.75" customHeight="1" x14ac:dyDescent="0.35">
      <c r="A12" s="18" t="s">
        <v>56</v>
      </c>
      <c r="B12" s="16" t="s">
        <v>2</v>
      </c>
      <c r="C12" s="16" t="s">
        <v>1</v>
      </c>
      <c r="D12" s="16" t="s">
        <v>1</v>
      </c>
      <c r="L12" s="203"/>
      <c r="M12" s="203"/>
      <c r="N12" s="203"/>
    </row>
    <row r="13" spans="1:40" s="17" customFormat="1" ht="21" customHeight="1" x14ac:dyDescent="0.35">
      <c r="A13" t="s">
        <v>57</v>
      </c>
      <c r="B13" s="17">
        <f>IF(B12=Inputs!$C$1,B14,B15)</f>
        <v>35781399367654.914</v>
      </c>
      <c r="C13" s="17">
        <f>IF(C12=Inputs!$C$1,C14,C15)</f>
        <v>0</v>
      </c>
      <c r="D13" s="17">
        <f>IF(D12=Inputs!$C$1,D14,D15)</f>
        <v>0</v>
      </c>
    </row>
    <row r="14" spans="1:40" ht="17.25" x14ac:dyDescent="0.35">
      <c r="A14" s="18" t="s">
        <v>58</v>
      </c>
      <c r="B14" s="15"/>
      <c r="C14" s="15">
        <v>0</v>
      </c>
      <c r="D14" s="15">
        <v>0</v>
      </c>
    </row>
    <row r="15" spans="1:40" ht="17.25" x14ac:dyDescent="0.35">
      <c r="A15" s="18" t="s">
        <v>218</v>
      </c>
      <c r="B15" s="5">
        <f>B19</f>
        <v>35781399367654.914</v>
      </c>
      <c r="C15" s="5" t="s">
        <v>219</v>
      </c>
      <c r="D15" s="5" t="s">
        <v>220</v>
      </c>
    </row>
    <row r="16" spans="1:40" x14ac:dyDescent="0.25">
      <c r="A16" s="18" t="s">
        <v>61</v>
      </c>
      <c r="C16" s="18" t="s">
        <v>221</v>
      </c>
    </row>
    <row r="17" spans="1:42" x14ac:dyDescent="0.25">
      <c r="AO17" s="71"/>
      <c r="AP17" s="71"/>
    </row>
    <row r="18" spans="1:42" s="110" customFormat="1" ht="81.599999999999994" customHeight="1" x14ac:dyDescent="0.25">
      <c r="A18" s="110" t="s">
        <v>222</v>
      </c>
    </row>
    <row r="19" spans="1:42" ht="17.25" x14ac:dyDescent="0.35">
      <c r="A19" s="27" t="s">
        <v>223</v>
      </c>
      <c r="B19" s="17">
        <f>B23*C23*((D23+F23+H23)/(Inputs!J14*Inputs!K14*Inputs!L14)+E23+J23+G23+K23)</f>
        <v>35781399367654.914</v>
      </c>
    </row>
    <row r="20" spans="1:42" x14ac:dyDescent="0.25">
      <c r="A20" s="18" t="s">
        <v>125</v>
      </c>
      <c r="B20" s="18" t="s">
        <v>224</v>
      </c>
    </row>
    <row r="21" spans="1:42" s="19" customFormat="1" ht="51.75" x14ac:dyDescent="0.25">
      <c r="A21" s="24" t="s">
        <v>9</v>
      </c>
      <c r="B21" s="28" t="s">
        <v>21</v>
      </c>
      <c r="C21" s="28" t="s">
        <v>225</v>
      </c>
      <c r="D21" s="28" t="s">
        <v>226</v>
      </c>
      <c r="E21" s="28" t="s">
        <v>227</v>
      </c>
      <c r="F21" s="28" t="s">
        <v>228</v>
      </c>
      <c r="G21" s="29" t="s">
        <v>229</v>
      </c>
      <c r="H21" s="29" t="s">
        <v>230</v>
      </c>
      <c r="I21" s="29" t="s">
        <v>231</v>
      </c>
      <c r="J21" s="29" t="s">
        <v>232</v>
      </c>
      <c r="K21" s="29" t="s">
        <v>233</v>
      </c>
      <c r="L21" s="29" t="s">
        <v>234</v>
      </c>
      <c r="M21" s="29" t="s">
        <v>235</v>
      </c>
      <c r="N21" s="29" t="s">
        <v>236</v>
      </c>
    </row>
    <row r="22" spans="1:42" ht="17.25" x14ac:dyDescent="0.35">
      <c r="A22" s="18" t="s">
        <v>56</v>
      </c>
      <c r="B22" s="16" t="s">
        <v>2</v>
      </c>
      <c r="C22" s="16" t="s">
        <v>2</v>
      </c>
      <c r="D22" s="16" t="s">
        <v>2</v>
      </c>
      <c r="E22" s="16" t="s">
        <v>2</v>
      </c>
      <c r="F22" s="16" t="s">
        <v>2</v>
      </c>
      <c r="G22" s="16" t="s">
        <v>2</v>
      </c>
      <c r="H22" s="16" t="s">
        <v>2</v>
      </c>
      <c r="I22" s="16" t="s">
        <v>2</v>
      </c>
      <c r="J22" s="16" t="s">
        <v>2</v>
      </c>
      <c r="K22" s="16" t="s">
        <v>2</v>
      </c>
      <c r="L22" s="16" t="s">
        <v>2</v>
      </c>
      <c r="M22" s="16" t="s">
        <v>2</v>
      </c>
      <c r="N22" s="16" t="s">
        <v>2</v>
      </c>
    </row>
    <row r="23" spans="1:42" s="17" customFormat="1" ht="17.25" x14ac:dyDescent="0.35">
      <c r="A23" t="s">
        <v>57</v>
      </c>
      <c r="B23" s="73">
        <f>IF(B22=Inputs!$C$1,B24,B25)</f>
        <v>7152557.373046875</v>
      </c>
      <c r="C23" s="73">
        <f>IF(C22=Inputs!$C$1,C24,C25)</f>
        <v>480</v>
      </c>
      <c r="D23" s="17">
        <f>IF(D22=Inputs!$C$1,D24,D25)</f>
        <v>2978.3193350077872</v>
      </c>
      <c r="E23" s="17">
        <f>IF(E22=Inputs!$C$1,E24,E25)</f>
        <v>0</v>
      </c>
      <c r="F23" s="17">
        <f>IF(F22=Inputs!$C$1,F24,F25)</f>
        <v>5955.2855222822418</v>
      </c>
      <c r="G23" s="17">
        <f>IF(G22=Inputs!$C$1,G24,G25)</f>
        <v>0</v>
      </c>
      <c r="H23" s="17">
        <f>IF(H22=Inputs!$C$1,H24,H25)</f>
        <v>1488.4830936372271</v>
      </c>
      <c r="I23" s="73">
        <f>IF(I22=Inputs!$C$1,I24,I25)</f>
        <v>1</v>
      </c>
      <c r="J23" s="73">
        <f>IF(J22=Inputs!$C$1,J24,J25)</f>
        <v>0</v>
      </c>
      <c r="K23" s="73">
        <f>IF(K22=Inputs!$C$1,K24,K25)</f>
        <v>0</v>
      </c>
      <c r="L23" s="17">
        <f>IF(L22=Inputs!$C$1,L24,L25)</f>
        <v>1</v>
      </c>
      <c r="M23" s="17">
        <f>IF(M22=Inputs!$C$1,M24,M25)</f>
        <v>1</v>
      </c>
      <c r="N23" s="17">
        <f>IF(N22=Inputs!$C$1,N24,N25)</f>
        <v>1</v>
      </c>
      <c r="O23"/>
      <c r="P23"/>
      <c r="Q23"/>
      <c r="R23"/>
      <c r="S23"/>
    </row>
    <row r="24" spans="1:42" ht="17.25" x14ac:dyDescent="0.35">
      <c r="A24" s="18" t="s">
        <v>58</v>
      </c>
      <c r="B24" s="35"/>
      <c r="C24" s="35"/>
      <c r="D24" s="16"/>
      <c r="E24" s="16"/>
      <c r="F24" s="16"/>
      <c r="G24" s="16"/>
      <c r="H24" s="16"/>
      <c r="I24" s="35"/>
      <c r="J24" s="16">
        <v>0</v>
      </c>
      <c r="K24" s="16"/>
      <c r="L24" s="16"/>
      <c r="M24" s="16"/>
      <c r="N24" s="16"/>
    </row>
    <row r="25" spans="1:42" ht="17.25" x14ac:dyDescent="0.35">
      <c r="A25" s="18" t="s">
        <v>59</v>
      </c>
      <c r="B25" s="5">
        <f>Inputs!M7</f>
        <v>7152557.373046875</v>
      </c>
      <c r="C25" s="5">
        <f>Inputs!N7</f>
        <v>480</v>
      </c>
      <c r="D25" s="5">
        <f>B37</f>
        <v>2978.3193350077872</v>
      </c>
      <c r="E25" s="5">
        <f>B81</f>
        <v>0</v>
      </c>
      <c r="F25" s="5">
        <f>B139</f>
        <v>5955.2855222822418</v>
      </c>
      <c r="G25" s="5">
        <f>B150</f>
        <v>0</v>
      </c>
      <c r="H25" s="5">
        <f>B203</f>
        <v>1488.4830936372271</v>
      </c>
      <c r="I25" s="34">
        <f>Inputs!J14</f>
        <v>1</v>
      </c>
      <c r="J25" s="5">
        <f>B226</f>
        <v>0</v>
      </c>
      <c r="K25" s="5">
        <f>B28</f>
        <v>0</v>
      </c>
      <c r="L25" s="5">
        <f>Inputs!B14</f>
        <v>1</v>
      </c>
      <c r="M25" s="5">
        <f>Inputs!L14</f>
        <v>1</v>
      </c>
      <c r="N25" s="5">
        <f>Inputs!K14</f>
        <v>1</v>
      </c>
    </row>
    <row r="26" spans="1:42" x14ac:dyDescent="0.25">
      <c r="A26" s="18" t="s">
        <v>61</v>
      </c>
    </row>
    <row r="27" spans="1:42" s="110" customFormat="1" ht="81.599999999999994" customHeight="1" x14ac:dyDescent="0.25">
      <c r="A27" s="111" t="s">
        <v>237</v>
      </c>
    </row>
    <row r="28" spans="1:42" ht="17.25" x14ac:dyDescent="0.35">
      <c r="A28" s="27" t="s">
        <v>238</v>
      </c>
      <c r="B28" s="17">
        <f>B32*(Inputs!L14-1)*((D23+F23)/(Inputs!J14*Inputs!K14*Inputs!L14*Inputs!N7)+E23+G23)/Inputs!B14</f>
        <v>0</v>
      </c>
    </row>
    <row r="29" spans="1:42" x14ac:dyDescent="0.25">
      <c r="A29" s="18" t="s">
        <v>125</v>
      </c>
      <c r="B29" s="18" t="s">
        <v>239</v>
      </c>
    </row>
    <row r="30" spans="1:42" s="19" customFormat="1" ht="51.75" x14ac:dyDescent="0.25">
      <c r="A30" s="24" t="s">
        <v>9</v>
      </c>
      <c r="B30" s="28" t="s">
        <v>240</v>
      </c>
      <c r="C30"/>
      <c r="D30"/>
      <c r="E30"/>
      <c r="F30"/>
      <c r="G30"/>
      <c r="H30"/>
      <c r="I30"/>
      <c r="J30"/>
      <c r="K30"/>
      <c r="L30"/>
      <c r="M30"/>
    </row>
    <row r="31" spans="1:42" ht="17.25" x14ac:dyDescent="0.35">
      <c r="A31" s="18" t="s">
        <v>56</v>
      </c>
      <c r="B31" s="16" t="s">
        <v>1</v>
      </c>
      <c r="C31"/>
      <c r="D31"/>
      <c r="E31"/>
      <c r="F31"/>
      <c r="G31"/>
      <c r="H31"/>
      <c r="I31"/>
      <c r="J31"/>
      <c r="K31"/>
      <c r="L31"/>
      <c r="M31"/>
    </row>
    <row r="32" spans="1:42" s="17" customFormat="1" ht="17.25" x14ac:dyDescent="0.35">
      <c r="A32" t="s">
        <v>57</v>
      </c>
      <c r="B32" s="128">
        <f>IF(B31=Inputs!$C$1,B33,B34)</f>
        <v>1</v>
      </c>
      <c r="C32"/>
      <c r="D32"/>
      <c r="E32"/>
      <c r="F32"/>
      <c r="G32"/>
      <c r="H32"/>
      <c r="I32"/>
      <c r="J32"/>
      <c r="K32"/>
      <c r="L32"/>
      <c r="M32"/>
      <c r="N32"/>
      <c r="O32"/>
      <c r="P32"/>
      <c r="Q32"/>
      <c r="R32"/>
    </row>
    <row r="33" spans="1:14" ht="17.25" x14ac:dyDescent="0.35">
      <c r="A33" s="18" t="s">
        <v>58</v>
      </c>
      <c r="B33" s="98">
        <v>1</v>
      </c>
      <c r="C33"/>
      <c r="D33"/>
      <c r="E33"/>
      <c r="F33"/>
      <c r="G33"/>
      <c r="H33"/>
      <c r="I33"/>
      <c r="J33"/>
      <c r="K33"/>
      <c r="L33"/>
      <c r="M33"/>
    </row>
    <row r="34" spans="1:14" ht="17.25" x14ac:dyDescent="0.35">
      <c r="A34" s="18" t="s">
        <v>59</v>
      </c>
      <c r="B34" s="99"/>
      <c r="C34"/>
      <c r="D34"/>
      <c r="E34"/>
      <c r="F34"/>
      <c r="G34"/>
      <c r="H34"/>
      <c r="I34"/>
      <c r="J34"/>
      <c r="K34"/>
      <c r="L34"/>
      <c r="M34"/>
    </row>
    <row r="35" spans="1:14" x14ac:dyDescent="0.25">
      <c r="A35" s="18" t="s">
        <v>61</v>
      </c>
      <c r="C35"/>
      <c r="D35"/>
      <c r="E35"/>
      <c r="F35"/>
      <c r="G35"/>
      <c r="H35"/>
      <c r="I35"/>
      <c r="J35"/>
      <c r="K35"/>
      <c r="L35"/>
      <c r="M35"/>
    </row>
    <row r="36" spans="1:14" s="110" customFormat="1" ht="103.5" customHeight="1" x14ac:dyDescent="0.25">
      <c r="A36" s="111" t="s">
        <v>241</v>
      </c>
    </row>
    <row r="37" spans="1:14" ht="17.25" x14ac:dyDescent="0.35">
      <c r="A37" s="27" t="s">
        <v>242</v>
      </c>
      <c r="B37" s="17">
        <f>B41*(C41+D41+M41/2+N41)*_xlfn.CEILING.MATH(MAX(G53:H53)/I53)+E41*(F41+G41)*_xlfn.CEILING.MATH(Inputs!C7/G73)</f>
        <v>2978.3193350077872</v>
      </c>
    </row>
    <row r="38" spans="1:14" x14ac:dyDescent="0.25">
      <c r="A38" s="18" t="s">
        <v>125</v>
      </c>
      <c r="D38" s="30"/>
    </row>
    <row r="39" spans="1:14" s="19" customFormat="1" ht="69" x14ac:dyDescent="0.25">
      <c r="A39" s="24" t="s">
        <v>9</v>
      </c>
      <c r="B39" s="28" t="s">
        <v>243</v>
      </c>
      <c r="C39" s="28" t="s">
        <v>244</v>
      </c>
      <c r="D39" s="28" t="s">
        <v>245</v>
      </c>
      <c r="E39" s="28" t="s">
        <v>246</v>
      </c>
      <c r="F39" s="28" t="s">
        <v>247</v>
      </c>
      <c r="G39" s="28" t="s">
        <v>248</v>
      </c>
      <c r="H39" s="28" t="s">
        <v>249</v>
      </c>
      <c r="I39" s="28" t="s">
        <v>250</v>
      </c>
      <c r="J39" s="28" t="s">
        <v>251</v>
      </c>
      <c r="K39" s="28" t="s">
        <v>252</v>
      </c>
      <c r="L39" s="28" t="s">
        <v>253</v>
      </c>
      <c r="M39" s="28" t="s">
        <v>254</v>
      </c>
      <c r="N39" s="28" t="s">
        <v>1001</v>
      </c>
    </row>
    <row r="40" spans="1:14" ht="21.75" customHeight="1" x14ac:dyDescent="0.35">
      <c r="A40" s="18" t="s">
        <v>56</v>
      </c>
      <c r="B40" s="16" t="s">
        <v>2</v>
      </c>
      <c r="C40" s="16" t="s">
        <v>2</v>
      </c>
      <c r="D40" s="16" t="s">
        <v>2</v>
      </c>
      <c r="E40" s="16" t="s">
        <v>2</v>
      </c>
      <c r="F40" s="16" t="s">
        <v>2</v>
      </c>
      <c r="G40" s="16" t="s">
        <v>2</v>
      </c>
      <c r="H40" s="16" t="s">
        <v>2</v>
      </c>
      <c r="I40" s="16" t="s">
        <v>2</v>
      </c>
      <c r="J40" s="16" t="s">
        <v>1</v>
      </c>
      <c r="K40" s="16" t="s">
        <v>2</v>
      </c>
      <c r="L40" s="16" t="s">
        <v>2</v>
      </c>
      <c r="M40" s="16" t="s">
        <v>2</v>
      </c>
      <c r="N40" s="16" t="s">
        <v>2</v>
      </c>
    </row>
    <row r="41" spans="1:14" s="17" customFormat="1" ht="17.25" x14ac:dyDescent="0.35">
      <c r="A41" t="s">
        <v>57</v>
      </c>
      <c r="B41" s="17">
        <f>IF(B40=Inputs!$C$1,B42,B43)</f>
        <v>2.0701111195902864E-15</v>
      </c>
      <c r="C41" s="17">
        <f>IF(C40=Inputs!$C$1,C42,C43)</f>
        <v>2.566809895043072E+17</v>
      </c>
      <c r="D41" s="17">
        <f>IF(D40=Inputs!$C$1,D42,D43)</f>
        <v>4.62344639479808E+17</v>
      </c>
      <c r="E41" s="17">
        <f>IF(E40=Inputs!$C$1,E42,E43)</f>
        <v>4.3402777777777776E-13</v>
      </c>
      <c r="F41" s="17">
        <f>IF(F40=Inputs!$C$1,F42,F43)</f>
        <v>1556925644799.9998</v>
      </c>
      <c r="G41" s="17">
        <f>IF(G40=Inputs!$C$1,G42,G43)</f>
        <v>1900544000</v>
      </c>
      <c r="H41" s="73">
        <f>IF(H40=Inputs!$C$1,H42,H43)</f>
        <v>16</v>
      </c>
      <c r="I41" s="73">
        <f>IF(I40=Inputs!$C$1,I42,I43)</f>
        <v>16</v>
      </c>
      <c r="J41" s="73">
        <f>IF(J40=Inputs!$C$1,J42,J43)</f>
        <v>8</v>
      </c>
      <c r="K41" s="73">
        <f>IF(K40=Inputs!$C$1,K42,K43)</f>
        <v>16</v>
      </c>
      <c r="L41" s="73">
        <f>IF(L40=Inputs!$C$1,L42,L43)</f>
        <v>16</v>
      </c>
      <c r="M41" s="73">
        <f>IF(M40=Inputs!$C$1,M42,M43)</f>
        <v>0</v>
      </c>
      <c r="N41" s="73">
        <f>IF(N40=Inputs!$C$1,N42,N43)</f>
        <v>9730785280000</v>
      </c>
    </row>
    <row r="42" spans="1:14" ht="17.25" x14ac:dyDescent="0.35">
      <c r="A42" s="18" t="s">
        <v>58</v>
      </c>
      <c r="B42" s="16">
        <v>1.0000000000000001E-15</v>
      </c>
      <c r="C42" s="16">
        <v>528000000000000</v>
      </c>
      <c r="D42" s="16">
        <v>880000000000000</v>
      </c>
      <c r="E42" s="16"/>
      <c r="F42" s="16"/>
      <c r="G42" s="16"/>
      <c r="H42" s="16"/>
      <c r="I42" s="16"/>
      <c r="J42" s="16">
        <v>8</v>
      </c>
      <c r="K42" s="16"/>
      <c r="L42" s="16"/>
      <c r="M42" s="16"/>
      <c r="N42" s="16"/>
    </row>
    <row r="43" spans="1:14" ht="17.25" x14ac:dyDescent="0.35">
      <c r="A43" s="18" t="s">
        <v>59</v>
      </c>
      <c r="B43" s="5">
        <f>B49</f>
        <v>2.0701111195902864E-15</v>
      </c>
      <c r="C43" s="5">
        <f>Inputs!Y7</f>
        <v>2.566809895043072E+17</v>
      </c>
      <c r="D43" s="5">
        <f>Inputs!Z7</f>
        <v>4.62344639479808E+17</v>
      </c>
      <c r="E43" s="5">
        <f>B69</f>
        <v>4.3402777777777776E-13</v>
      </c>
      <c r="F43" s="5">
        <f>Inputs!AA7</f>
        <v>1556925644799.9998</v>
      </c>
      <c r="G43" s="5">
        <f>Inputs!AB7</f>
        <v>1900544000</v>
      </c>
      <c r="H43" s="6">
        <f>Inputs!B7</f>
        <v>16</v>
      </c>
      <c r="I43" s="6">
        <f>Inputs!B7</f>
        <v>16</v>
      </c>
      <c r="J43" s="6"/>
      <c r="K43" s="6">
        <f>Inputs!C7</f>
        <v>16</v>
      </c>
      <c r="L43" s="6">
        <f>Inputs!C7</f>
        <v>16</v>
      </c>
      <c r="M43" s="6">
        <f>Inputs!AT7</f>
        <v>0</v>
      </c>
      <c r="N43" s="6">
        <f>Inputs!AZ7</f>
        <v>9730785280000</v>
      </c>
    </row>
    <row r="44" spans="1:14" x14ac:dyDescent="0.25">
      <c r="A44" s="18" t="s">
        <v>61</v>
      </c>
      <c r="B44" s="139" t="s">
        <v>255</v>
      </c>
    </row>
    <row r="47" spans="1:14" s="50" customFormat="1" x14ac:dyDescent="0.25"/>
    <row r="48" spans="1:14" s="110" customFormat="1" ht="49.5" x14ac:dyDescent="0.25">
      <c r="A48" s="111" t="s">
        <v>256</v>
      </c>
    </row>
    <row r="49" spans="1:11" ht="17.25" x14ac:dyDescent="0.35">
      <c r="A49" s="27" t="s">
        <v>257</v>
      </c>
      <c r="B49" s="17">
        <f>1/(B53*C53*D53*E53*F53)</f>
        <v>2.0701111195902864E-15</v>
      </c>
      <c r="C49" s="18">
        <f>1/B49</f>
        <v>483065856000000</v>
      </c>
    </row>
    <row r="50" spans="1:11" x14ac:dyDescent="0.25">
      <c r="A50" s="18" t="s">
        <v>125</v>
      </c>
    </row>
    <row r="51" spans="1:11" s="19" customFormat="1" ht="69" x14ac:dyDescent="0.25">
      <c r="A51" s="24" t="s">
        <v>9</v>
      </c>
      <c r="B51" s="28" t="s">
        <v>96</v>
      </c>
      <c r="C51" s="28" t="s">
        <v>97</v>
      </c>
      <c r="D51" s="28" t="s">
        <v>98</v>
      </c>
      <c r="E51" s="28" t="s">
        <v>258</v>
      </c>
      <c r="F51" s="28" t="s">
        <v>259</v>
      </c>
      <c r="G51" s="28" t="s">
        <v>249</v>
      </c>
      <c r="H51" s="28" t="s">
        <v>250</v>
      </c>
      <c r="I51" s="28" t="s">
        <v>251</v>
      </c>
      <c r="J51" s="28" t="s">
        <v>252</v>
      </c>
      <c r="K51" s="28" t="s">
        <v>253</v>
      </c>
    </row>
    <row r="52" spans="1:11" ht="17.25" x14ac:dyDescent="0.35">
      <c r="A52" s="18" t="s">
        <v>56</v>
      </c>
      <c r="B52" s="16" t="s">
        <v>2</v>
      </c>
      <c r="C52" s="16" t="s">
        <v>2</v>
      </c>
      <c r="D52" s="16" t="s">
        <v>2</v>
      </c>
      <c r="E52" s="16" t="s">
        <v>1</v>
      </c>
      <c r="F52" s="16" t="s">
        <v>2</v>
      </c>
      <c r="G52" s="16" t="s">
        <v>2</v>
      </c>
      <c r="H52" s="16" t="s">
        <v>2</v>
      </c>
      <c r="I52" s="16" t="s">
        <v>1</v>
      </c>
      <c r="J52" s="16" t="s">
        <v>2</v>
      </c>
      <c r="K52" s="16" t="s">
        <v>2</v>
      </c>
    </row>
    <row r="53" spans="1:11" s="17" customFormat="1" ht="17.25" x14ac:dyDescent="0.35">
      <c r="A53" t="s">
        <v>57</v>
      </c>
      <c r="B53" s="17">
        <f>IF(B52=Inputs!$C$1,B54,B55)</f>
        <v>1800000000</v>
      </c>
      <c r="C53" s="73">
        <f>IF(C52=Inputs!$C$1,C54,C55)</f>
        <v>252</v>
      </c>
      <c r="D53" s="73">
        <f>IF(D52=Inputs!$C$1,D54,D55)</f>
        <v>4</v>
      </c>
      <c r="E53" s="106">
        <f>IF(E52=Inputs!$C$1,E54,E55)</f>
        <v>0.26</v>
      </c>
      <c r="F53" s="73">
        <f>IF(F52=Inputs!$C$1,F54,F55)</f>
        <v>1024</v>
      </c>
      <c r="G53" s="73">
        <f>IF(G52=Inputs!$C$1,G54,G55)</f>
        <v>16</v>
      </c>
      <c r="H53" s="73">
        <f>IF(H52=Inputs!$C$1,H54,H55)</f>
        <v>16</v>
      </c>
      <c r="I53" s="73">
        <f>IF(I52=Inputs!$C$1,I54,I55)</f>
        <v>8</v>
      </c>
      <c r="J53" s="73">
        <f>IF(J52=Inputs!$C$1,J54,J55)</f>
        <v>16</v>
      </c>
      <c r="K53" s="73">
        <f>IF(K52=Inputs!$C$1,K54,K55)</f>
        <v>16</v>
      </c>
    </row>
    <row r="54" spans="1:11" ht="17.25" x14ac:dyDescent="0.35">
      <c r="A54" s="18" t="s">
        <v>58</v>
      </c>
      <c r="B54" s="16"/>
      <c r="C54" s="35"/>
      <c r="D54" s="35"/>
      <c r="E54" s="98">
        <v>0.26</v>
      </c>
      <c r="F54" s="35"/>
      <c r="G54" s="16"/>
      <c r="H54" s="16"/>
      <c r="I54" s="16">
        <v>8</v>
      </c>
      <c r="J54" s="16"/>
      <c r="K54" s="16"/>
    </row>
    <row r="55" spans="1:11" ht="17.25" x14ac:dyDescent="0.35">
      <c r="A55" s="18" t="s">
        <v>59</v>
      </c>
      <c r="B55" s="5">
        <f>Inputs!B28</f>
        <v>1800000000</v>
      </c>
      <c r="C55" s="5">
        <f>Inputs!C28</f>
        <v>252</v>
      </c>
      <c r="D55" s="5">
        <f>Inputs!D28</f>
        <v>4</v>
      </c>
      <c r="E55" s="99">
        <f>B59</f>
        <v>0.91</v>
      </c>
      <c r="F55" s="5">
        <f>Inputs!E28</f>
        <v>1024</v>
      </c>
      <c r="G55" s="6">
        <f>Inputs!B7</f>
        <v>16</v>
      </c>
      <c r="H55" s="6">
        <f>Inputs!B7</f>
        <v>16</v>
      </c>
      <c r="I55" s="6"/>
      <c r="J55" s="6">
        <f>Inputs!C7</f>
        <v>16</v>
      </c>
      <c r="K55" s="6">
        <f>Inputs!C7</f>
        <v>16</v>
      </c>
    </row>
    <row r="56" spans="1:11" x14ac:dyDescent="0.25">
      <c r="A56" s="18" t="s">
        <v>61</v>
      </c>
      <c r="I56" s="18" t="s">
        <v>260</v>
      </c>
    </row>
    <row r="58" spans="1:11" s="110" customFormat="1" ht="72.95" customHeight="1" x14ac:dyDescent="0.25">
      <c r="A58" s="111" t="s">
        <v>261</v>
      </c>
    </row>
    <row r="59" spans="1:11" ht="17.25" x14ac:dyDescent="0.35">
      <c r="A59" s="27" t="s">
        <v>262</v>
      </c>
      <c r="B59" s="100">
        <f>IF(C63&gt;0.25, IF(B63&lt;2048, C63,0.91),0.25)</f>
        <v>0.91</v>
      </c>
    </row>
    <row r="60" spans="1:11" x14ac:dyDescent="0.25">
      <c r="A60" s="18" t="s">
        <v>125</v>
      </c>
      <c r="B60" s="18" t="s">
        <v>263</v>
      </c>
    </row>
    <row r="61" spans="1:11" s="19" customFormat="1" ht="17.25" x14ac:dyDescent="0.25">
      <c r="A61" s="24" t="s">
        <v>9</v>
      </c>
      <c r="B61" s="28" t="s">
        <v>264</v>
      </c>
      <c r="C61" s="28" t="s">
        <v>980</v>
      </c>
    </row>
    <row r="62" spans="1:11" ht="17.25" x14ac:dyDescent="0.35">
      <c r="A62" s="18" t="s">
        <v>56</v>
      </c>
      <c r="B62" s="16" t="s">
        <v>2</v>
      </c>
      <c r="C62" s="16" t="s">
        <v>1</v>
      </c>
    </row>
    <row r="63" spans="1:11" s="17" customFormat="1" ht="17.25" x14ac:dyDescent="0.35">
      <c r="A63" t="s">
        <v>57</v>
      </c>
      <c r="B63" s="73">
        <f>IF(B62=Inputs!$C$1,B64,B65)</f>
        <v>5120</v>
      </c>
      <c r="C63" s="73">
        <f>IF(C62=Inputs!$C$1,C64,C65)</f>
        <v>0.26</v>
      </c>
    </row>
    <row r="64" spans="1:11" ht="17.25" x14ac:dyDescent="0.35">
      <c r="A64" s="18" t="s">
        <v>58</v>
      </c>
      <c r="B64" s="35">
        <v>96</v>
      </c>
      <c r="C64" s="35">
        <v>0.26</v>
      </c>
    </row>
    <row r="65" spans="1:7" ht="17.25" x14ac:dyDescent="0.35">
      <c r="A65" s="18" t="s">
        <v>59</v>
      </c>
      <c r="B65" s="38">
        <f>IF(Inputs!L14=1, Inputs!F7, Inputs!G7)</f>
        <v>5120</v>
      </c>
      <c r="C65" s="188">
        <f>0.980445/(1+(34.445/B63))</f>
        <v>0.97389309615293218</v>
      </c>
    </row>
    <row r="66" spans="1:7" x14ac:dyDescent="0.25">
      <c r="A66" s="18" t="s">
        <v>61</v>
      </c>
    </row>
    <row r="68" spans="1:7" s="110" customFormat="1" ht="46.5" customHeight="1" x14ac:dyDescent="0.25">
      <c r="A68" s="111" t="s">
        <v>265</v>
      </c>
    </row>
    <row r="69" spans="1:7" ht="17.25" x14ac:dyDescent="0.35">
      <c r="A69" s="27" t="s">
        <v>266</v>
      </c>
      <c r="B69" s="17">
        <f>1/(B73*C73*D73)</f>
        <v>4.3402777777777776E-13</v>
      </c>
    </row>
    <row r="70" spans="1:7" x14ac:dyDescent="0.25">
      <c r="A70" s="18" t="s">
        <v>125</v>
      </c>
    </row>
    <row r="71" spans="1:7" s="19" customFormat="1" ht="51.75" x14ac:dyDescent="0.25">
      <c r="A71" s="24" t="s">
        <v>9</v>
      </c>
      <c r="B71" s="28" t="s">
        <v>96</v>
      </c>
      <c r="C71" s="28" t="s">
        <v>267</v>
      </c>
      <c r="D71" s="28" t="s">
        <v>268</v>
      </c>
      <c r="E71" s="28" t="s">
        <v>269</v>
      </c>
      <c r="F71" s="28" t="s">
        <v>270</v>
      </c>
      <c r="G71" s="28" t="s">
        <v>271</v>
      </c>
    </row>
    <row r="72" spans="1:7" ht="17.25" x14ac:dyDescent="0.35">
      <c r="A72" s="18" t="s">
        <v>56</v>
      </c>
      <c r="B72" s="16" t="s">
        <v>2</v>
      </c>
      <c r="C72" s="16" t="s">
        <v>2</v>
      </c>
      <c r="D72" s="16" t="s">
        <v>2</v>
      </c>
      <c r="E72" s="16" t="s">
        <v>2</v>
      </c>
      <c r="F72" s="16" t="s">
        <v>2</v>
      </c>
      <c r="G72" s="16" t="s">
        <v>1</v>
      </c>
    </row>
    <row r="73" spans="1:7" s="17" customFormat="1" ht="17.25" x14ac:dyDescent="0.35">
      <c r="A73" t="s">
        <v>57</v>
      </c>
      <c r="B73" s="17">
        <f>IF(B72=Inputs!$C$1,B74,B75)</f>
        <v>1800000000</v>
      </c>
      <c r="C73" s="73">
        <f>IF(C72=Inputs!$C$1,C74,C75)</f>
        <v>320</v>
      </c>
      <c r="D73" s="73">
        <f>IF(D72=Inputs!$C$1,D74,D75)</f>
        <v>4</v>
      </c>
      <c r="E73" s="73">
        <f>IF(E72=Inputs!$C$1,E74,E75)</f>
        <v>16</v>
      </c>
      <c r="F73" s="73">
        <f>IF(F72=Inputs!$C$1,F74,F75)</f>
        <v>16</v>
      </c>
      <c r="G73" s="73">
        <f>IF(G72=Inputs!$C$1,G74,G75)</f>
        <v>8</v>
      </c>
    </row>
    <row r="74" spans="1:7" ht="17.25" x14ac:dyDescent="0.35">
      <c r="A74" s="18" t="s">
        <v>58</v>
      </c>
      <c r="B74" s="16"/>
      <c r="C74" s="3"/>
      <c r="D74" s="3"/>
      <c r="E74" s="35"/>
      <c r="F74" s="35"/>
      <c r="G74" s="16">
        <v>8</v>
      </c>
    </row>
    <row r="75" spans="1:7" ht="17.25" x14ac:dyDescent="0.35">
      <c r="A75" s="18" t="s">
        <v>59</v>
      </c>
      <c r="B75" s="5">
        <f>Inputs!B28</f>
        <v>1800000000</v>
      </c>
      <c r="C75" s="38">
        <f>Inputs!I28</f>
        <v>320</v>
      </c>
      <c r="D75" s="38">
        <f>Inputs!J28</f>
        <v>4</v>
      </c>
      <c r="E75" s="38">
        <f>Inputs!B7</f>
        <v>16</v>
      </c>
      <c r="F75" s="38">
        <f>Inputs!B7</f>
        <v>16</v>
      </c>
      <c r="G75" s="5"/>
    </row>
    <row r="76" spans="1:7" x14ac:dyDescent="0.25">
      <c r="A76" s="18" t="s">
        <v>61</v>
      </c>
      <c r="E76" s="18" t="s">
        <v>272</v>
      </c>
      <c r="F76" s="18" t="s">
        <v>273</v>
      </c>
      <c r="G76" s="18" t="s">
        <v>260</v>
      </c>
    </row>
    <row r="78" spans="1:7" x14ac:dyDescent="0.25">
      <c r="B78" s="30"/>
    </row>
    <row r="79" spans="1:7" x14ac:dyDescent="0.25">
      <c r="A79" s="39"/>
    </row>
    <row r="80" spans="1:7" s="110" customFormat="1" ht="108.6" customHeight="1" x14ac:dyDescent="0.25">
      <c r="A80" s="111" t="s">
        <v>274</v>
      </c>
    </row>
    <row r="81" spans="1:19" ht="17.25" x14ac:dyDescent="0.35">
      <c r="A81" s="27" t="s">
        <v>275</v>
      </c>
      <c r="B81" s="17">
        <f>(B85+C85+2*B268+MAX(D85,E85))*(1+F85)</f>
        <v>0</v>
      </c>
    </row>
    <row r="82" spans="1:19" x14ac:dyDescent="0.25">
      <c r="A82" s="18" t="s">
        <v>125</v>
      </c>
      <c r="B82" s="18" t="s">
        <v>276</v>
      </c>
      <c r="C82" s="18" t="s">
        <v>277</v>
      </c>
    </row>
    <row r="83" spans="1:19" s="19" customFormat="1" ht="87.6" customHeight="1" x14ac:dyDescent="0.25">
      <c r="A83" s="24" t="s">
        <v>9</v>
      </c>
      <c r="B83" s="28" t="s">
        <v>278</v>
      </c>
      <c r="C83" s="28" t="s">
        <v>279</v>
      </c>
      <c r="D83" s="28" t="s">
        <v>280</v>
      </c>
      <c r="E83" s="28" t="s">
        <v>281</v>
      </c>
      <c r="F83" s="28" t="s">
        <v>282</v>
      </c>
      <c r="G83" s="28" t="s">
        <v>283</v>
      </c>
      <c r="H83" s="40"/>
      <c r="I83" s="40"/>
      <c r="J83" s="86"/>
      <c r="K83" s="84"/>
    </row>
    <row r="84" spans="1:19" ht="59.45" customHeight="1" x14ac:dyDescent="0.35">
      <c r="A84" s="18" t="s">
        <v>56</v>
      </c>
      <c r="B84" s="16" t="s">
        <v>2</v>
      </c>
      <c r="C84" s="16" t="s">
        <v>2</v>
      </c>
      <c r="D84" s="16" t="s">
        <v>2</v>
      </c>
      <c r="E84" s="16" t="s">
        <v>2</v>
      </c>
      <c r="F84" s="16" t="s">
        <v>1</v>
      </c>
      <c r="G84" s="101"/>
      <c r="H84" s="101"/>
      <c r="I84" s="101"/>
      <c r="J84" s="85"/>
      <c r="K84" s="85"/>
    </row>
    <row r="85" spans="1:19" s="17" customFormat="1" ht="17.25" x14ac:dyDescent="0.35">
      <c r="A85" t="s">
        <v>57</v>
      </c>
      <c r="B85" s="17">
        <f>IF(B84=Inputs!$C$1,B86,B87)</f>
        <v>0</v>
      </c>
      <c r="C85" s="17">
        <f>IF(C84=Inputs!$C$1,C86,C87)</f>
        <v>0</v>
      </c>
      <c r="D85" s="17">
        <f>IF(D84=Inputs!$C$1,D86,D87)</f>
        <v>0</v>
      </c>
      <c r="E85" s="17">
        <f>IF(E84=Inputs!$C$1,E86,E87)</f>
        <v>0</v>
      </c>
      <c r="F85" s="100">
        <f>IF(F84=Inputs!$C$1,F86,F87)</f>
        <v>0.25</v>
      </c>
    </row>
    <row r="86" spans="1:19" ht="17.25" x14ac:dyDescent="0.35">
      <c r="A86" s="18" t="s">
        <v>58</v>
      </c>
      <c r="B86" s="16"/>
      <c r="C86" s="16"/>
      <c r="D86" s="16"/>
      <c r="E86" s="16"/>
      <c r="F86" s="92">
        <v>0.25</v>
      </c>
      <c r="G86" s="101"/>
      <c r="H86" s="101"/>
      <c r="I86" s="101"/>
      <c r="J86" s="85"/>
      <c r="K86" s="85"/>
      <c r="N86" s="200" t="s">
        <v>284</v>
      </c>
      <c r="O86" s="200"/>
      <c r="P86" s="200"/>
      <c r="R86" s="200" t="s">
        <v>285</v>
      </c>
      <c r="S86" s="200"/>
    </row>
    <row r="87" spans="1:19" ht="17.25" x14ac:dyDescent="0.35">
      <c r="A87" s="18" t="s">
        <v>59</v>
      </c>
      <c r="B87" s="5">
        <f>B98</f>
        <v>0</v>
      </c>
      <c r="C87" s="5">
        <f>B108</f>
        <v>0</v>
      </c>
      <c r="D87" s="5">
        <f>B118</f>
        <v>0</v>
      </c>
      <c r="E87" s="5">
        <f>B128</f>
        <v>0</v>
      </c>
      <c r="F87" s="93"/>
      <c r="G87" s="102"/>
      <c r="H87" s="102"/>
      <c r="I87" s="102"/>
      <c r="J87" s="85"/>
      <c r="K87" s="85"/>
      <c r="N87" s="18" t="s">
        <v>286</v>
      </c>
      <c r="O87" s="18" t="s">
        <v>287</v>
      </c>
      <c r="P87" s="18" t="s">
        <v>288</v>
      </c>
      <c r="R87" s="18" t="s">
        <v>289</v>
      </c>
      <c r="S87" s="18" t="s">
        <v>287</v>
      </c>
    </row>
    <row r="88" spans="1:19" x14ac:dyDescent="0.25">
      <c r="A88" s="18" t="s">
        <v>61</v>
      </c>
      <c r="F88" s="30" t="s">
        <v>290</v>
      </c>
      <c r="M88" s="18" t="s">
        <v>291</v>
      </c>
    </row>
    <row r="89" spans="1:19" x14ac:dyDescent="0.25">
      <c r="M89" s="18" t="s">
        <v>292</v>
      </c>
    </row>
    <row r="90" spans="1:19" x14ac:dyDescent="0.25">
      <c r="A90" s="50" t="s">
        <v>293</v>
      </c>
      <c r="B90" s="18" t="s">
        <v>294</v>
      </c>
      <c r="C90" s="18" t="s">
        <v>295</v>
      </c>
      <c r="M90" s="18" t="s">
        <v>294</v>
      </c>
      <c r="N90" s="18" t="s">
        <v>296</v>
      </c>
    </row>
    <row r="91" spans="1:19" x14ac:dyDescent="0.25">
      <c r="A91" s="50" t="s">
        <v>297</v>
      </c>
      <c r="B91" s="18" t="s">
        <v>294</v>
      </c>
      <c r="C91" s="18" t="s">
        <v>295</v>
      </c>
      <c r="M91" s="18" t="s">
        <v>298</v>
      </c>
    </row>
    <row r="92" spans="1:19" x14ac:dyDescent="0.25">
      <c r="A92" s="18" t="s">
        <v>299</v>
      </c>
      <c r="B92" s="18" t="s">
        <v>300</v>
      </c>
      <c r="C92" s="202" t="s">
        <v>301</v>
      </c>
      <c r="D92" s="202"/>
      <c r="E92" s="202"/>
      <c r="M92" s="18" t="s">
        <v>302</v>
      </c>
    </row>
    <row r="93" spans="1:19" x14ac:dyDescent="0.25">
      <c r="A93" s="18" t="s">
        <v>303</v>
      </c>
      <c r="B93" s="105">
        <v>0.5</v>
      </c>
      <c r="C93" s="202"/>
      <c r="D93" s="202"/>
      <c r="E93" s="202"/>
    </row>
    <row r="94" spans="1:19" x14ac:dyDescent="0.25">
      <c r="A94" s="18" t="s">
        <v>304</v>
      </c>
      <c r="B94" s="18" t="s">
        <v>305</v>
      </c>
      <c r="C94" s="202"/>
      <c r="D94" s="202"/>
      <c r="E94" s="202"/>
      <c r="M94" s="18" t="s">
        <v>306</v>
      </c>
    </row>
    <row r="95" spans="1:19" x14ac:dyDescent="0.25">
      <c r="A95" s="18" t="s">
        <v>307</v>
      </c>
      <c r="B95" s="18" t="s">
        <v>308</v>
      </c>
      <c r="M95" s="18" t="s">
        <v>309</v>
      </c>
    </row>
    <row r="96" spans="1:19" x14ac:dyDescent="0.25">
      <c r="A96" s="50" t="s">
        <v>310</v>
      </c>
      <c r="B96" s="30" t="s">
        <v>311</v>
      </c>
      <c r="M96" s="18" t="s">
        <v>312</v>
      </c>
    </row>
    <row r="97" spans="1:6" s="110" customFormat="1" ht="108.6" customHeight="1" x14ac:dyDescent="0.25">
      <c r="A97" s="111" t="s">
        <v>313</v>
      </c>
    </row>
    <row r="98" spans="1:6" ht="17.25" x14ac:dyDescent="0.35">
      <c r="A98" s="27" t="s">
        <v>314</v>
      </c>
      <c r="B98" s="17">
        <f>B102*F102*Inputs!D14+C102*D102*F102/(E102)</f>
        <v>0</v>
      </c>
    </row>
    <row r="99" spans="1:6" ht="18.75" x14ac:dyDescent="0.3">
      <c r="A99" s="18" t="s">
        <v>125</v>
      </c>
      <c r="B99" s="91" t="s">
        <v>315</v>
      </c>
    </row>
    <row r="100" spans="1:6" s="19" customFormat="1" ht="87.6" customHeight="1" x14ac:dyDescent="0.25">
      <c r="A100" s="24" t="s">
        <v>9</v>
      </c>
      <c r="B100" s="28" t="s">
        <v>316</v>
      </c>
      <c r="C100" s="28" t="s">
        <v>317</v>
      </c>
      <c r="D100" s="28" t="s">
        <v>318</v>
      </c>
      <c r="E100" s="28" t="s">
        <v>319</v>
      </c>
      <c r="F100" s="28" t="s">
        <v>320</v>
      </c>
    </row>
    <row r="101" spans="1:6" ht="59.45" customHeight="1" x14ac:dyDescent="0.35">
      <c r="A101" s="18" t="s">
        <v>56</v>
      </c>
      <c r="B101" s="16" t="s">
        <v>2</v>
      </c>
      <c r="C101" s="16" t="s">
        <v>2</v>
      </c>
      <c r="D101" s="16" t="s">
        <v>2</v>
      </c>
      <c r="E101" s="16" t="s">
        <v>2</v>
      </c>
      <c r="F101" s="16" t="s">
        <v>2</v>
      </c>
    </row>
    <row r="102" spans="1:6" s="17" customFormat="1" ht="17.25" x14ac:dyDescent="0.35">
      <c r="A102" t="s">
        <v>57</v>
      </c>
      <c r="B102" s="17">
        <f>IF(B101=Inputs!$C$1,B103,B104)</f>
        <v>1E-8</v>
      </c>
      <c r="C102" s="17">
        <f>IF(C101=Inputs!$C$1,C103,C104)</f>
        <v>6487190186.666666</v>
      </c>
      <c r="D102" s="73">
        <f>IF(D101=Inputs!$C$1,D103,D104)</f>
        <v>16</v>
      </c>
      <c r="E102" s="17">
        <f>IF(E101=Inputs!$C$1,E103,E104)</f>
        <v>200000000000000</v>
      </c>
      <c r="F102" s="73">
        <f>IF(F101=Inputs!$C$1,F103,F104)</f>
        <v>0</v>
      </c>
    </row>
    <row r="103" spans="1:6" ht="17.25" x14ac:dyDescent="0.35">
      <c r="A103" s="18" t="s">
        <v>58</v>
      </c>
      <c r="B103" s="16"/>
      <c r="C103" s="16"/>
      <c r="D103" s="35"/>
      <c r="E103" s="16"/>
      <c r="F103" s="35"/>
    </row>
    <row r="104" spans="1:6" ht="17.25" x14ac:dyDescent="0.35">
      <c r="A104" s="18" t="s">
        <v>59</v>
      </c>
      <c r="B104" s="5">
        <f>Inputs!L28</f>
        <v>1E-8</v>
      </c>
      <c r="C104" s="5">
        <f>IF(Inputs!H14=1,2*Inputs!L7,2*Inputs!L7)</f>
        <v>6487190186.666666</v>
      </c>
      <c r="D104" s="38">
        <f>Inputs!C7</f>
        <v>16</v>
      </c>
      <c r="E104" s="5">
        <f>Inputs!M28</f>
        <v>200000000000000</v>
      </c>
      <c r="F104" s="38">
        <f>2*(Inputs!D14-1)/Inputs!D14</f>
        <v>0</v>
      </c>
    </row>
    <row r="105" spans="1:6" x14ac:dyDescent="0.25">
      <c r="A105" s="18" t="s">
        <v>61</v>
      </c>
      <c r="C105" s="39" t="s">
        <v>321</v>
      </c>
      <c r="F105" s="18" t="s">
        <v>322</v>
      </c>
    </row>
    <row r="106" spans="1:6" x14ac:dyDescent="0.25">
      <c r="C106"/>
      <c r="D106"/>
    </row>
    <row r="107" spans="1:6" s="110" customFormat="1" ht="108.6" customHeight="1" x14ac:dyDescent="0.25">
      <c r="A107" s="111" t="s">
        <v>323</v>
      </c>
    </row>
    <row r="108" spans="1:6" ht="17.25" x14ac:dyDescent="0.35">
      <c r="A108" s="27" t="s">
        <v>324</v>
      </c>
      <c r="B108" s="17">
        <f>B112*F112*Inputs!H14+C112*D112*F112/E112</f>
        <v>0</v>
      </c>
    </row>
    <row r="109" spans="1:6" x14ac:dyDescent="0.25">
      <c r="A109" s="18" t="s">
        <v>125</v>
      </c>
      <c r="B109" s="18" t="s">
        <v>325</v>
      </c>
    </row>
    <row r="110" spans="1:6" s="19" customFormat="1" ht="87.6" customHeight="1" x14ac:dyDescent="0.25">
      <c r="A110" s="24" t="s">
        <v>9</v>
      </c>
      <c r="B110" s="28" t="s">
        <v>326</v>
      </c>
      <c r="C110" s="28" t="s">
        <v>327</v>
      </c>
      <c r="D110" s="28" t="s">
        <v>318</v>
      </c>
      <c r="E110" s="28" t="s">
        <v>328</v>
      </c>
      <c r="F110" s="28" t="s">
        <v>329</v>
      </c>
    </row>
    <row r="111" spans="1:6" ht="59.45" customHeight="1" x14ac:dyDescent="0.35">
      <c r="A111" s="18" t="s">
        <v>56</v>
      </c>
      <c r="B111" s="16" t="s">
        <v>2</v>
      </c>
      <c r="C111" s="16" t="s">
        <v>2</v>
      </c>
      <c r="D111" s="16" t="s">
        <v>2</v>
      </c>
      <c r="E111" s="16" t="s">
        <v>2</v>
      </c>
      <c r="F111" s="16" t="s">
        <v>2</v>
      </c>
    </row>
    <row r="112" spans="1:6" s="17" customFormat="1" ht="17.25" x14ac:dyDescent="0.35">
      <c r="A112" t="s">
        <v>57</v>
      </c>
      <c r="B112" s="17">
        <f>IF(B111=Inputs!$C$1,B113,B114)</f>
        <v>9.9999999999999995E-8</v>
      </c>
      <c r="C112" s="17">
        <f>IF(C111=Inputs!$C$1,C113,C114)</f>
        <v>0</v>
      </c>
      <c r="D112" s="73">
        <f>IF(D111=Inputs!$C$1,D113,D114)</f>
        <v>16</v>
      </c>
      <c r="E112" s="17">
        <f>IF(E111=Inputs!$C$1,E113,E114)</f>
        <v>40000000000000</v>
      </c>
      <c r="F112" s="73">
        <f>IF(F111=Inputs!$C$1,F113,F114)</f>
        <v>0</v>
      </c>
    </row>
    <row r="113" spans="1:13" ht="17.25" x14ac:dyDescent="0.35">
      <c r="A113" s="18" t="s">
        <v>58</v>
      </c>
      <c r="B113" s="16"/>
      <c r="C113" s="16"/>
      <c r="D113" s="35"/>
      <c r="E113" s="16"/>
      <c r="F113" s="35"/>
      <c r="H113" s="200"/>
      <c r="I113" s="200"/>
      <c r="J113" s="200"/>
      <c r="L113" s="200"/>
      <c r="M113" s="200"/>
    </row>
    <row r="114" spans="1:13" ht="17.25" x14ac:dyDescent="0.35">
      <c r="A114" s="18" t="s">
        <v>59</v>
      </c>
      <c r="B114" s="5">
        <f>Inputs!B21</f>
        <v>9.9999999999999995E-8</v>
      </c>
      <c r="C114" s="5">
        <f>IF(Inputs!H14 =1, 0, 2*Inputs!L7)</f>
        <v>0</v>
      </c>
      <c r="D114" s="5">
        <f>Inputs!C7</f>
        <v>16</v>
      </c>
      <c r="E114" s="5">
        <f>Inputs!E21/Inputs!F14</f>
        <v>40000000000000</v>
      </c>
      <c r="F114" s="38">
        <f>2*(Inputs!H14-1)/Inputs!H14</f>
        <v>0</v>
      </c>
    </row>
    <row r="115" spans="1:13" x14ac:dyDescent="0.25">
      <c r="A115" s="18" t="s">
        <v>61</v>
      </c>
      <c r="F115" s="18" t="s">
        <v>322</v>
      </c>
    </row>
    <row r="117" spans="1:13" s="31" customFormat="1" ht="92.25" x14ac:dyDescent="0.25">
      <c r="A117" s="32" t="s">
        <v>330</v>
      </c>
      <c r="B117" s="26"/>
      <c r="C117" s="26"/>
      <c r="D117" s="26"/>
      <c r="E117" s="26"/>
      <c r="F117" s="26"/>
      <c r="G117" s="26"/>
      <c r="H117" s="26"/>
      <c r="I117" s="26"/>
      <c r="J117" s="26"/>
      <c r="K117" s="26"/>
      <c r="L117" s="26"/>
      <c r="M117" s="26"/>
    </row>
    <row r="118" spans="1:13" ht="17.25" x14ac:dyDescent="0.35">
      <c r="A118" s="27" t="s">
        <v>331</v>
      </c>
      <c r="B118" s="17">
        <f>IF(Inputs!E14 = 1, 0, (B122+C122*D122/E122)/Inputs!N7)</f>
        <v>0</v>
      </c>
    </row>
    <row r="119" spans="1:13" x14ac:dyDescent="0.25">
      <c r="A119" s="18" t="s">
        <v>125</v>
      </c>
      <c r="B119" s="18" t="s">
        <v>332</v>
      </c>
    </row>
    <row r="120" spans="1:13" s="19" customFormat="1" ht="69" x14ac:dyDescent="0.25">
      <c r="A120" s="24" t="s">
        <v>9</v>
      </c>
      <c r="B120" s="28" t="s">
        <v>316</v>
      </c>
      <c r="C120" s="28" t="s">
        <v>333</v>
      </c>
      <c r="D120" s="28" t="s">
        <v>318</v>
      </c>
      <c r="E120" s="28" t="s">
        <v>319</v>
      </c>
    </row>
    <row r="121" spans="1:13" ht="17.25" x14ac:dyDescent="0.35">
      <c r="A121" s="18" t="s">
        <v>56</v>
      </c>
      <c r="B121" s="16" t="s">
        <v>2</v>
      </c>
      <c r="C121" s="16" t="s">
        <v>2</v>
      </c>
      <c r="D121" s="16" t="s">
        <v>2</v>
      </c>
      <c r="E121" s="16" t="s">
        <v>2</v>
      </c>
    </row>
    <row r="122" spans="1:13" s="17" customFormat="1" ht="17.25" x14ac:dyDescent="0.35">
      <c r="A122" t="s">
        <v>57</v>
      </c>
      <c r="B122" s="17">
        <f>IF(B121=Inputs!$C$1,B123,B124)</f>
        <v>1E-8</v>
      </c>
      <c r="C122" s="17">
        <f>IF(C121=Inputs!$C$1,C123,C124)</f>
        <v>3243595093.333333</v>
      </c>
      <c r="D122" s="73">
        <f>IF(D121=Inputs!$C$1,D123,D124)</f>
        <v>16</v>
      </c>
      <c r="E122" s="17">
        <f>IF(E121=Inputs!$C$1,E123,E124)</f>
        <v>200000000000000</v>
      </c>
    </row>
    <row r="123" spans="1:13" ht="17.25" x14ac:dyDescent="0.35">
      <c r="A123" s="18" t="s">
        <v>58</v>
      </c>
      <c r="B123" s="16"/>
      <c r="C123" s="16"/>
      <c r="D123" s="35"/>
      <c r="E123" s="16"/>
      <c r="F123" s="199"/>
      <c r="G123" s="200"/>
      <c r="H123" s="200"/>
      <c r="J123" s="200"/>
      <c r="K123" s="200"/>
    </row>
    <row r="124" spans="1:13" ht="17.25" x14ac:dyDescent="0.35">
      <c r="A124" s="18" t="s">
        <v>59</v>
      </c>
      <c r="B124" s="5">
        <f>Inputs!L28</f>
        <v>1E-8</v>
      </c>
      <c r="C124" s="5">
        <f>Inputs!L7</f>
        <v>3243595093.333333</v>
      </c>
      <c r="D124" s="38">
        <f>Inputs!C7</f>
        <v>16</v>
      </c>
      <c r="E124" s="5">
        <f>Inputs!M28</f>
        <v>200000000000000</v>
      </c>
    </row>
    <row r="125" spans="1:13" x14ac:dyDescent="0.25">
      <c r="A125" s="18" t="s">
        <v>61</v>
      </c>
      <c r="C125" s="18" t="s">
        <v>334</v>
      </c>
    </row>
    <row r="126" spans="1:13" x14ac:dyDescent="0.25">
      <c r="A126" s="50"/>
      <c r="B126" s="30"/>
    </row>
    <row r="127" spans="1:13" s="110" customFormat="1" ht="74.25" x14ac:dyDescent="0.25">
      <c r="A127" s="111" t="s">
        <v>335</v>
      </c>
    </row>
    <row r="128" spans="1:13" ht="17.25" x14ac:dyDescent="0.35">
      <c r="A128" s="27" t="s">
        <v>336</v>
      </c>
      <c r="B128" s="17">
        <f>IF(Inputs!I14 = 1, 0, (B132+C132*D132/E132)/Inputs!N7)</f>
        <v>0</v>
      </c>
    </row>
    <row r="129" spans="1:15" x14ac:dyDescent="0.25">
      <c r="A129" s="18" t="s">
        <v>125</v>
      </c>
      <c r="B129" s="18" t="s">
        <v>337</v>
      </c>
    </row>
    <row r="130" spans="1:15" s="19" customFormat="1" ht="69" x14ac:dyDescent="0.25">
      <c r="A130" s="24" t="s">
        <v>9</v>
      </c>
      <c r="B130" s="28" t="s">
        <v>326</v>
      </c>
      <c r="C130" s="28" t="s">
        <v>338</v>
      </c>
      <c r="D130" s="28" t="s">
        <v>318</v>
      </c>
      <c r="E130" s="28" t="s">
        <v>328</v>
      </c>
    </row>
    <row r="131" spans="1:15" ht="17.25" x14ac:dyDescent="0.35">
      <c r="A131" s="18" t="s">
        <v>56</v>
      </c>
      <c r="B131" s="16" t="s">
        <v>2</v>
      </c>
      <c r="C131" s="16" t="s">
        <v>2</v>
      </c>
      <c r="D131" s="16" t="s">
        <v>2</v>
      </c>
      <c r="E131" s="16" t="s">
        <v>2</v>
      </c>
    </row>
    <row r="132" spans="1:15" s="17" customFormat="1" ht="17.25" x14ac:dyDescent="0.35">
      <c r="A132" t="s">
        <v>57</v>
      </c>
      <c r="B132" s="17">
        <f>IF(B131=Inputs!$C$1,B133,B134)</f>
        <v>9.9999999999999995E-8</v>
      </c>
      <c r="C132" s="17">
        <f>IF(C131=Inputs!$C$1,C133,C134)</f>
        <v>3243595093.333333</v>
      </c>
      <c r="D132" s="17">
        <f>IF(D131=Inputs!$C$1,D133,D134)</f>
        <v>16</v>
      </c>
      <c r="E132" s="17">
        <f>IF(E131=Inputs!$C$1,E133,E134)</f>
        <v>40000000000000</v>
      </c>
    </row>
    <row r="133" spans="1:15" ht="17.25" x14ac:dyDescent="0.35">
      <c r="A133" s="18" t="s">
        <v>58</v>
      </c>
      <c r="B133" s="16"/>
      <c r="C133" s="16"/>
      <c r="D133" s="16"/>
      <c r="E133" s="16"/>
      <c r="F133" s="199"/>
      <c r="G133" s="200"/>
      <c r="H133" s="200"/>
      <c r="J133" s="200"/>
      <c r="K133" s="200"/>
    </row>
    <row r="134" spans="1:15" ht="17.25" x14ac:dyDescent="0.35">
      <c r="A134" s="18" t="s">
        <v>59</v>
      </c>
      <c r="B134" s="5">
        <f>Inputs!B21</f>
        <v>9.9999999999999995E-8</v>
      </c>
      <c r="C134" s="5">
        <f>Inputs!L7</f>
        <v>3243595093.333333</v>
      </c>
      <c r="D134" s="5">
        <f>Inputs!C7</f>
        <v>16</v>
      </c>
      <c r="E134" s="5">
        <f>Inputs!E21/Inputs!F14</f>
        <v>40000000000000</v>
      </c>
    </row>
    <row r="135" spans="1:15" x14ac:dyDescent="0.25">
      <c r="A135" s="18" t="s">
        <v>61</v>
      </c>
      <c r="C135" s="18" t="s">
        <v>334</v>
      </c>
    </row>
    <row r="136" spans="1:15" x14ac:dyDescent="0.25">
      <c r="A136" s="50"/>
      <c r="B136" s="30"/>
    </row>
    <row r="137" spans="1:15" s="82" customFormat="1" x14ac:dyDescent="0.25">
      <c r="A137" s="83"/>
      <c r="B137" s="83"/>
    </row>
    <row r="138" spans="1:15" s="110" customFormat="1" ht="98.1" customHeight="1" x14ac:dyDescent="0.25">
      <c r="A138" s="110" t="s">
        <v>339</v>
      </c>
    </row>
    <row r="139" spans="1:15" ht="17.25" x14ac:dyDescent="0.35">
      <c r="A139" s="27" t="s">
        <v>340</v>
      </c>
      <c r="B139" s="17">
        <f>B143*(C143+D143+H143/2+I143)*_xlfn.CEILING.MATH(MAX(Inputs!B7,Inputs!D7)/I53)+(F143+E143)*G143*_xlfn.CEILING.MATH(Inputs!B7/G73)</f>
        <v>5955.2855222822418</v>
      </c>
    </row>
    <row r="140" spans="1:15" x14ac:dyDescent="0.25">
      <c r="A140" s="18" t="s">
        <v>125</v>
      </c>
    </row>
    <row r="141" spans="1:15" s="19" customFormat="1" ht="69" x14ac:dyDescent="0.25">
      <c r="A141" s="24" t="s">
        <v>9</v>
      </c>
      <c r="B141" s="28" t="s">
        <v>341</v>
      </c>
      <c r="C141" s="28" t="s">
        <v>244</v>
      </c>
      <c r="D141" s="28" t="s">
        <v>245</v>
      </c>
      <c r="E141" s="28" t="s">
        <v>342</v>
      </c>
      <c r="F141" s="28" t="s">
        <v>343</v>
      </c>
      <c r="G141" s="28" t="s">
        <v>344</v>
      </c>
      <c r="H141" s="28" t="s">
        <v>254</v>
      </c>
      <c r="I141" s="28" t="s">
        <v>1001</v>
      </c>
      <c r="J141" s="28"/>
      <c r="K141" s="28"/>
      <c r="L141" s="28"/>
      <c r="M141" s="28"/>
      <c r="N141" s="28"/>
      <c r="O141" s="28"/>
    </row>
    <row r="142" spans="1:15" ht="17.25" x14ac:dyDescent="0.35">
      <c r="A142" s="18" t="s">
        <v>56</v>
      </c>
      <c r="B142" s="16" t="s">
        <v>2</v>
      </c>
      <c r="C142" s="16" t="s">
        <v>2</v>
      </c>
      <c r="D142" s="16" t="s">
        <v>2</v>
      </c>
      <c r="E142" s="16" t="s">
        <v>2</v>
      </c>
      <c r="F142" s="16" t="s">
        <v>2</v>
      </c>
      <c r="G142" s="16" t="s">
        <v>2</v>
      </c>
      <c r="H142" s="16" t="s">
        <v>2</v>
      </c>
      <c r="I142" s="16" t="s">
        <v>2</v>
      </c>
      <c r="J142" s="16"/>
      <c r="K142" s="16"/>
      <c r="L142" s="16"/>
      <c r="M142" s="16"/>
      <c r="N142" s="16"/>
      <c r="O142" s="16"/>
    </row>
    <row r="143" spans="1:15" s="17" customFormat="1" ht="21" customHeight="1" x14ac:dyDescent="0.35">
      <c r="A143" t="s">
        <v>57</v>
      </c>
      <c r="B143" s="17">
        <f>IF(B142=Inputs!$C$1,B144,B145)</f>
        <v>2.0701111195902864E-15</v>
      </c>
      <c r="C143" s="17">
        <f>IF(C142=Inputs!$C$1,C144,C145)</f>
        <v>2.566809895043072E+17</v>
      </c>
      <c r="D143" s="17">
        <f>IF(D142=Inputs!$C$1,D144,D145)</f>
        <v>4.62344639479808E+17</v>
      </c>
      <c r="E143" s="17">
        <f>IF(E142=Inputs!$C$1,E144,E145)</f>
        <v>1556925644799.9998</v>
      </c>
      <c r="F143" s="17">
        <f>IF(F142=Inputs!$C$1,F144,F145)</f>
        <v>1900544000</v>
      </c>
      <c r="G143" s="17">
        <f>IF(G142=Inputs!$C$1,G144,G145)</f>
        <v>4.3402777777777776E-13</v>
      </c>
      <c r="H143" s="17">
        <f>IF(H142=Inputs!$C$1,H144,H145)</f>
        <v>0</v>
      </c>
      <c r="I143" s="17">
        <f>IF(I142=Inputs!$C$1,I144,I145)</f>
        <v>9730785280000</v>
      </c>
      <c r="J143" s="73"/>
      <c r="K143" s="73"/>
      <c r="L143" s="73"/>
      <c r="M143" s="73"/>
      <c r="N143" s="73"/>
      <c r="O143" s="73"/>
    </row>
    <row r="144" spans="1:15" ht="17.25" x14ac:dyDescent="0.35">
      <c r="A144" s="18" t="s">
        <v>58</v>
      </c>
      <c r="B144" s="16"/>
      <c r="C144" s="16"/>
      <c r="D144" s="16"/>
      <c r="E144" s="16"/>
      <c r="F144" s="16"/>
      <c r="G144" s="16"/>
      <c r="H144" s="16"/>
      <c r="I144" s="16"/>
      <c r="J144" s="16"/>
      <c r="K144" s="16"/>
      <c r="L144" s="16"/>
      <c r="M144" s="16"/>
      <c r="N144" s="16"/>
      <c r="O144" s="16"/>
    </row>
    <row r="145" spans="1:9" ht="17.25" x14ac:dyDescent="0.35">
      <c r="A145" s="18" t="s">
        <v>59</v>
      </c>
      <c r="B145" s="5">
        <f>B41</f>
        <v>2.0701111195902864E-15</v>
      </c>
      <c r="C145" s="5">
        <f>Inputs!Y7</f>
        <v>2.566809895043072E+17</v>
      </c>
      <c r="D145" s="5">
        <f>Inputs!Z7</f>
        <v>4.62344639479808E+17</v>
      </c>
      <c r="E145" s="5">
        <f>F41</f>
        <v>1556925644799.9998</v>
      </c>
      <c r="F145" s="5">
        <f>G41</f>
        <v>1900544000</v>
      </c>
      <c r="G145" s="5">
        <f>B69</f>
        <v>4.3402777777777776E-13</v>
      </c>
      <c r="H145" s="5">
        <f>Inputs!AT7</f>
        <v>0</v>
      </c>
      <c r="I145" s="5">
        <f>Inputs!AZ7</f>
        <v>9730785280000</v>
      </c>
    </row>
    <row r="146" spans="1:9" x14ac:dyDescent="0.25">
      <c r="A146" s="18" t="s">
        <v>61</v>
      </c>
      <c r="B146" s="139" t="s">
        <v>345</v>
      </c>
      <c r="C146" s="18" t="s">
        <v>346</v>
      </c>
    </row>
    <row r="149" spans="1:9" s="113" customFormat="1" ht="63.75" customHeight="1" x14ac:dyDescent="0.25">
      <c r="A149" s="112" t="s">
        <v>347</v>
      </c>
    </row>
    <row r="150" spans="1:9" ht="17.25" x14ac:dyDescent="0.35">
      <c r="A150" s="27" t="s">
        <v>348</v>
      </c>
      <c r="B150" s="17">
        <f>((B154+C154+2*B277)+MAX(D154,E154))*(1+F154)</f>
        <v>0</v>
      </c>
    </row>
    <row r="151" spans="1:9" x14ac:dyDescent="0.25">
      <c r="A151" s="18" t="s">
        <v>125</v>
      </c>
    </row>
    <row r="152" spans="1:9" s="19" customFormat="1" ht="69" x14ac:dyDescent="0.25">
      <c r="A152" s="24" t="s">
        <v>9</v>
      </c>
      <c r="B152" s="28" t="s">
        <v>349</v>
      </c>
      <c r="C152" s="28" t="s">
        <v>350</v>
      </c>
      <c r="D152" s="28" t="s">
        <v>351</v>
      </c>
      <c r="E152" s="28" t="s">
        <v>352</v>
      </c>
      <c r="F152" s="28" t="s">
        <v>282</v>
      </c>
      <c r="G152" s="86"/>
    </row>
    <row r="153" spans="1:9" ht="21.75" customHeight="1" x14ac:dyDescent="0.35">
      <c r="A153" s="18" t="s">
        <v>56</v>
      </c>
      <c r="B153" s="16" t="s">
        <v>2</v>
      </c>
      <c r="C153" s="16" t="s">
        <v>2</v>
      </c>
      <c r="D153" s="16" t="s">
        <v>2</v>
      </c>
      <c r="E153" s="16" t="s">
        <v>2</v>
      </c>
      <c r="F153" s="16" t="s">
        <v>1</v>
      </c>
    </row>
    <row r="154" spans="1:9" s="17" customFormat="1" ht="17.25" x14ac:dyDescent="0.35">
      <c r="A154" t="s">
        <v>57</v>
      </c>
      <c r="B154" s="17">
        <f>IF(B153=Inputs!$C$1,B155,B156)</f>
        <v>0</v>
      </c>
      <c r="C154" s="17">
        <f>IF(C153=Inputs!$C$1,C155,C156)</f>
        <v>0</v>
      </c>
      <c r="D154" s="17">
        <f>IF(D153=Inputs!$C$1,D155,D156)</f>
        <v>0</v>
      </c>
      <c r="E154" s="17">
        <f>IF(E153=Inputs!$C$1,E155,E156)</f>
        <v>0</v>
      </c>
      <c r="F154" s="100">
        <f>IF(F153=Inputs!$C$1,F155,F156)</f>
        <v>0.25</v>
      </c>
    </row>
    <row r="155" spans="1:9" ht="17.25" x14ac:dyDescent="0.35">
      <c r="A155" s="18" t="s">
        <v>58</v>
      </c>
      <c r="B155" s="16"/>
      <c r="C155" s="16"/>
      <c r="D155" s="16"/>
      <c r="E155" s="16"/>
      <c r="F155" s="92">
        <v>0.25</v>
      </c>
    </row>
    <row r="156" spans="1:9" ht="17.25" x14ac:dyDescent="0.35">
      <c r="A156" s="18" t="s">
        <v>59</v>
      </c>
      <c r="B156" s="5">
        <f>B161</f>
        <v>0</v>
      </c>
      <c r="C156" s="5">
        <f>B171</f>
        <v>0</v>
      </c>
      <c r="D156" s="5">
        <f>B181</f>
        <v>0</v>
      </c>
      <c r="E156" s="5">
        <f>B191</f>
        <v>0</v>
      </c>
      <c r="F156" s="93"/>
    </row>
    <row r="157" spans="1:9" x14ac:dyDescent="0.25">
      <c r="A157" s="18" t="s">
        <v>61</v>
      </c>
      <c r="F157" s="30" t="s">
        <v>290</v>
      </c>
    </row>
    <row r="160" spans="1:9" s="110" customFormat="1" ht="118.5" customHeight="1" x14ac:dyDescent="0.25">
      <c r="A160" s="111" t="s">
        <v>353</v>
      </c>
    </row>
    <row r="161" spans="1:13" ht="17.25" x14ac:dyDescent="0.35">
      <c r="A161" s="27" t="s">
        <v>354</v>
      </c>
      <c r="B161" s="17">
        <f>B165*F165*Inputs!D14+C165*D165*F165/E165</f>
        <v>0</v>
      </c>
    </row>
    <row r="162" spans="1:13" x14ac:dyDescent="0.25">
      <c r="A162" s="18" t="s">
        <v>125</v>
      </c>
    </row>
    <row r="163" spans="1:13" s="19" customFormat="1" ht="103.5" x14ac:dyDescent="0.25">
      <c r="A163" s="24" t="s">
        <v>9</v>
      </c>
      <c r="B163" s="28" t="s">
        <v>316</v>
      </c>
      <c r="C163" s="28" t="s">
        <v>355</v>
      </c>
      <c r="D163" s="28" t="s">
        <v>356</v>
      </c>
      <c r="E163" s="28" t="s">
        <v>319</v>
      </c>
      <c r="F163" s="28" t="s">
        <v>329</v>
      </c>
    </row>
    <row r="164" spans="1:13" ht="17.25" x14ac:dyDescent="0.35">
      <c r="A164" s="18" t="s">
        <v>56</v>
      </c>
      <c r="B164" s="16" t="s">
        <v>2</v>
      </c>
      <c r="C164" s="16" t="s">
        <v>2</v>
      </c>
      <c r="D164" s="16" t="s">
        <v>2</v>
      </c>
      <c r="E164" s="16" t="s">
        <v>2</v>
      </c>
      <c r="F164" s="16" t="s">
        <v>2</v>
      </c>
    </row>
    <row r="165" spans="1:13" s="17" customFormat="1" ht="17.25" x14ac:dyDescent="0.35">
      <c r="A165" t="s">
        <v>57</v>
      </c>
      <c r="B165" s="17">
        <f>IF(B164=Inputs!$C$1,B166,B167)</f>
        <v>1E-8</v>
      </c>
      <c r="C165" s="17">
        <f>IF(C164=Inputs!$C$1,C166,C167)</f>
        <v>6487190186.666666</v>
      </c>
      <c r="D165" s="17">
        <f>IF(D164=Inputs!$C$1,D166,D167)</f>
        <v>32</v>
      </c>
      <c r="E165" s="17">
        <f>IF(E164=Inputs!$C$1,E166,E167)</f>
        <v>200000000000000</v>
      </c>
      <c r="F165" s="17">
        <f>IF(F164=Inputs!$C$1,F166,F167)</f>
        <v>0</v>
      </c>
    </row>
    <row r="166" spans="1:13" ht="17.25" x14ac:dyDescent="0.35">
      <c r="A166" s="18" t="s">
        <v>58</v>
      </c>
      <c r="B166" s="16"/>
      <c r="C166" s="16"/>
      <c r="D166" s="16"/>
      <c r="E166" s="16"/>
      <c r="F166" s="16"/>
    </row>
    <row r="167" spans="1:13" ht="17.25" x14ac:dyDescent="0.35">
      <c r="A167" s="18" t="s">
        <v>59</v>
      </c>
      <c r="B167" s="5">
        <f>Inputs!L28</f>
        <v>1E-8</v>
      </c>
      <c r="C167" s="5">
        <f>IF(Inputs!H14=1,2*Inputs!AC7,2*Inputs!AC7)</f>
        <v>6487190186.666666</v>
      </c>
      <c r="D167" s="5">
        <f>Inputs!D7</f>
        <v>32</v>
      </c>
      <c r="E167" s="5">
        <f>Inputs!M28</f>
        <v>200000000000000</v>
      </c>
      <c r="F167" s="5">
        <f>2*(Inputs!D14-1)/Inputs!D14</f>
        <v>0</v>
      </c>
    </row>
    <row r="168" spans="1:13" x14ac:dyDescent="0.25">
      <c r="A168" s="18" t="s">
        <v>61</v>
      </c>
    </row>
    <row r="170" spans="1:13" s="110" customFormat="1" ht="74.25" x14ac:dyDescent="0.25">
      <c r="A170" s="111" t="s">
        <v>357</v>
      </c>
    </row>
    <row r="171" spans="1:13" ht="17.25" x14ac:dyDescent="0.35">
      <c r="A171" s="27" t="s">
        <v>324</v>
      </c>
      <c r="B171" s="17">
        <f>B175*F175*Inputs!H14+C175*D175*F175/E175</f>
        <v>0</v>
      </c>
    </row>
    <row r="172" spans="1:13" x14ac:dyDescent="0.25">
      <c r="A172" s="18" t="s">
        <v>125</v>
      </c>
    </row>
    <row r="173" spans="1:13" s="19" customFormat="1" ht="103.5" x14ac:dyDescent="0.25">
      <c r="A173" s="24" t="s">
        <v>9</v>
      </c>
      <c r="B173" s="28" t="s">
        <v>326</v>
      </c>
      <c r="C173" s="28" t="s">
        <v>358</v>
      </c>
      <c r="D173" s="28" t="s">
        <v>356</v>
      </c>
      <c r="E173" s="28" t="s">
        <v>328</v>
      </c>
      <c r="F173" s="28" t="s">
        <v>329</v>
      </c>
    </row>
    <row r="174" spans="1:13" ht="17.25" x14ac:dyDescent="0.35">
      <c r="A174" s="18" t="s">
        <v>56</v>
      </c>
      <c r="B174" s="16" t="s">
        <v>2</v>
      </c>
      <c r="C174" s="16" t="s">
        <v>2</v>
      </c>
      <c r="D174" s="16" t="s">
        <v>2</v>
      </c>
      <c r="E174" s="16" t="s">
        <v>2</v>
      </c>
      <c r="F174" s="16" t="s">
        <v>2</v>
      </c>
    </row>
    <row r="175" spans="1:13" s="17" customFormat="1" ht="17.25" x14ac:dyDescent="0.35">
      <c r="A175" t="s">
        <v>57</v>
      </c>
      <c r="B175" s="17">
        <f>IF(B174=Inputs!$C$1,B176,B177)</f>
        <v>9.9999999999999995E-8</v>
      </c>
      <c r="C175" s="17">
        <f>IF(C174=Inputs!$C$1,C176,C177)</f>
        <v>0</v>
      </c>
      <c r="D175" s="17">
        <f>IF(D174=Inputs!$C$1,D176,D177)</f>
        <v>32</v>
      </c>
      <c r="E175" s="17">
        <f>IF(E174=Inputs!$C$1,E176,E177)</f>
        <v>40000000000000</v>
      </c>
      <c r="F175" s="17">
        <f>IF(F174=Inputs!$C$1,F176,F177)</f>
        <v>0</v>
      </c>
    </row>
    <row r="176" spans="1:13" ht="17.25" x14ac:dyDescent="0.35">
      <c r="A176" s="18" t="s">
        <v>58</v>
      </c>
      <c r="B176" s="16"/>
      <c r="C176" s="16"/>
      <c r="D176" s="16"/>
      <c r="E176" s="16"/>
      <c r="F176" s="16"/>
      <c r="H176" s="200"/>
      <c r="I176" s="200"/>
      <c r="J176" s="200"/>
      <c r="L176" s="200"/>
      <c r="M176" s="200"/>
    </row>
    <row r="177" spans="1:11" ht="17.25" x14ac:dyDescent="0.35">
      <c r="A177" s="18" t="s">
        <v>59</v>
      </c>
      <c r="B177" s="5">
        <f>Inputs!B21</f>
        <v>9.9999999999999995E-8</v>
      </c>
      <c r="C177" s="5">
        <f>IF(Inputs!H14 =1, 0,2* Inputs!AC7)</f>
        <v>0</v>
      </c>
      <c r="D177" s="5">
        <f>Inputs!D7</f>
        <v>32</v>
      </c>
      <c r="E177" s="5">
        <f>Inputs!E21/Inputs!F14</f>
        <v>40000000000000</v>
      </c>
      <c r="F177" s="5">
        <f>2*(Inputs!H14-1)/Inputs!H14</f>
        <v>0</v>
      </c>
    </row>
    <row r="178" spans="1:11" x14ac:dyDescent="0.25">
      <c r="A178" s="18" t="s">
        <v>61</v>
      </c>
    </row>
    <row r="180" spans="1:11" s="110" customFormat="1" ht="92.1" customHeight="1" x14ac:dyDescent="0.25">
      <c r="A180" s="111" t="s">
        <v>359</v>
      </c>
    </row>
    <row r="181" spans="1:11" ht="17.25" x14ac:dyDescent="0.35">
      <c r="A181" s="27" t="s">
        <v>360</v>
      </c>
      <c r="B181" s="17">
        <f>IF(Inputs!E14=1,0,(B185+C185*D185/E185)/Inputs!N7)</f>
        <v>0</v>
      </c>
    </row>
    <row r="182" spans="1:11" x14ac:dyDescent="0.25">
      <c r="A182" s="18" t="s">
        <v>125</v>
      </c>
    </row>
    <row r="183" spans="1:11" s="19" customFormat="1" ht="86.25" x14ac:dyDescent="0.25">
      <c r="A183" s="24" t="s">
        <v>9</v>
      </c>
      <c r="B183" s="28" t="s">
        <v>316</v>
      </c>
      <c r="C183" s="28" t="s">
        <v>361</v>
      </c>
      <c r="D183" s="28" t="s">
        <v>356</v>
      </c>
      <c r="E183" s="28" t="s">
        <v>319</v>
      </c>
    </row>
    <row r="184" spans="1:11" ht="17.25" x14ac:dyDescent="0.35">
      <c r="A184" s="18" t="s">
        <v>56</v>
      </c>
      <c r="B184" s="16" t="s">
        <v>2</v>
      </c>
      <c r="C184" s="16" t="s">
        <v>2</v>
      </c>
      <c r="D184" s="16" t="s">
        <v>2</v>
      </c>
      <c r="E184" s="16" t="s">
        <v>2</v>
      </c>
    </row>
    <row r="185" spans="1:11" s="17" customFormat="1" ht="17.25" x14ac:dyDescent="0.35">
      <c r="A185" t="s">
        <v>57</v>
      </c>
      <c r="B185" s="17">
        <f>IF(B184=Inputs!$C$1,B186,B187)</f>
        <v>1E-8</v>
      </c>
      <c r="C185" s="17">
        <f>IF(C184=Inputs!$C$1,C186,C187)</f>
        <v>3243595093.333333</v>
      </c>
      <c r="D185" s="17">
        <f>IF(D184=Inputs!$C$1,D186,D187)</f>
        <v>32</v>
      </c>
      <c r="E185" s="17">
        <f>IF(E184=Inputs!$C$1,E186,E187)</f>
        <v>200000000000000</v>
      </c>
    </row>
    <row r="186" spans="1:11" ht="17.25" x14ac:dyDescent="0.35">
      <c r="A186" s="18" t="s">
        <v>58</v>
      </c>
      <c r="B186" s="16"/>
      <c r="C186" s="16"/>
      <c r="D186" s="16"/>
      <c r="E186" s="16"/>
      <c r="F186" s="199"/>
      <c r="G186" s="200"/>
      <c r="H186" s="200"/>
      <c r="J186" s="200"/>
      <c r="K186" s="200"/>
    </row>
    <row r="187" spans="1:11" ht="17.25" x14ac:dyDescent="0.35">
      <c r="A187" s="18" t="s">
        <v>59</v>
      </c>
      <c r="B187" s="5">
        <f>Inputs!L28</f>
        <v>1E-8</v>
      </c>
      <c r="C187" s="5">
        <f>Inputs!AC7</f>
        <v>3243595093.333333</v>
      </c>
      <c r="D187" s="5">
        <f>Inputs!D7</f>
        <v>32</v>
      </c>
      <c r="E187" s="5">
        <f>Inputs!M28</f>
        <v>200000000000000</v>
      </c>
    </row>
    <row r="188" spans="1:11" x14ac:dyDescent="0.25">
      <c r="A188" s="18" t="s">
        <v>61</v>
      </c>
    </row>
    <row r="189" spans="1:11" x14ac:dyDescent="0.25">
      <c r="A189" s="50"/>
      <c r="B189" s="30"/>
    </row>
    <row r="190" spans="1:11" s="110" customFormat="1" ht="93.95" customHeight="1" x14ac:dyDescent="0.25">
      <c r="A190" s="111" t="s">
        <v>362</v>
      </c>
    </row>
    <row r="191" spans="1:11" ht="17.25" x14ac:dyDescent="0.35">
      <c r="A191" s="27" t="s">
        <v>363</v>
      </c>
      <c r="B191" s="17">
        <f>IF(Inputs!I14=1,0,(B195+C195*D195/E195)/Inputs!N7)</f>
        <v>0</v>
      </c>
    </row>
    <row r="192" spans="1:11" x14ac:dyDescent="0.25">
      <c r="A192" s="18" t="s">
        <v>125</v>
      </c>
    </row>
    <row r="193" spans="1:11" s="19" customFormat="1" ht="86.25" x14ac:dyDescent="0.25">
      <c r="A193" s="24" t="s">
        <v>9</v>
      </c>
      <c r="B193" s="28" t="s">
        <v>326</v>
      </c>
      <c r="C193" s="28" t="s">
        <v>364</v>
      </c>
      <c r="D193" s="28" t="s">
        <v>356</v>
      </c>
      <c r="E193" s="28" t="s">
        <v>328</v>
      </c>
    </row>
    <row r="194" spans="1:11" ht="17.25" x14ac:dyDescent="0.35">
      <c r="A194" s="18" t="s">
        <v>56</v>
      </c>
      <c r="B194" s="16" t="s">
        <v>2</v>
      </c>
      <c r="C194" s="16" t="s">
        <v>2</v>
      </c>
      <c r="D194" s="16" t="s">
        <v>2</v>
      </c>
      <c r="E194" s="16" t="s">
        <v>2</v>
      </c>
    </row>
    <row r="195" spans="1:11" s="17" customFormat="1" ht="17.25" x14ac:dyDescent="0.35">
      <c r="A195" t="s">
        <v>57</v>
      </c>
      <c r="B195" s="17">
        <f>IF(B194=Inputs!$C$1,B196,B197)</f>
        <v>9.9999999999999995E-8</v>
      </c>
      <c r="C195" s="17">
        <f>IF(C194=Inputs!$C$1,C196,C197)</f>
        <v>3243595093.333333</v>
      </c>
      <c r="D195" s="17">
        <f>IF(D194=Inputs!$C$1,D196,D197)</f>
        <v>32</v>
      </c>
      <c r="E195" s="17">
        <f>IF(E194=Inputs!$C$1,E196,E197)</f>
        <v>40000000000000</v>
      </c>
    </row>
    <row r="196" spans="1:11" ht="17.25" x14ac:dyDescent="0.35">
      <c r="A196" s="18" t="s">
        <v>58</v>
      </c>
      <c r="B196" s="16"/>
      <c r="C196" s="16"/>
      <c r="D196" s="16"/>
      <c r="E196" s="16"/>
      <c r="F196" s="199"/>
      <c r="G196" s="200"/>
      <c r="H196" s="200"/>
      <c r="J196" s="200"/>
      <c r="K196" s="200"/>
    </row>
    <row r="197" spans="1:11" ht="17.25" x14ac:dyDescent="0.35">
      <c r="A197" s="18" t="s">
        <v>59</v>
      </c>
      <c r="B197" s="5">
        <f>Inputs!B21</f>
        <v>9.9999999999999995E-8</v>
      </c>
      <c r="C197" s="5">
        <f>Inputs!AC7</f>
        <v>3243595093.333333</v>
      </c>
      <c r="D197" s="5">
        <f>Inputs!D7</f>
        <v>32</v>
      </c>
      <c r="E197" s="5">
        <f>Inputs!E21/Inputs!F14</f>
        <v>40000000000000</v>
      </c>
    </row>
    <row r="198" spans="1:11" x14ac:dyDescent="0.25">
      <c r="A198" s="18" t="s">
        <v>61</v>
      </c>
    </row>
    <row r="202" spans="1:11" s="110" customFormat="1" ht="76.5" customHeight="1" x14ac:dyDescent="0.35">
      <c r="A202" s="111" t="s">
        <v>365</v>
      </c>
      <c r="B202" s="114"/>
      <c r="C202" s="115"/>
    </row>
    <row r="203" spans="1:11" ht="17.25" x14ac:dyDescent="0.35">
      <c r="A203" s="27" t="s">
        <v>366</v>
      </c>
      <c r="B203" s="17">
        <f>B207*C207</f>
        <v>1488.4830936372271</v>
      </c>
    </row>
    <row r="204" spans="1:11" x14ac:dyDescent="0.25">
      <c r="A204" s="18" t="s">
        <v>125</v>
      </c>
    </row>
    <row r="205" spans="1:11" s="19" customFormat="1" ht="51.75" x14ac:dyDescent="0.25">
      <c r="A205" s="24" t="s">
        <v>9</v>
      </c>
      <c r="B205" s="28" t="s">
        <v>243</v>
      </c>
      <c r="C205" s="28" t="s">
        <v>367</v>
      </c>
      <c r="D205" s="29"/>
      <c r="E205" s="29"/>
      <c r="F205" s="29"/>
      <c r="G205" s="29"/>
    </row>
    <row r="206" spans="1:11" ht="17.25" x14ac:dyDescent="0.35">
      <c r="A206" s="18" t="s">
        <v>56</v>
      </c>
      <c r="B206" s="16" t="s">
        <v>2</v>
      </c>
      <c r="C206" s="16" t="s">
        <v>2</v>
      </c>
    </row>
    <row r="207" spans="1:11" s="17" customFormat="1" ht="17.25" x14ac:dyDescent="0.35">
      <c r="A207" t="s">
        <v>57</v>
      </c>
      <c r="B207" s="17">
        <f>IF(B206=Inputs!$C$1,B208,B209)</f>
        <v>2.0701111195902864E-15</v>
      </c>
      <c r="C207" s="17">
        <f>IF(C206=Inputs!$C$1,C208,C209)</f>
        <v>7.190353597693952E+17</v>
      </c>
    </row>
    <row r="208" spans="1:11" ht="17.25" x14ac:dyDescent="0.35">
      <c r="A208" s="18" t="s">
        <v>58</v>
      </c>
      <c r="B208" s="16"/>
      <c r="C208" s="16"/>
    </row>
    <row r="209" spans="1:10" ht="17.25" x14ac:dyDescent="0.35">
      <c r="A209" s="18" t="s">
        <v>59</v>
      </c>
      <c r="B209" s="5">
        <f>B49</f>
        <v>2.0701111195902864E-15</v>
      </c>
      <c r="C209" s="5">
        <f>Inputs!Y7+Inputs!Z7+Inputs!AT7+Inputs!AZ7</f>
        <v>7.190353597693952E+17</v>
      </c>
    </row>
    <row r="210" spans="1:10" x14ac:dyDescent="0.25">
      <c r="A210" s="18" t="s">
        <v>61</v>
      </c>
      <c r="B210" s="139" t="s">
        <v>368</v>
      </c>
    </row>
    <row r="214" spans="1:10" s="110" customFormat="1" ht="60" customHeight="1" x14ac:dyDescent="0.25">
      <c r="A214" s="111" t="s">
        <v>369</v>
      </c>
    </row>
    <row r="215" spans="1:10" ht="17.25" x14ac:dyDescent="0.35">
      <c r="A215" s="27" t="s">
        <v>370</v>
      </c>
      <c r="B215" s="44">
        <f>B219</f>
        <v>3</v>
      </c>
    </row>
    <row r="216" spans="1:10" x14ac:dyDescent="0.25">
      <c r="A216" s="18" t="s">
        <v>125</v>
      </c>
    </row>
    <row r="217" spans="1:10" s="19" customFormat="1" ht="106.5" x14ac:dyDescent="0.25">
      <c r="A217" s="24" t="s">
        <v>9</v>
      </c>
      <c r="B217" s="28" t="s">
        <v>371</v>
      </c>
      <c r="C217" s="28" t="s">
        <v>372</v>
      </c>
      <c r="D217" s="28" t="s">
        <v>373</v>
      </c>
      <c r="E217" s="28" t="s">
        <v>374</v>
      </c>
      <c r="F217" s="28" t="s">
        <v>375</v>
      </c>
      <c r="G217" s="28" t="s">
        <v>376</v>
      </c>
      <c r="H217" s="29" t="s">
        <v>377</v>
      </c>
      <c r="I217" s="29" t="s">
        <v>378</v>
      </c>
      <c r="J217" s="29"/>
    </row>
    <row r="218" spans="1:10" ht="17.25" x14ac:dyDescent="0.35">
      <c r="A218" s="18" t="s">
        <v>56</v>
      </c>
      <c r="B218" s="16" t="s">
        <v>1</v>
      </c>
      <c r="C218" s="16" t="s">
        <v>1</v>
      </c>
      <c r="D218" s="16" t="s">
        <v>2</v>
      </c>
      <c r="E218" s="16" t="s">
        <v>1</v>
      </c>
      <c r="F218" s="16" t="s">
        <v>1</v>
      </c>
      <c r="G218" s="16" t="s">
        <v>2</v>
      </c>
      <c r="H218" s="16" t="s">
        <v>1</v>
      </c>
      <c r="I218" s="16" t="s">
        <v>1</v>
      </c>
    </row>
    <row r="219" spans="1:10" s="17" customFormat="1" ht="17.25" x14ac:dyDescent="0.35">
      <c r="A219" t="s">
        <v>57</v>
      </c>
      <c r="B219" s="17">
        <v>3</v>
      </c>
      <c r="C219" s="17">
        <v>1</v>
      </c>
      <c r="D219" s="17">
        <v>1</v>
      </c>
      <c r="E219" s="17">
        <f>IF(E218=Inputs!$C$1,E220,E221)</f>
        <v>0</v>
      </c>
      <c r="F219" s="17">
        <f>IF(F218=Inputs!$C$1,F220,F221)</f>
        <v>0</v>
      </c>
      <c r="G219" s="17">
        <f>IF(G218=Inputs!$C$1,G220,G221)</f>
        <v>0</v>
      </c>
      <c r="H219" s="73">
        <f>IF(H218=Inputs!$C$1,H220,H221)</f>
        <v>0</v>
      </c>
      <c r="I219" s="73" t="e">
        <f>IF(I218=Inputs!$C$1,I220,I221)</f>
        <v>#REF!</v>
      </c>
    </row>
    <row r="220" spans="1:10" ht="17.25" x14ac:dyDescent="0.35">
      <c r="A220" s="18" t="s">
        <v>58</v>
      </c>
      <c r="B220" s="35"/>
      <c r="C220" s="16"/>
      <c r="D220" s="16"/>
      <c r="E220" s="16"/>
      <c r="F220" s="16"/>
      <c r="G220" s="16"/>
      <c r="H220" s="35"/>
      <c r="I220" s="35" t="e">
        <f>#REF!</f>
        <v>#REF!</v>
      </c>
    </row>
    <row r="221" spans="1:10" ht="17.25" x14ac:dyDescent="0.35">
      <c r="A221" s="18" t="s">
        <v>59</v>
      </c>
      <c r="B221" s="38"/>
      <c r="C221" s="5"/>
      <c r="D221" s="5"/>
      <c r="E221" s="5"/>
      <c r="F221" s="5"/>
      <c r="G221" s="5"/>
      <c r="H221" s="38"/>
      <c r="I221" s="38"/>
    </row>
    <row r="222" spans="1:10" x14ac:dyDescent="0.25">
      <c r="A222" s="18" t="s">
        <v>61</v>
      </c>
    </row>
    <row r="225" spans="1:7" s="110" customFormat="1" ht="80.45" customHeight="1" x14ac:dyDescent="0.25">
      <c r="A225" s="111" t="s">
        <v>379</v>
      </c>
    </row>
    <row r="226" spans="1:7" ht="34.5" x14ac:dyDescent="0.35">
      <c r="A226" s="27" t="s">
        <v>380</v>
      </c>
      <c r="B226" s="17">
        <f>B230*(B234+B244)</f>
        <v>0</v>
      </c>
    </row>
    <row r="227" spans="1:7" x14ac:dyDescent="0.25">
      <c r="A227" s="18" t="s">
        <v>125</v>
      </c>
    </row>
    <row r="228" spans="1:7" ht="51.75" x14ac:dyDescent="0.25">
      <c r="A228" s="24" t="s">
        <v>9</v>
      </c>
      <c r="B228" s="29" t="s">
        <v>381</v>
      </c>
    </row>
    <row r="229" spans="1:7" ht="17.25" x14ac:dyDescent="0.35">
      <c r="A229" s="18" t="s">
        <v>56</v>
      </c>
      <c r="B229" s="16" t="s">
        <v>1</v>
      </c>
    </row>
    <row r="230" spans="1:7" ht="17.25" x14ac:dyDescent="0.35">
      <c r="A230" t="s">
        <v>57</v>
      </c>
      <c r="B230" s="128">
        <f>IF(B229=Inputs!$C$1,B231,B232)</f>
        <v>1</v>
      </c>
    </row>
    <row r="231" spans="1:7" ht="17.25" x14ac:dyDescent="0.35">
      <c r="A231" s="18" t="s">
        <v>58</v>
      </c>
      <c r="B231" s="98">
        <v>1</v>
      </c>
    </row>
    <row r="232" spans="1:7" ht="17.25" x14ac:dyDescent="0.35">
      <c r="A232" s="18" t="s">
        <v>59</v>
      </c>
      <c r="B232" s="99"/>
    </row>
    <row r="233" spans="1:7" s="110" customFormat="1" ht="80.45" customHeight="1" x14ac:dyDescent="0.25">
      <c r="A233" s="111" t="s">
        <v>382</v>
      </c>
    </row>
    <row r="234" spans="1:7" ht="34.5" x14ac:dyDescent="0.35">
      <c r="A234" s="27" t="s">
        <v>380</v>
      </c>
      <c r="B234" s="17">
        <f>B238*E238*D238+F238*Inputs!D7*E238/C238</f>
        <v>0</v>
      </c>
    </row>
    <row r="235" spans="1:7" x14ac:dyDescent="0.25">
      <c r="A235" s="18" t="s">
        <v>125</v>
      </c>
    </row>
    <row r="236" spans="1:7" s="19" customFormat="1" ht="69.95" customHeight="1" x14ac:dyDescent="0.25">
      <c r="A236" s="24" t="s">
        <v>9</v>
      </c>
      <c r="B236" s="28" t="s">
        <v>383</v>
      </c>
      <c r="C236" s="28" t="s">
        <v>384</v>
      </c>
      <c r="D236" s="28" t="s">
        <v>385</v>
      </c>
      <c r="E236" s="28" t="s">
        <v>320</v>
      </c>
      <c r="F236" s="28" t="s">
        <v>386</v>
      </c>
      <c r="G236" s="29"/>
    </row>
    <row r="237" spans="1:7" ht="17.25" x14ac:dyDescent="0.35">
      <c r="A237" s="18" t="s">
        <v>56</v>
      </c>
      <c r="B237" s="16" t="s">
        <v>2</v>
      </c>
      <c r="C237" s="16" t="s">
        <v>2</v>
      </c>
      <c r="D237" s="16" t="s">
        <v>2</v>
      </c>
      <c r="E237" s="16" t="s">
        <v>2</v>
      </c>
      <c r="F237" s="16" t="s">
        <v>2</v>
      </c>
      <c r="G237" s="16"/>
    </row>
    <row r="238" spans="1:7" s="17" customFormat="1" ht="17.25" x14ac:dyDescent="0.35">
      <c r="A238" t="s">
        <v>57</v>
      </c>
      <c r="B238" s="17">
        <f>IF(B237=Inputs!$C$1,B239,B240)</f>
        <v>1E-8</v>
      </c>
      <c r="C238" s="17">
        <f>IF(C237=Inputs!$C$1,C239,C240)</f>
        <v>200000000000000</v>
      </c>
      <c r="D238" s="17">
        <f>IF(D237=Inputs!$C$1,D239,D240)</f>
        <v>1</v>
      </c>
      <c r="E238" s="17">
        <f>IF(E237=Inputs!$C$1,E239,E240)</f>
        <v>0</v>
      </c>
      <c r="F238" s="17">
        <f>IF(F237=Inputs!$C$1,F239,F240)</f>
        <v>16538840746.666666</v>
      </c>
      <c r="G238" s="128"/>
    </row>
    <row r="239" spans="1:7" ht="17.25" x14ac:dyDescent="0.35">
      <c r="A239" s="18" t="s">
        <v>58</v>
      </c>
      <c r="B239" s="16"/>
      <c r="C239" s="16"/>
      <c r="D239" s="16"/>
      <c r="E239" s="16"/>
      <c r="F239" s="16"/>
      <c r="G239" s="98"/>
    </row>
    <row r="240" spans="1:7" ht="17.25" x14ac:dyDescent="0.35">
      <c r="A240" s="18" t="s">
        <v>59</v>
      </c>
      <c r="B240" s="5">
        <f>Inputs!L28</f>
        <v>1E-8</v>
      </c>
      <c r="C240" s="5">
        <f>Inputs!M28</f>
        <v>200000000000000</v>
      </c>
      <c r="D240" s="5">
        <f>Inputs!C14</f>
        <v>1</v>
      </c>
      <c r="E240" s="5">
        <f>2*(Inputs!C14-1)/Inputs!C14</f>
        <v>0</v>
      </c>
      <c r="F240" s="5">
        <f>Inputs!AL7/Inputs!K14</f>
        <v>16538840746.666666</v>
      </c>
      <c r="G240" s="99"/>
    </row>
    <row r="241" spans="1:6" x14ac:dyDescent="0.25">
      <c r="A241" s="18" t="s">
        <v>61</v>
      </c>
    </row>
    <row r="242" spans="1:6" x14ac:dyDescent="0.25">
      <c r="B242" s="30"/>
    </row>
    <row r="243" spans="1:6" s="110" customFormat="1" ht="80.45" customHeight="1" x14ac:dyDescent="0.25">
      <c r="A243" s="111" t="s">
        <v>387</v>
      </c>
    </row>
    <row r="244" spans="1:6" ht="34.5" x14ac:dyDescent="0.35">
      <c r="A244" s="27" t="s">
        <v>380</v>
      </c>
      <c r="B244" s="17">
        <f>B248*E248*D248+F248*Inputs!D7*E248/C248</f>
        <v>0</v>
      </c>
    </row>
    <row r="245" spans="1:6" x14ac:dyDescent="0.25">
      <c r="A245" s="18" t="s">
        <v>125</v>
      </c>
    </row>
    <row r="246" spans="1:6" s="19" customFormat="1" ht="69" x14ac:dyDescent="0.25">
      <c r="A246" s="24" t="s">
        <v>9</v>
      </c>
      <c r="B246" s="28" t="s">
        <v>388</v>
      </c>
      <c r="C246" s="28" t="s">
        <v>389</v>
      </c>
      <c r="D246" s="28" t="s">
        <v>390</v>
      </c>
      <c r="E246" s="28" t="s">
        <v>391</v>
      </c>
      <c r="F246" s="28" t="s">
        <v>392</v>
      </c>
    </row>
    <row r="247" spans="1:6" ht="17.25" x14ac:dyDescent="0.35">
      <c r="A247" s="18" t="s">
        <v>56</v>
      </c>
      <c r="B247" s="16" t="s">
        <v>2</v>
      </c>
      <c r="C247" s="16" t="s">
        <v>2</v>
      </c>
      <c r="D247" s="16" t="s">
        <v>2</v>
      </c>
      <c r="E247" s="16" t="s">
        <v>2</v>
      </c>
      <c r="F247" s="16" t="s">
        <v>2</v>
      </c>
    </row>
    <row r="248" spans="1:6" s="17" customFormat="1" ht="17.25" x14ac:dyDescent="0.35">
      <c r="A248" t="s">
        <v>57</v>
      </c>
      <c r="B248" s="17">
        <f>IF(B247=Inputs!$C$1,B249,B250)</f>
        <v>9.9999999999999995E-8</v>
      </c>
      <c r="C248" s="17">
        <f>IF(C247=Inputs!$C$1,C249,C250)</f>
        <v>20000000000000</v>
      </c>
      <c r="D248" s="17">
        <f>IF(D247=Inputs!$C$1,D249,D250)</f>
        <v>1</v>
      </c>
      <c r="E248" s="17">
        <f>IF(E247=Inputs!$C$1,E249,E250)</f>
        <v>0</v>
      </c>
      <c r="F248" s="17">
        <f>IF(F247=Inputs!$C$1,F249,F250)</f>
        <v>16538840746.666666</v>
      </c>
    </row>
    <row r="249" spans="1:6" ht="17.25" x14ac:dyDescent="0.35">
      <c r="A249" s="18" t="s">
        <v>58</v>
      </c>
      <c r="B249" s="16"/>
      <c r="C249" s="16"/>
      <c r="D249" s="16"/>
      <c r="E249" s="16"/>
      <c r="F249" s="16"/>
    </row>
    <row r="250" spans="1:6" ht="17.25" x14ac:dyDescent="0.35">
      <c r="A250" s="18" t="s">
        <v>59</v>
      </c>
      <c r="B250" s="5">
        <f>Inputs!B21</f>
        <v>9.9999999999999995E-8</v>
      </c>
      <c r="C250" s="5">
        <f>Inputs!E21/2</f>
        <v>20000000000000</v>
      </c>
      <c r="D250" s="5">
        <f>Inputs!G14</f>
        <v>1</v>
      </c>
      <c r="E250" s="5">
        <f>2*(Inputs!G14-1)/Inputs!G14</f>
        <v>0</v>
      </c>
      <c r="F250" s="5">
        <f>Inputs!AL7/Inputs!K14</f>
        <v>16538840746.666666</v>
      </c>
    </row>
    <row r="251" spans="1:6" x14ac:dyDescent="0.25">
      <c r="A251" s="18" t="s">
        <v>61</v>
      </c>
      <c r="C251" s="18" t="s">
        <v>393</v>
      </c>
    </row>
    <row r="254" spans="1:6" s="110" customFormat="1" ht="53.25" customHeight="1" x14ac:dyDescent="0.25">
      <c r="A254" s="111" t="s">
        <v>394</v>
      </c>
      <c r="D254" s="110" t="s">
        <v>395</v>
      </c>
    </row>
    <row r="255" spans="1:6" ht="17.25" x14ac:dyDescent="0.35">
      <c r="A255" s="27" t="s">
        <v>396</v>
      </c>
      <c r="B255" s="17" t="e">
        <f>B259*(C259+D259*E259/(F259*G259))*H259/I259</f>
        <v>#REF!</v>
      </c>
    </row>
    <row r="256" spans="1:6" x14ac:dyDescent="0.25">
      <c r="A256" s="18" t="s">
        <v>125</v>
      </c>
      <c r="B256" s="18" t="s">
        <v>397</v>
      </c>
    </row>
    <row r="257" spans="1:11" s="19" customFormat="1" ht="34.5" x14ac:dyDescent="0.25">
      <c r="A257" s="24" t="s">
        <v>9</v>
      </c>
      <c r="B257" s="28" t="s">
        <v>398</v>
      </c>
      <c r="C257" s="28" t="s">
        <v>399</v>
      </c>
      <c r="D257" s="28" t="s">
        <v>400</v>
      </c>
      <c r="E257" s="28" t="s">
        <v>401</v>
      </c>
      <c r="F257" s="28" t="s">
        <v>402</v>
      </c>
      <c r="G257" s="28" t="s">
        <v>403</v>
      </c>
      <c r="H257" s="29" t="s">
        <v>404</v>
      </c>
      <c r="I257" s="29" t="s">
        <v>405</v>
      </c>
      <c r="J257" s="29"/>
    </row>
    <row r="258" spans="1:11" ht="17.25" x14ac:dyDescent="0.35">
      <c r="A258" s="18" t="s">
        <v>56</v>
      </c>
      <c r="B258" s="16" t="s">
        <v>2</v>
      </c>
      <c r="C258" s="16" t="s">
        <v>2</v>
      </c>
      <c r="D258" s="16" t="s">
        <v>2</v>
      </c>
      <c r="E258" s="16" t="s">
        <v>1</v>
      </c>
      <c r="F258" s="16" t="s">
        <v>1</v>
      </c>
      <c r="G258" s="16" t="s">
        <v>1</v>
      </c>
      <c r="H258" s="16" t="s">
        <v>1</v>
      </c>
      <c r="I258" s="16" t="s">
        <v>1</v>
      </c>
    </row>
    <row r="259" spans="1:11" s="17" customFormat="1" ht="17.25" x14ac:dyDescent="0.35">
      <c r="A259" t="s">
        <v>57</v>
      </c>
      <c r="B259" s="17">
        <f>IF(B258=Inputs!$C$1,B260,B261)</f>
        <v>480</v>
      </c>
      <c r="C259" s="17">
        <f>IF(C258=Inputs!$C$1,C260,C261)</f>
        <v>0</v>
      </c>
      <c r="D259" s="73" t="e">
        <f>IF(D258=Inputs!$C$1,D260,D261)</f>
        <v>#REF!</v>
      </c>
      <c r="E259" s="17">
        <f>IF(E258=Inputs!$C$1,E260,E261)</f>
        <v>32000</v>
      </c>
      <c r="F259" s="17">
        <f>IF(F258=Inputs!$C$1,F260,F261)</f>
        <v>240000000000</v>
      </c>
      <c r="G259" s="73">
        <f>IF(G258=Inputs!$C$1,G260,G261)</f>
        <v>1</v>
      </c>
      <c r="H259" s="17" t="e">
        <f>IF(H258=Inputs!$C$1,H260,H261)</f>
        <v>#REF!</v>
      </c>
      <c r="I259" s="17">
        <f>IF(I258=Inputs!$C$1,I260,I261)</f>
        <v>4480</v>
      </c>
    </row>
    <row r="260" spans="1:11" ht="17.25" x14ac:dyDescent="0.35">
      <c r="A260" s="18" t="s">
        <v>58</v>
      </c>
      <c r="B260" s="16"/>
      <c r="C260" s="16"/>
      <c r="D260" s="35"/>
      <c r="E260" s="16">
        <f>4000*8</f>
        <v>32000</v>
      </c>
      <c r="F260" s="16">
        <v>240000000000</v>
      </c>
      <c r="G260" s="35">
        <v>1</v>
      </c>
      <c r="H260" s="16" t="e">
        <f>#REF!</f>
        <v>#REF!</v>
      </c>
      <c r="I260" s="16">
        <v>4480</v>
      </c>
    </row>
    <row r="261" spans="1:11" ht="17.25" x14ac:dyDescent="0.35">
      <c r="A261" s="18" t="s">
        <v>59</v>
      </c>
      <c r="B261" s="5">
        <f>C23</f>
        <v>480</v>
      </c>
      <c r="C261" s="5">
        <f>B85</f>
        <v>0</v>
      </c>
      <c r="D261" s="38" t="e">
        <f>#REF!</f>
        <v>#REF!</v>
      </c>
      <c r="E261" s="5"/>
      <c r="F261" s="5"/>
      <c r="G261" s="5"/>
      <c r="H261" s="5"/>
      <c r="I261" s="5"/>
    </row>
    <row r="262" spans="1:11" x14ac:dyDescent="0.25">
      <c r="A262" s="18" t="s">
        <v>61</v>
      </c>
    </row>
    <row r="267" spans="1:11" s="110" customFormat="1" ht="83.1" customHeight="1" x14ac:dyDescent="0.25">
      <c r="A267" s="111" t="s">
        <v>406</v>
      </c>
    </row>
    <row r="268" spans="1:11" ht="17.25" x14ac:dyDescent="0.35">
      <c r="A268" s="27" t="s">
        <v>407</v>
      </c>
      <c r="B268" s="39">
        <f>(B272*J272*K272/Inputs!F14+G272*J272*(H272/E272+I272/C272))*Inputs!AP7</f>
        <v>0</v>
      </c>
    </row>
    <row r="269" spans="1:11" x14ac:dyDescent="0.25">
      <c r="A269" s="18" t="s">
        <v>125</v>
      </c>
      <c r="B269" s="18" t="s">
        <v>408</v>
      </c>
    </row>
    <row r="270" spans="1:11" ht="36" x14ac:dyDescent="0.25">
      <c r="A270" s="18" t="s">
        <v>409</v>
      </c>
      <c r="B270" s="28" t="s">
        <v>326</v>
      </c>
      <c r="C270" s="28" t="s">
        <v>328</v>
      </c>
      <c r="D270" s="28" t="s">
        <v>316</v>
      </c>
      <c r="E270" s="28" t="s">
        <v>319</v>
      </c>
      <c r="F270" s="28" t="s">
        <v>410</v>
      </c>
      <c r="G270" s="28" t="s">
        <v>318</v>
      </c>
      <c r="H270" s="28" t="s">
        <v>411</v>
      </c>
      <c r="I270" s="28" t="s">
        <v>412</v>
      </c>
      <c r="J270" s="28" t="s">
        <v>413</v>
      </c>
      <c r="K270" s="28" t="s">
        <v>978</v>
      </c>
    </row>
    <row r="271" spans="1:11" ht="17.25" x14ac:dyDescent="0.35">
      <c r="B271" s="16" t="s">
        <v>2</v>
      </c>
      <c r="C271" s="16" t="s">
        <v>2</v>
      </c>
      <c r="D271" s="16" t="s">
        <v>2</v>
      </c>
      <c r="E271" s="16" t="s">
        <v>2</v>
      </c>
      <c r="F271" s="16" t="s">
        <v>2</v>
      </c>
      <c r="G271" s="16" t="s">
        <v>2</v>
      </c>
      <c r="H271" s="16" t="s">
        <v>2</v>
      </c>
      <c r="I271" s="16" t="s">
        <v>2</v>
      </c>
      <c r="J271" s="16" t="s">
        <v>2</v>
      </c>
      <c r="K271" s="16" t="s">
        <v>2</v>
      </c>
    </row>
    <row r="272" spans="1:11" s="17" customFormat="1" ht="17.25" x14ac:dyDescent="0.35">
      <c r="A272" t="s">
        <v>57</v>
      </c>
      <c r="B272" s="17">
        <f>IF(B271=Inputs!$C$1,B273,B274)</f>
        <v>9.9999999999999995E-8</v>
      </c>
      <c r="C272" s="17">
        <f>IF(C271=Inputs!$C$1,C273,C274)</f>
        <v>20000000000000</v>
      </c>
      <c r="D272" s="17">
        <f>IF(D271=Inputs!$C$1,D273,D274)</f>
        <v>1E-8</v>
      </c>
      <c r="E272" s="17">
        <f>IF(E271=Inputs!$C$1,E273,E274)</f>
        <v>200000000000000</v>
      </c>
      <c r="F272" s="17">
        <f>IF(F271=Inputs!$C$1,F273,F274)</f>
        <v>3243595093.333333</v>
      </c>
      <c r="G272" s="17">
        <f>IF(G271=Inputs!$C$1,G273,G274)</f>
        <v>16</v>
      </c>
      <c r="H272" s="17">
        <f>IF(H271=Inputs!$C$1,H273,H274)</f>
        <v>3243595093.333333</v>
      </c>
      <c r="I272" s="17">
        <f>IF(I271=Inputs!$C$1,I273,I274)</f>
        <v>0</v>
      </c>
      <c r="J272" s="17">
        <f>IF(J271=Inputs!$C$1,J273,J274)</f>
        <v>0</v>
      </c>
      <c r="K272" s="17">
        <f>IF(K271=Inputs!$C$1,K273,K274)</f>
        <v>1</v>
      </c>
    </row>
    <row r="273" spans="1:11" ht="17.25" x14ac:dyDescent="0.35">
      <c r="A273" s="18" t="s">
        <v>58</v>
      </c>
      <c r="B273" s="16"/>
      <c r="C273" s="16"/>
      <c r="D273" s="16"/>
      <c r="E273" s="16"/>
      <c r="F273" s="16"/>
      <c r="G273" s="16"/>
      <c r="H273" s="16"/>
      <c r="I273" s="16"/>
      <c r="J273" s="16"/>
      <c r="K273" s="16"/>
    </row>
    <row r="274" spans="1:11" ht="17.25" x14ac:dyDescent="0.35">
      <c r="A274" s="18" t="s">
        <v>59</v>
      </c>
      <c r="B274" s="5">
        <f>Inputs!B21</f>
        <v>9.9999999999999995E-8</v>
      </c>
      <c r="C274" s="5">
        <f>Inputs!E21/2</f>
        <v>20000000000000</v>
      </c>
      <c r="D274" s="5">
        <f>Inputs!L28</f>
        <v>1E-8</v>
      </c>
      <c r="E274" s="5">
        <f>Inputs!M28</f>
        <v>200000000000000</v>
      </c>
      <c r="F274" s="5">
        <f>Inputs!L7</f>
        <v>3243595093.333333</v>
      </c>
      <c r="G274" s="5">
        <f>Inputs!C7</f>
        <v>16</v>
      </c>
      <c r="H274" s="5">
        <f>F272*Inputs!F14/K272</f>
        <v>3243595093.333333</v>
      </c>
      <c r="I274" s="5">
        <f>F272*(K272-Inputs!F14)/K272</f>
        <v>0</v>
      </c>
      <c r="J274" s="5">
        <f>(K272-Inputs!F14)/K272</f>
        <v>0</v>
      </c>
      <c r="K274" s="5">
        <f>MIN(Inputs!AQ7,Inputs!M14)</f>
        <v>1</v>
      </c>
    </row>
    <row r="275" spans="1:11" ht="17.25" x14ac:dyDescent="0.35">
      <c r="B275" s="5"/>
      <c r="C275" s="5"/>
      <c r="D275" s="5"/>
      <c r="E275" s="5"/>
      <c r="F275" s="5"/>
      <c r="G275" s="5"/>
    </row>
    <row r="276" spans="1:11" s="110" customFormat="1" ht="53.25" customHeight="1" x14ac:dyDescent="0.25">
      <c r="A276" s="111" t="s">
        <v>414</v>
      </c>
    </row>
    <row r="277" spans="1:11" ht="17.25" x14ac:dyDescent="0.35">
      <c r="A277" s="27" t="s">
        <v>407</v>
      </c>
      <c r="B277" s="39">
        <f>(B272*J272*K272/Inputs!F14+F281*J272*(H272/E272+I272/C272))*Inputs!AP7</f>
        <v>0</v>
      </c>
    </row>
    <row r="278" spans="1:11" x14ac:dyDescent="0.25">
      <c r="A278" s="18" t="s">
        <v>125</v>
      </c>
      <c r="B278" s="18" t="s">
        <v>415</v>
      </c>
    </row>
    <row r="279" spans="1:11" ht="34.5" x14ac:dyDescent="0.25">
      <c r="A279" s="18" t="s">
        <v>409</v>
      </c>
      <c r="B279" s="28" t="s">
        <v>326</v>
      </c>
      <c r="C279" s="28" t="s">
        <v>328</v>
      </c>
      <c r="D279" s="28" t="s">
        <v>316</v>
      </c>
      <c r="E279" s="28" t="s">
        <v>319</v>
      </c>
      <c r="F279" s="28" t="s">
        <v>416</v>
      </c>
      <c r="G279" s="28"/>
      <c r="H279" s="28"/>
      <c r="I279" s="28"/>
    </row>
    <row r="280" spans="1:11" ht="17.25" x14ac:dyDescent="0.35">
      <c r="B280" s="16" t="s">
        <v>2</v>
      </c>
      <c r="C280" s="16" t="s">
        <v>2</v>
      </c>
      <c r="D280" s="16" t="s">
        <v>2</v>
      </c>
      <c r="E280" s="16" t="s">
        <v>2</v>
      </c>
      <c r="F280" s="16" t="s">
        <v>2</v>
      </c>
      <c r="G280" s="16"/>
      <c r="H280" s="16"/>
      <c r="I280" s="16"/>
    </row>
    <row r="281" spans="1:11" s="17" customFormat="1" ht="17.25" x14ac:dyDescent="0.35">
      <c r="A281" t="s">
        <v>57</v>
      </c>
      <c r="B281" s="17">
        <f>IF(B280=Inputs!$C$1,B282,B283)</f>
        <v>9.9999999999999995E-8</v>
      </c>
      <c r="C281" s="17">
        <f>IF(C280=Inputs!$C$1,C282,C283)</f>
        <v>20000000000000</v>
      </c>
      <c r="D281" s="17">
        <f>IF(D280=Inputs!$C$1,D282,D283)</f>
        <v>1E-8</v>
      </c>
      <c r="E281" s="17">
        <f>IF(E280=Inputs!$C$1,E282,E283)</f>
        <v>200000000000000</v>
      </c>
      <c r="F281" s="17">
        <f>IF(F280=Inputs!$C$1,F282,F283)</f>
        <v>32</v>
      </c>
    </row>
    <row r="282" spans="1:11" ht="17.25" x14ac:dyDescent="0.35">
      <c r="A282" s="18" t="s">
        <v>58</v>
      </c>
      <c r="B282" s="16"/>
      <c r="C282" s="16"/>
      <c r="D282" s="16"/>
      <c r="E282" s="16"/>
      <c r="F282" s="16"/>
      <c r="G282" s="16"/>
      <c r="H282" s="16"/>
      <c r="I282" s="16"/>
    </row>
    <row r="283" spans="1:11" ht="17.25" x14ac:dyDescent="0.35">
      <c r="A283" s="18" t="s">
        <v>59</v>
      </c>
      <c r="B283" s="5">
        <f>Inputs!B21</f>
        <v>9.9999999999999995E-8</v>
      </c>
      <c r="C283" s="5">
        <f>Inputs!E21/2</f>
        <v>20000000000000</v>
      </c>
      <c r="D283" s="5">
        <f>Inputs!L28</f>
        <v>1E-8</v>
      </c>
      <c r="E283" s="5">
        <f>Inputs!M28</f>
        <v>200000000000000</v>
      </c>
      <c r="F283" s="5">
        <f>Inputs!D7</f>
        <v>32</v>
      </c>
      <c r="G283" s="5"/>
      <c r="H283" s="5"/>
      <c r="I283" s="5"/>
    </row>
    <row r="284" spans="1:11" ht="17.25" x14ac:dyDescent="0.35">
      <c r="B284" s="5"/>
      <c r="C284" s="5"/>
      <c r="D284" s="5"/>
      <c r="E284" s="5"/>
      <c r="F284" s="5"/>
    </row>
    <row r="285" spans="1:11" s="110" customFormat="1" ht="53.25" customHeight="1" x14ac:dyDescent="0.25">
      <c r="A285" s="111" t="s">
        <v>417</v>
      </c>
    </row>
    <row r="287" spans="1:11" s="138" customFormat="1" x14ac:dyDescent="0.25">
      <c r="A287" s="138" t="s">
        <v>418</v>
      </c>
      <c r="B287" s="138" t="s">
        <v>419</v>
      </c>
    </row>
    <row r="288" spans="1:11" x14ac:dyDescent="0.25">
      <c r="A288" s="18" t="s">
        <v>420</v>
      </c>
      <c r="B288" s="18" t="s">
        <v>421</v>
      </c>
    </row>
    <row r="289" spans="1:4" s="138" customFormat="1" x14ac:dyDescent="0.25">
      <c r="A289" s="138" t="s">
        <v>422</v>
      </c>
      <c r="B289" s="138" t="s">
        <v>423</v>
      </c>
    </row>
    <row r="290" spans="1:4" x14ac:dyDescent="0.25">
      <c r="A290" s="18" t="s">
        <v>424</v>
      </c>
      <c r="B290" s="18" t="s">
        <v>425</v>
      </c>
    </row>
    <row r="291" spans="1:4" x14ac:dyDescent="0.25">
      <c r="A291" s="18" t="s">
        <v>424</v>
      </c>
      <c r="B291" s="18" t="s">
        <v>426</v>
      </c>
    </row>
    <row r="292" spans="1:4" x14ac:dyDescent="0.25">
      <c r="A292" s="18" t="s">
        <v>424</v>
      </c>
      <c r="B292" s="18" t="s">
        <v>427</v>
      </c>
    </row>
    <row r="293" spans="1:4" s="138" customFormat="1" x14ac:dyDescent="0.25">
      <c r="A293" s="138" t="s">
        <v>428</v>
      </c>
      <c r="B293" s="138" t="s">
        <v>429</v>
      </c>
    </row>
    <row r="294" spans="1:4" s="138" customFormat="1" x14ac:dyDescent="0.25">
      <c r="A294" s="138" t="s">
        <v>428</v>
      </c>
      <c r="B294" s="138" t="s">
        <v>430</v>
      </c>
    </row>
    <row r="295" spans="1:4" x14ac:dyDescent="0.25">
      <c r="A295" s="18" t="s">
        <v>424</v>
      </c>
      <c r="B295" s="18" t="s">
        <v>431</v>
      </c>
    </row>
    <row r="296" spans="1:4" x14ac:dyDescent="0.25">
      <c r="A296" s="18" t="s">
        <v>432</v>
      </c>
    </row>
    <row r="297" spans="1:4" x14ac:dyDescent="0.25">
      <c r="B297" s="18" t="s">
        <v>433</v>
      </c>
    </row>
    <row r="298" spans="1:4" x14ac:dyDescent="0.25">
      <c r="C298" s="18" t="s">
        <v>434</v>
      </c>
    </row>
    <row r="299" spans="1:4" x14ac:dyDescent="0.25">
      <c r="B299" s="18" t="s">
        <v>435</v>
      </c>
    </row>
    <row r="300" spans="1:4" x14ac:dyDescent="0.25">
      <c r="B300" s="18" t="s">
        <v>436</v>
      </c>
      <c r="D300" t="s">
        <v>437</v>
      </c>
    </row>
    <row r="301" spans="1:4" x14ac:dyDescent="0.25">
      <c r="B301" s="43" t="s">
        <v>428</v>
      </c>
      <c r="C301" s="43" t="s">
        <v>438</v>
      </c>
      <c r="D301"/>
    </row>
    <row r="302" spans="1:4" x14ac:dyDescent="0.25">
      <c r="B302" s="43" t="s">
        <v>428</v>
      </c>
      <c r="C302" s="43" t="s">
        <v>439</v>
      </c>
      <c r="D302"/>
    </row>
    <row r="303" spans="1:4" x14ac:dyDescent="0.25">
      <c r="B303" s="43" t="s">
        <v>428</v>
      </c>
      <c r="C303" s="43" t="s">
        <v>440</v>
      </c>
      <c r="D303"/>
    </row>
    <row r="304" spans="1:4" x14ac:dyDescent="0.25">
      <c r="B304" s="18" t="s">
        <v>441</v>
      </c>
      <c r="D304" s="18" t="s">
        <v>442</v>
      </c>
    </row>
    <row r="307" spans="1:4" x14ac:dyDescent="0.25">
      <c r="A307" s="43"/>
      <c r="B307" s="43"/>
    </row>
    <row r="308" spans="1:4" x14ac:dyDescent="0.25">
      <c r="A308" s="18" t="s">
        <v>443</v>
      </c>
      <c r="B308" s="43"/>
    </row>
    <row r="309" spans="1:4" x14ac:dyDescent="0.25">
      <c r="A309" s="18" t="s">
        <v>444</v>
      </c>
      <c r="B309" s="33"/>
    </row>
    <row r="310" spans="1:4" x14ac:dyDescent="0.25">
      <c r="A310" s="18" t="s">
        <v>445</v>
      </c>
      <c r="B310" s="33"/>
    </row>
    <row r="311" spans="1:4" x14ac:dyDescent="0.25">
      <c r="A311" s="33"/>
      <c r="B311" s="33" t="s">
        <v>446</v>
      </c>
    </row>
    <row r="312" spans="1:4" x14ac:dyDescent="0.25">
      <c r="A312" s="33"/>
      <c r="B312" s="33" t="s">
        <v>447</v>
      </c>
      <c r="C312" s="18" t="s">
        <v>448</v>
      </c>
    </row>
    <row r="313" spans="1:4" x14ac:dyDescent="0.25">
      <c r="A313" s="33"/>
      <c r="B313" s="33"/>
    </row>
    <row r="314" spans="1:4" x14ac:dyDescent="0.25">
      <c r="A314" s="18" t="s">
        <v>449</v>
      </c>
      <c r="B314" s="18" t="s">
        <v>450</v>
      </c>
      <c r="D314" s="18" t="s">
        <v>451</v>
      </c>
    </row>
    <row r="315" spans="1:4" s="43" customFormat="1" x14ac:dyDescent="0.25">
      <c r="B315" s="18" t="s">
        <v>452</v>
      </c>
      <c r="C315" s="18" t="s">
        <v>453</v>
      </c>
    </row>
    <row r="316" spans="1:4" x14ac:dyDescent="0.25">
      <c r="C316" s="18" t="s">
        <v>454</v>
      </c>
    </row>
    <row r="317" spans="1:4" x14ac:dyDescent="0.25">
      <c r="C317" s="18" t="s">
        <v>455</v>
      </c>
    </row>
    <row r="318" spans="1:4" x14ac:dyDescent="0.25">
      <c r="B318" s="18" t="s">
        <v>456</v>
      </c>
    </row>
    <row r="319" spans="1:4" x14ac:dyDescent="0.25">
      <c r="B319" s="18" t="s">
        <v>457</v>
      </c>
    </row>
    <row r="321" spans="1:3" x14ac:dyDescent="0.25">
      <c r="B321" s="33"/>
    </row>
    <row r="323" spans="1:3" x14ac:dyDescent="0.25">
      <c r="A323" s="69" t="s">
        <v>458</v>
      </c>
    </row>
    <row r="324" spans="1:3" x14ac:dyDescent="0.25">
      <c r="A324" s="18" t="s">
        <v>459</v>
      </c>
    </row>
    <row r="325" spans="1:3" x14ac:dyDescent="0.25">
      <c r="A325" s="18" t="s">
        <v>460</v>
      </c>
    </row>
    <row r="326" spans="1:3" x14ac:dyDescent="0.25">
      <c r="A326" s="18" t="s">
        <v>461</v>
      </c>
    </row>
    <row r="327" spans="1:3" x14ac:dyDescent="0.25">
      <c r="A327" s="18" t="s">
        <v>462</v>
      </c>
    </row>
    <row r="329" spans="1:3" x14ac:dyDescent="0.25">
      <c r="A329" s="69" t="s">
        <v>463</v>
      </c>
    </row>
    <row r="330" spans="1:3" x14ac:dyDescent="0.25">
      <c r="A330" s="33" t="s">
        <v>464</v>
      </c>
    </row>
    <row r="331" spans="1:3" s="33" customFormat="1" x14ac:dyDescent="0.25">
      <c r="A331" s="33" t="s">
        <v>465</v>
      </c>
      <c r="C331" s="94"/>
    </row>
    <row r="332" spans="1:3" s="33" customFormat="1" x14ac:dyDescent="0.25">
      <c r="A332" s="33" t="s">
        <v>466</v>
      </c>
    </row>
    <row r="333" spans="1:3" s="33" customFormat="1" x14ac:dyDescent="0.25">
      <c r="A333" s="33" t="s">
        <v>467</v>
      </c>
    </row>
    <row r="334" spans="1:3" x14ac:dyDescent="0.25">
      <c r="A334" s="18" t="s">
        <v>468</v>
      </c>
    </row>
    <row r="337" spans="1:2" x14ac:dyDescent="0.25">
      <c r="A337" s="39" t="s">
        <v>469</v>
      </c>
    </row>
    <row r="338" spans="1:2" x14ac:dyDescent="0.25">
      <c r="A338" s="18" t="s">
        <v>470</v>
      </c>
      <c r="B338" s="18">
        <v>528000000000000</v>
      </c>
    </row>
    <row r="339" spans="1:2" x14ac:dyDescent="0.25">
      <c r="A339" s="18" t="s">
        <v>471</v>
      </c>
      <c r="B339" s="18">
        <v>880000000000000</v>
      </c>
    </row>
    <row r="340" spans="1:2" x14ac:dyDescent="0.25">
      <c r="A340" s="18" t="s">
        <v>472</v>
      </c>
      <c r="B340" s="18">
        <v>1410000000000000</v>
      </c>
    </row>
    <row r="341" spans="1:2" x14ac:dyDescent="0.25">
      <c r="A341" s="18" t="s">
        <v>473</v>
      </c>
      <c r="B341" s="18">
        <v>2048</v>
      </c>
    </row>
    <row r="342" spans="1:2" x14ac:dyDescent="0.25">
      <c r="A342" s="18" t="s">
        <v>474</v>
      </c>
      <c r="B342" s="18">
        <v>2048</v>
      </c>
    </row>
    <row r="343" spans="1:2" x14ac:dyDescent="0.25">
      <c r="A343" s="18" t="s">
        <v>475</v>
      </c>
      <c r="B343" s="18">
        <v>5120</v>
      </c>
    </row>
    <row r="344" spans="1:2" x14ac:dyDescent="0.25">
      <c r="A344" s="18" t="s">
        <v>476</v>
      </c>
      <c r="B344" s="18" t="s">
        <v>477</v>
      </c>
    </row>
    <row r="345" spans="1:2" x14ac:dyDescent="0.25">
      <c r="A345" s="18" t="s">
        <v>478</v>
      </c>
      <c r="B345" s="18" t="s">
        <v>479</v>
      </c>
    </row>
    <row r="346" spans="1:2" x14ac:dyDescent="0.25">
      <c r="A346" s="18" t="s">
        <v>480</v>
      </c>
      <c r="B346" s="18">
        <v>40</v>
      </c>
    </row>
  </sheetData>
  <mergeCells count="17">
    <mergeCell ref="H113:J113"/>
    <mergeCell ref="L113:M113"/>
    <mergeCell ref="AM8:AN8"/>
    <mergeCell ref="C92:E94"/>
    <mergeCell ref="N86:P86"/>
    <mergeCell ref="R86:S86"/>
    <mergeCell ref="L11:N12"/>
    <mergeCell ref="F123:H123"/>
    <mergeCell ref="J123:K123"/>
    <mergeCell ref="F133:H133"/>
    <mergeCell ref="J133:K133"/>
    <mergeCell ref="H176:J176"/>
    <mergeCell ref="F196:H196"/>
    <mergeCell ref="F186:H186"/>
    <mergeCell ref="L176:M176"/>
    <mergeCell ref="J186:K186"/>
    <mergeCell ref="J196:K196"/>
  </mergeCells>
  <conditionalFormatting sqref="A268">
    <cfRule type="containsText" dxfId="63" priority="10" operator="containsText" text="calculated">
      <formula>NOT(ISERROR(SEARCH("calculated",A268)))</formula>
    </cfRule>
  </conditionalFormatting>
  <conditionalFormatting sqref="A277">
    <cfRule type="containsText" dxfId="62" priority="9" operator="containsText" text="calculated">
      <formula>NOT(ISERROR(SEARCH("calculated",A277)))</formula>
    </cfRule>
  </conditionalFormatting>
  <conditionalFormatting sqref="A31:B31 N31:XFD31">
    <cfRule type="containsText" dxfId="61" priority="14" operator="containsText" text="calculated">
      <formula>NOT(ISERROR(SEARCH("calculated",A31)))</formula>
    </cfRule>
  </conditionalFormatting>
  <conditionalFormatting sqref="A229:B229">
    <cfRule type="containsText" dxfId="60" priority="15" operator="containsText" text="calculated">
      <formula>NOT(ISERROR(SEARCH("calculated",A229)))</formula>
    </cfRule>
  </conditionalFormatting>
  <conditionalFormatting sqref="A247:F247 H247:XFD247">
    <cfRule type="containsText" dxfId="59" priority="114" operator="containsText" text="calculated">
      <formula>NOT(ISERROR(SEARCH("calculated",A247)))</formula>
    </cfRule>
  </conditionalFormatting>
  <conditionalFormatting sqref="A3:XFD258">
    <cfRule type="containsText" dxfId="58" priority="17" operator="containsText" text="calculated">
      <formula>NOT(ISERROR(SEARCH("calculated",A3)))</formula>
    </cfRule>
  </conditionalFormatting>
  <conditionalFormatting sqref="B63:C63">
    <cfRule type="cellIs" dxfId="57" priority="37" operator="greaterThan">
      <formula>2048</formula>
    </cfRule>
  </conditionalFormatting>
  <conditionalFormatting sqref="B280:I280">
    <cfRule type="containsText" dxfId="56" priority="3" operator="containsText" text="calculated">
      <formula>NOT(ISERROR(SEARCH("calculated",B280)))</formula>
    </cfRule>
  </conditionalFormatting>
  <conditionalFormatting sqref="B271:K271">
    <cfRule type="containsText" dxfId="55" priority="11" operator="containsText" text="calculated">
      <formula>NOT(ISERROR(SEARCH("calculated",B271)))</formula>
    </cfRule>
  </conditionalFormatting>
  <dataValidations count="1">
    <dataValidation type="list" showErrorMessage="1" sqref="B90:B91" xr:uid="{1BC24D3A-5472-4CB2-82B0-930C18A4AB67}">
      <formula1>$M$89:$M$96</formula1>
    </dataValidation>
  </dataValidations>
  <pageMargins left="0.7" right="0.7" top="0.75" bottom="0.75" header="0.3" footer="0.3"/>
  <pageSetup paperSize="9" orientation="portrait" r:id="rId1"/>
  <headerFooter>
    <oddFooter>&amp;R&amp;1#&amp;"Calibri"&amp;8&amp;K000000strictly confidential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62D4F6E-8F32-44F3-B94D-62A038E95AD0}">
          <x14:formula1>
            <xm:f>Inputs!$C$1:$D$1</xm:f>
          </x14:formula1>
          <xm:sqref>B12:D12 B31 B22:N22 B247:F247 B229 B164:F164 B111:F111 B101:F101 B237:G237 B174:F174 B84:I84 B52:K52 B72:G72 B40:N40 B131:E131 B153:F153 B184:E184 B121:E121 B62:C62 B218:I218 B194:E194 B258:I258 B206:C206 B280:I280 B3:AF3 B271:K271 B142:O142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36AAB-FD96-43DA-9595-1A37AFF726F3}">
  <dimension ref="A1:D4"/>
  <sheetViews>
    <sheetView workbookViewId="0">
      <selection activeCell="H26" sqref="H26"/>
    </sheetView>
  </sheetViews>
  <sheetFormatPr defaultRowHeight="15" x14ac:dyDescent="0.25"/>
  <cols>
    <col min="1" max="1" width="12.5703125" bestFit="1" customWidth="1"/>
    <col min="2" max="2" width="13.85546875" bestFit="1" customWidth="1"/>
    <col min="3" max="3" width="12.5703125" bestFit="1" customWidth="1"/>
    <col min="4" max="4" width="13.85546875" bestFit="1" customWidth="1"/>
  </cols>
  <sheetData>
    <row r="1" spans="1:4" x14ac:dyDescent="0.25">
      <c r="A1" s="198" t="s">
        <v>1042</v>
      </c>
      <c r="B1" s="198"/>
      <c r="C1" s="198" t="s">
        <v>1043</v>
      </c>
      <c r="D1" s="198"/>
    </row>
    <row r="2" spans="1:4" x14ac:dyDescent="0.25">
      <c r="A2" s="198" t="s">
        <v>990</v>
      </c>
      <c r="B2" s="198"/>
      <c r="C2" s="198" t="s">
        <v>990</v>
      </c>
      <c r="D2" s="198"/>
    </row>
    <row r="3" spans="1:4" x14ac:dyDescent="0.25">
      <c r="A3" t="s">
        <v>1044</v>
      </c>
      <c r="B3" t="s">
        <v>1045</v>
      </c>
      <c r="C3" t="s">
        <v>1044</v>
      </c>
      <c r="D3" t="s">
        <v>1045</v>
      </c>
    </row>
    <row r="4" spans="1:4" x14ac:dyDescent="0.25">
      <c r="A4" s="18">
        <f>'Performance Model'!F102*Inputs!D14+'Performance Model'!C102*'Performance Model'!D102*'Performance Model'!F102</f>
        <v>0</v>
      </c>
      <c r="C4" s="18">
        <f>'Performance Model'!F112*Inputs!H14+'Performance Model'!C112*'Performance Model'!D112*'Performance Model'!F112</f>
        <v>0</v>
      </c>
    </row>
  </sheetData>
  <mergeCells count="4">
    <mergeCell ref="A1:B1"/>
    <mergeCell ref="A2:B2"/>
    <mergeCell ref="C1:D1"/>
    <mergeCell ref="C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53AC9-150F-4A0E-A915-D0DCB8F87905}">
  <sheetPr codeName="Sheet4"/>
  <dimension ref="B2:AT21"/>
  <sheetViews>
    <sheetView workbookViewId="0">
      <selection activeCell="D4" sqref="D4"/>
    </sheetView>
  </sheetViews>
  <sheetFormatPr defaultRowHeight="15" x14ac:dyDescent="0.25"/>
  <cols>
    <col min="2" max="2" width="25.140625" customWidth="1"/>
    <col min="3" max="26" width="25.7109375" customWidth="1"/>
    <col min="27" max="28" width="23.85546875" customWidth="1"/>
    <col min="29" max="29" width="11" bestFit="1" customWidth="1"/>
    <col min="30" max="30" width="20.5703125" customWidth="1"/>
    <col min="31" max="41" width="20.7109375" customWidth="1"/>
  </cols>
  <sheetData>
    <row r="2" spans="2:46" ht="60" x14ac:dyDescent="0.25">
      <c r="B2" t="s">
        <v>113</v>
      </c>
      <c r="C2" s="42" t="str">
        <f>'Performance Model'!B2</f>
        <v>Total time to train (s)</v>
      </c>
      <c r="D2" s="42" t="str">
        <f>'Performance Model'!C2</f>
        <v>Total time to train (days)</v>
      </c>
      <c r="E2" s="42" t="str">
        <f>'Performance Model'!D2</f>
        <v>Total time to train (years)</v>
      </c>
      <c r="F2" s="42" t="str">
        <f>'Performance Model'!E2</f>
        <v>Computation time forward pass (s)</v>
      </c>
      <c r="G2" s="42" t="str">
        <f>'Performance Model'!F2</f>
        <v>Computation time backward pass (s)</v>
      </c>
      <c r="H2" s="42" t="str">
        <f>'Performance Model'!G2</f>
        <v>Computation time weight updates (s)</v>
      </c>
      <c r="I2" s="42" t="str">
        <f>'Performance Model'!H2</f>
        <v>Total computation time (s)</v>
      </c>
      <c r="J2" s="42" t="str">
        <f>'Performance Model'!I2</f>
        <v>Communication time forward pass: tensor parallellism intra node (s)</v>
      </c>
      <c r="K2" s="42" t="str">
        <f>'Performance Model'!J2</f>
        <v>Communication time forward pass: tensor parallellism inter node (s)</v>
      </c>
      <c r="L2" s="42" t="str">
        <f>'Performance Model'!K2</f>
        <v>Communication time forward pass: pipeline parallellism (s)</v>
      </c>
      <c r="M2" s="42" t="str">
        <f>'Performance Model'!L2</f>
        <v>Communication time forward pass: Zero-DP (ad-hoc model gathering) (s)</v>
      </c>
      <c r="N2" s="42" t="str">
        <f>'Performance Model'!M2</f>
        <v>Total communication time forward pass (s)</v>
      </c>
      <c r="O2" s="42" t="str">
        <f>'Performance Model'!N2</f>
        <v>Communication time backward pass: tensor parallellism intra node (s)</v>
      </c>
      <c r="P2" s="42" t="str">
        <f>'Performance Model'!O2</f>
        <v>Communication time backward pass: tensor parallellism inter node (s)</v>
      </c>
      <c r="Q2" s="42" t="str">
        <f>'Performance Model'!P2</f>
        <v>Communication time backward pass: pipeline parallellism (s)</v>
      </c>
      <c r="R2" s="42" t="str">
        <f>'Performance Model'!Q2</f>
        <v>Communication time backward pass: Zero-DP (ad-hoc model gathering) (s)</v>
      </c>
      <c r="S2" s="42" t="str">
        <f>'Performance Model'!R2</f>
        <v>Total communication time backward pass (s)</v>
      </c>
      <c r="T2" s="42" t="str">
        <f>'Performance Model'!S2</f>
        <v>Communication time: all-reduce gradients for DP intra node (s)</v>
      </c>
      <c r="U2" s="42" t="str">
        <f>'Performance Model'!T2</f>
        <v>Communication time: all-reduce gradients for DP inter node (s)</v>
      </c>
      <c r="V2" s="42" t="str">
        <f>'Performance Model'!U2</f>
        <v>Communication time: all-reduce gradients for DP total (s)</v>
      </c>
      <c r="W2" s="42" t="s">
        <v>114</v>
      </c>
      <c r="X2" s="42" t="str">
        <f>'Performance Model'!V2</f>
        <v>Total communication time (s)</v>
      </c>
      <c r="Y2" s="42" t="str">
        <f>'Performance Model'!W2</f>
        <v>Waiting Time due to pipeline bubbles (s)</v>
      </c>
      <c r="Z2" s="42" t="str">
        <f>'Performance Model'!X2</f>
        <v>total MACs</v>
      </c>
      <c r="AA2" s="42" t="str">
        <f>'Performance Model'!Y2</f>
        <v>TFLOPS</v>
      </c>
      <c r="AB2" s="42" t="str">
        <f>'Performance Model'!Z2</f>
        <v>total TFLOPS/sec</v>
      </c>
      <c r="AC2" s="42" t="str">
        <f>'Performance Model'!AA2</f>
        <v>TFLOP/sec/GPU</v>
      </c>
      <c r="AD2" s="42" t="str">
        <f>'Performance Model'!AB2</f>
        <v>TFLOP/sec/GPU (peak)</v>
      </c>
      <c r="AE2" s="42" t="str">
        <f>'Energy Model'!C2</f>
        <v>Total energy to train (J)</v>
      </c>
      <c r="AF2" s="42" t="str">
        <f>'Energy Model'!D2</f>
        <v>Average overall power (W)</v>
      </c>
      <c r="AG2" s="42" t="str">
        <f>'Energy Model'!E2</f>
        <v>Energy efficiency (ops/s/W or ops/J) ) aka inverse of power delay product</v>
      </c>
      <c r="AH2" s="42" t="str">
        <f>'Energy Model'!F2</f>
        <v>(ops/s)^2/W aka inverse of energy-delay product</v>
      </c>
      <c r="AI2" s="42" t="str">
        <f>'Energy Model'!G2</f>
        <v>(ops/s)^3/W aka inverse of energy-delay-square prodct</v>
      </c>
      <c r="AJ2" s="42" t="str">
        <f>'Energy Model'!H2</f>
        <v>Energy due to accelerators computing</v>
      </c>
      <c r="AK2" s="42" t="str">
        <f>'Energy Model'!I2</f>
        <v>Energy due to accelerators idling</v>
      </c>
      <c r="AL2" s="42" t="str">
        <f>'Energy Model'!J2</f>
        <v>Energy due to intra node communication</v>
      </c>
      <c r="AM2" s="42" t="str">
        <f>'Energy Model'!K2</f>
        <v>Energy due to inter node communication</v>
      </c>
      <c r="AN2" s="42" t="str">
        <f>'Energy Model'!L2</f>
        <v>Energy due to overhead of nodes</v>
      </c>
      <c r="AO2" s="42" t="str">
        <f>'Energy Model'!M2</f>
        <v>Energy due to overhead of datacenter</v>
      </c>
      <c r="AP2" s="18"/>
      <c r="AQ2" s="18"/>
      <c r="AR2" s="18"/>
      <c r="AS2" s="18"/>
      <c r="AT2" s="18"/>
    </row>
    <row r="3" spans="2:46" s="73" customFormat="1" ht="17.25" x14ac:dyDescent="0.35">
      <c r="B3" s="73" t="s">
        <v>115</v>
      </c>
      <c r="C3" s="73">
        <f>'Performance Model'!B4</f>
        <v>35781399367654.914</v>
      </c>
      <c r="D3" s="73">
        <f>'Performance Model'!C4</f>
        <v>414136566.75526524</v>
      </c>
      <c r="E3" s="73">
        <f>'Performance Model'!D4</f>
        <v>1134620.730836343</v>
      </c>
      <c r="F3" s="73">
        <f>'Performance Model'!E4</f>
        <v>10225247961071.047</v>
      </c>
      <c r="G3" s="73">
        <f>'Performance Model'!F4</f>
        <v>20445850258079.598</v>
      </c>
      <c r="H3" s="73">
        <f>'Performance Model'!G4</f>
        <v>5110301148504.2734</v>
      </c>
      <c r="I3" s="73">
        <f>'Performance Model'!H4</f>
        <v>35781399367654.922</v>
      </c>
      <c r="J3" s="73">
        <f>'Performance Model'!I4</f>
        <v>0</v>
      </c>
      <c r="K3" s="73">
        <f>'Performance Model'!J4</f>
        <v>0</v>
      </c>
      <c r="L3" s="73">
        <f>'Performance Model'!K4</f>
        <v>0</v>
      </c>
      <c r="M3" s="73">
        <f>'Performance Model'!L4</f>
        <v>0</v>
      </c>
      <c r="N3" s="73">
        <f>'Performance Model'!M4</f>
        <v>0</v>
      </c>
      <c r="O3" s="73">
        <f>'Performance Model'!N4</f>
        <v>0</v>
      </c>
      <c r="P3" s="73">
        <f>'Performance Model'!O4</f>
        <v>0</v>
      </c>
      <c r="Q3" s="73">
        <f>'Performance Model'!P4</f>
        <v>0</v>
      </c>
      <c r="R3" s="73">
        <f>'Performance Model'!Q4</f>
        <v>0</v>
      </c>
      <c r="S3" s="73">
        <f>'Performance Model'!R4</f>
        <v>0</v>
      </c>
      <c r="T3" s="73">
        <f>'Performance Model'!S4</f>
        <v>0</v>
      </c>
      <c r="U3" s="73">
        <f>'Performance Model'!T4</f>
        <v>0</v>
      </c>
      <c r="V3" s="73">
        <f>'Performance Model'!U4</f>
        <v>0</v>
      </c>
      <c r="W3" s="73">
        <f>'Performance Model'!AF4</f>
        <v>0</v>
      </c>
      <c r="X3" s="73">
        <f>'Performance Model'!V4</f>
        <v>0</v>
      </c>
      <c r="Y3" s="73">
        <f>'Performance Model'!W4</f>
        <v>0</v>
      </c>
      <c r="Z3" s="73">
        <f>'Performance Model'!X4</f>
        <v>7.4057798837699997E+27</v>
      </c>
      <c r="AA3" s="73">
        <f>'Performance Model'!Y4</f>
        <v>1.481155976754E+16</v>
      </c>
      <c r="AB3" s="73">
        <f>'Performance Model'!Z4</f>
        <v>413.94579388443685</v>
      </c>
      <c r="AC3" s="73">
        <f>'Performance Model'!AA4</f>
        <v>413.94579388443685</v>
      </c>
      <c r="AD3" s="73">
        <f>'Performance Model'!AB4</f>
        <v>1857.9456</v>
      </c>
      <c r="AE3" s="73">
        <f>'Energy Model'!C4</f>
        <v>8.3299097727900656E+16</v>
      </c>
      <c r="AF3" s="73">
        <f>'Energy Model'!D4</f>
        <v>2328.0000000000005</v>
      </c>
      <c r="AG3" s="73">
        <f>'Energy Model'!E4</f>
        <v>177811767132.49002</v>
      </c>
      <c r="AH3" s="73">
        <f>'Energy Model'!F4</f>
        <v>7.3604433107653208E+25</v>
      </c>
      <c r="AI3" s="73">
        <f>'Energy Model'!G4</f>
        <v>3.0468245496161437E+40</v>
      </c>
      <c r="AJ3" s="73">
        <f>'Energy Model'!H4</f>
        <v>2.2900095595299152E+16</v>
      </c>
      <c r="AK3" s="73">
        <f>'Energy Model'!I4</f>
        <v>0</v>
      </c>
      <c r="AL3" s="73">
        <f>'Energy Model'!J4</f>
        <v>0</v>
      </c>
      <c r="AM3" s="73">
        <f>'Energy Model'!K4</f>
        <v>0</v>
      </c>
      <c r="AN3" s="73">
        <f>'Energy Model'!L4</f>
        <v>4.6515819177951392E+16</v>
      </c>
      <c r="AO3" s="73">
        <f>'Energy Model'!M4</f>
        <v>1.3883182954650106E+16</v>
      </c>
    </row>
    <row r="4" spans="2:46" s="6" customFormat="1" ht="17.25" x14ac:dyDescent="0.35">
      <c r="B4" s="6" t="s">
        <v>116</v>
      </c>
      <c r="F4" s="127">
        <f>F3/$C$3</f>
        <v>0.2857699291189349</v>
      </c>
      <c r="G4" s="127">
        <f t="shared" ref="G4:Y4" si="0">G3/$C$3</f>
        <v>0.57141002362702176</v>
      </c>
      <c r="H4" s="127">
        <f t="shared" si="0"/>
        <v>0.1428200472540434</v>
      </c>
      <c r="I4" s="127">
        <f t="shared" si="0"/>
        <v>1.0000000000000002</v>
      </c>
      <c r="J4" s="127">
        <f t="shared" si="0"/>
        <v>0</v>
      </c>
      <c r="K4" s="127">
        <f t="shared" si="0"/>
        <v>0</v>
      </c>
      <c r="L4" s="127">
        <f t="shared" si="0"/>
        <v>0</v>
      </c>
      <c r="M4" s="127">
        <f t="shared" si="0"/>
        <v>0</v>
      </c>
      <c r="N4" s="127">
        <f t="shared" si="0"/>
        <v>0</v>
      </c>
      <c r="O4" s="127">
        <f t="shared" si="0"/>
        <v>0</v>
      </c>
      <c r="P4" s="127">
        <f t="shared" si="0"/>
        <v>0</v>
      </c>
      <c r="Q4" s="127">
        <f t="shared" si="0"/>
        <v>0</v>
      </c>
      <c r="R4" s="127">
        <f t="shared" si="0"/>
        <v>0</v>
      </c>
      <c r="S4" s="127">
        <f t="shared" si="0"/>
        <v>0</v>
      </c>
      <c r="T4" s="127">
        <f t="shared" si="0"/>
        <v>0</v>
      </c>
      <c r="U4" s="127">
        <f t="shared" si="0"/>
        <v>0</v>
      </c>
      <c r="V4" s="127">
        <f t="shared" si="0"/>
        <v>0</v>
      </c>
      <c r="W4" s="93">
        <f>W3/$C$3</f>
        <v>0</v>
      </c>
      <c r="X4" s="127">
        <f t="shared" si="0"/>
        <v>0</v>
      </c>
      <c r="Y4" s="127">
        <f t="shared" si="0"/>
        <v>0</v>
      </c>
      <c r="AJ4" s="99">
        <f>AJ3/$AE$3</f>
        <v>0.27491408934707906</v>
      </c>
      <c r="AK4" s="99">
        <f t="shared" ref="AK4:AO4" si="1">AK3/$AE$3</f>
        <v>0</v>
      </c>
      <c r="AL4" s="99">
        <f t="shared" si="1"/>
        <v>0</v>
      </c>
      <c r="AM4" s="99">
        <f t="shared" si="1"/>
        <v>0</v>
      </c>
      <c r="AN4" s="99">
        <f t="shared" si="1"/>
        <v>0.5584192439862542</v>
      </c>
      <c r="AO4" s="99">
        <f t="shared" si="1"/>
        <v>0.16666666666666663</v>
      </c>
    </row>
    <row r="6" spans="2:46" x14ac:dyDescent="0.25">
      <c r="B6" s="12" t="s">
        <v>117</v>
      </c>
    </row>
    <row r="7" spans="2:46" ht="32.25" customHeight="1" x14ac:dyDescent="0.25">
      <c r="B7" t="s">
        <v>118</v>
      </c>
      <c r="C7" s="126" t="str">
        <f>'Performance Model'!B2</f>
        <v>Total time to train (s)</v>
      </c>
      <c r="D7" s="126" t="str">
        <f>'Performance Model'!C2</f>
        <v>Total time to train (days)</v>
      </c>
      <c r="E7" s="126" t="str">
        <f>'Performance Model'!D2</f>
        <v>Total time to train (years)</v>
      </c>
      <c r="F7" s="126" t="str">
        <f>'Performance Model'!E2</f>
        <v>Computation time forward pass (s)</v>
      </c>
      <c r="G7" s="126" t="str">
        <f>'Performance Model'!F2</f>
        <v>Computation time backward pass (s)</v>
      </c>
      <c r="H7" s="126" t="str">
        <f>'Performance Model'!G2</f>
        <v>Computation time weight updates (s)</v>
      </c>
      <c r="I7" s="126" t="str">
        <f>'Performance Model'!H2</f>
        <v>Total computation time (s)</v>
      </c>
      <c r="J7" s="126" t="str">
        <f>'Performance Model'!I2</f>
        <v>Communication time forward pass: tensor parallellism intra node (s)</v>
      </c>
      <c r="K7" s="126" t="str">
        <f>'Performance Model'!J2</f>
        <v>Communication time forward pass: tensor parallellism inter node (s)</v>
      </c>
      <c r="L7" s="126" t="str">
        <f>'Performance Model'!K2</f>
        <v>Communication time forward pass: pipeline parallellism (s)</v>
      </c>
      <c r="M7" s="126" t="str">
        <f>'Performance Model'!L2</f>
        <v>Communication time forward pass: Zero-DP (ad-hoc model gathering) (s)</v>
      </c>
      <c r="N7" s="126" t="str">
        <f>'Performance Model'!M2</f>
        <v>Total communication time forward pass (s)</v>
      </c>
      <c r="O7" s="126" t="str">
        <f>'Performance Model'!N2</f>
        <v>Communication time backward pass: tensor parallellism intra node (s)</v>
      </c>
      <c r="P7" s="126" t="str">
        <f>'Performance Model'!O2</f>
        <v>Communication time backward pass: tensor parallellism inter node (s)</v>
      </c>
      <c r="Q7" s="126" t="str">
        <f>'Performance Model'!P2</f>
        <v>Communication time backward pass: pipeline parallellism (s)</v>
      </c>
      <c r="R7" s="126" t="str">
        <f>'Performance Model'!Q2</f>
        <v>Communication time backward pass: Zero-DP (ad-hoc model gathering) (s)</v>
      </c>
      <c r="S7" s="126" t="str">
        <f>'Performance Model'!R2</f>
        <v>Total communication time backward pass (s)</v>
      </c>
      <c r="T7" s="126" t="str">
        <f>'Performance Model'!S2</f>
        <v>Communication time: all-reduce gradients for DP intra node (s)</v>
      </c>
      <c r="U7" s="126" t="str">
        <f>'Performance Model'!T2</f>
        <v>Communication time: all-reduce gradients for DP inter node (s)</v>
      </c>
      <c r="V7" s="126" t="str">
        <f>'Performance Model'!U2</f>
        <v>Communication time: all-reduce gradients for DP total (s)</v>
      </c>
      <c r="W7" s="42" t="s">
        <v>114</v>
      </c>
      <c r="X7" s="126" t="str">
        <f>'Performance Model'!V2</f>
        <v>Total communication time (s)</v>
      </c>
      <c r="Y7" s="126" t="str">
        <f>'Performance Model'!W2</f>
        <v>Waiting Time due to pipeline bubbles (s)</v>
      </c>
      <c r="Z7" s="126" t="str">
        <f>'Performance Model'!X2</f>
        <v>total MACs</v>
      </c>
      <c r="AA7" s="126" t="str">
        <f>'Performance Model'!Y2</f>
        <v>TFLOPS</v>
      </c>
      <c r="AB7" s="126" t="str">
        <f>'Performance Model'!Z2</f>
        <v>total TFLOPS/sec</v>
      </c>
      <c r="AC7" s="126" t="str">
        <f>'Performance Model'!AA2</f>
        <v>TFLOP/sec/GPU</v>
      </c>
      <c r="AD7" s="126" t="str">
        <f>'Performance Model'!AB2</f>
        <v>TFLOP/sec/GPU (peak)</v>
      </c>
      <c r="AE7" s="42" t="str">
        <f>'Energy Model'!C2</f>
        <v>Total energy to train (J)</v>
      </c>
      <c r="AF7" s="42" t="str">
        <f>'Energy Model'!D2</f>
        <v>Average overall power (W)</v>
      </c>
      <c r="AG7" s="42" t="str">
        <f>'Energy Model'!E2</f>
        <v>Energy efficiency (ops/s/W or ops/J) ) aka inverse of power delay product</v>
      </c>
      <c r="AH7" s="42" t="str">
        <f>'Energy Model'!F2</f>
        <v>(ops/s)^2/W aka inverse of energy-delay product</v>
      </c>
      <c r="AI7" s="42" t="str">
        <f>'Energy Model'!G2</f>
        <v>(ops/s)^3/W aka inverse of energy-delay-square prodct</v>
      </c>
      <c r="AJ7" s="42" t="str">
        <f>'Energy Model'!H2</f>
        <v>Energy due to accelerators computing</v>
      </c>
      <c r="AK7" s="42" t="str">
        <f>'Energy Model'!I2</f>
        <v>Energy due to accelerators idling</v>
      </c>
      <c r="AL7" s="42" t="str">
        <f>'Energy Model'!J2</f>
        <v>Energy due to intra node communication</v>
      </c>
      <c r="AM7" s="42" t="str">
        <f>'Energy Model'!K2</f>
        <v>Energy due to inter node communication</v>
      </c>
      <c r="AN7" s="42" t="str">
        <f>'Energy Model'!L2</f>
        <v>Energy due to overhead of nodes</v>
      </c>
      <c r="AO7" s="42" t="str">
        <f>'Energy Model'!M2</f>
        <v>Energy due to overhead of datacenter</v>
      </c>
    </row>
    <row r="8" spans="2:46" x14ac:dyDescent="0.25">
      <c r="B8" t="s">
        <v>119</v>
      </c>
      <c r="C8">
        <v>1175163.9766340361</v>
      </c>
      <c r="D8">
        <v>13.601434914745788</v>
      </c>
      <c r="E8">
        <v>3.7264205245878868E-2</v>
      </c>
      <c r="F8">
        <v>130803.82896515216</v>
      </c>
      <c r="G8">
        <v>261274.84173645091</v>
      </c>
      <c r="H8">
        <v>65785.950354087065</v>
      </c>
      <c r="I8">
        <v>457864.62105569011</v>
      </c>
      <c r="J8">
        <v>50177.28173828125</v>
      </c>
      <c r="K8">
        <v>0</v>
      </c>
      <c r="L8">
        <v>2688.0143051147461</v>
      </c>
      <c r="M8">
        <v>13216.324010848999</v>
      </c>
      <c r="N8">
        <v>108328.29827690125</v>
      </c>
      <c r="O8">
        <v>100353.28173828125</v>
      </c>
      <c r="P8">
        <v>0</v>
      </c>
      <c r="Q8">
        <v>5376.014305114747</v>
      </c>
      <c r="R8">
        <v>26432.324010848999</v>
      </c>
      <c r="S8">
        <v>216597.29827690125</v>
      </c>
      <c r="T8">
        <v>0</v>
      </c>
      <c r="U8">
        <v>88364.989257812515</v>
      </c>
      <c r="V8">
        <v>88364.989257812515</v>
      </c>
      <c r="W8">
        <v>126682.35644531251</v>
      </c>
      <c r="X8">
        <v>413290.58581161499</v>
      </c>
      <c r="Y8">
        <v>113985.2350987621</v>
      </c>
      <c r="Z8">
        <v>5.7257777356800004E+22</v>
      </c>
      <c r="AA8">
        <v>114515554713.60001</v>
      </c>
      <c r="AB8">
        <v>97446.447466506957</v>
      </c>
      <c r="AC8">
        <v>63.441697569340469</v>
      </c>
      <c r="AD8">
        <v>311.86944</v>
      </c>
      <c r="AE8">
        <v>720891474602.23535</v>
      </c>
      <c r="AF8">
        <v>613439.05100550235</v>
      </c>
      <c r="AG8">
        <v>158852696623.69916</v>
      </c>
      <c r="AH8">
        <v>1.5479630956454263E+28</v>
      </c>
      <c r="AI8">
        <v>1.5084350447990353E+45</v>
      </c>
      <c r="AJ8">
        <v>239115219700.1236</v>
      </c>
      <c r="AK8">
        <v>56692696264.283745</v>
      </c>
      <c r="AL8">
        <v>8880128409.6000004</v>
      </c>
      <c r="AM8">
        <v>2733922560</v>
      </c>
      <c r="AN8">
        <v>293320928567.85541</v>
      </c>
      <c r="AO8">
        <v>120148579100.37253</v>
      </c>
    </row>
    <row r="9" spans="2:46" x14ac:dyDescent="0.25">
      <c r="B9" t="s">
        <v>120</v>
      </c>
      <c r="C9">
        <v>786549.42436059949</v>
      </c>
      <c r="D9">
        <v>9.1035813004699015</v>
      </c>
      <c r="E9">
        <v>2.4941318631424389E-2</v>
      </c>
      <c r="F9">
        <v>41966.45270373184</v>
      </c>
      <c r="G9">
        <v>83776.481796352557</v>
      </c>
      <c r="H9">
        <v>21081.40681801426</v>
      </c>
      <c r="I9">
        <v>146824.34131809865</v>
      </c>
      <c r="J9">
        <v>33451.948404947914</v>
      </c>
      <c r="K9">
        <v>0</v>
      </c>
      <c r="L9">
        <v>2688.0143051147461</v>
      </c>
      <c r="M9">
        <v>9034.9906775156651</v>
      </c>
      <c r="N9">
        <v>87397.131610234588</v>
      </c>
      <c r="O9">
        <v>66902.615071614578</v>
      </c>
      <c r="P9">
        <v>0</v>
      </c>
      <c r="Q9">
        <v>5376.014305114747</v>
      </c>
      <c r="R9">
        <v>18069.657344182331</v>
      </c>
      <c r="S9">
        <v>174734.96494356793</v>
      </c>
      <c r="T9">
        <v>0</v>
      </c>
      <c r="U9">
        <v>88364.989257812515</v>
      </c>
      <c r="V9">
        <v>88364.989257812515</v>
      </c>
      <c r="W9">
        <v>126608.85644531253</v>
      </c>
      <c r="X9">
        <v>350497.08581161505</v>
      </c>
      <c r="Y9">
        <v>99314.712562917048</v>
      </c>
      <c r="Z9">
        <v>5.7257777356800004E+22</v>
      </c>
      <c r="AA9">
        <v>114515554713.60001</v>
      </c>
      <c r="AB9">
        <v>145592.3190163057</v>
      </c>
      <c r="AC9">
        <v>94.786666026240695</v>
      </c>
      <c r="AD9">
        <v>973.20960000000002</v>
      </c>
      <c r="AE9">
        <v>386042383737.56305</v>
      </c>
      <c r="AF9">
        <v>490804.99175418506</v>
      </c>
      <c r="AG9">
        <v>296639849761.8056</v>
      </c>
      <c r="AH9">
        <v>4.3188483639469791E+28</v>
      </c>
      <c r="AI9">
        <v>6.2879114878681855E+45</v>
      </c>
      <c r="AJ9">
        <v>65401434596.733871</v>
      </c>
      <c r="AK9">
        <v>48363764561.229691</v>
      </c>
      <c r="AL9">
        <v>8880128409.6000004</v>
      </c>
      <c r="AM9">
        <v>2733922560</v>
      </c>
      <c r="AN9">
        <v>196322736320.40564</v>
      </c>
      <c r="AO9">
        <v>64340397289.593834</v>
      </c>
    </row>
    <row r="10" spans="2:46" x14ac:dyDescent="0.25">
      <c r="B10" t="s">
        <v>121</v>
      </c>
      <c r="C10">
        <v>2836739.9016317711</v>
      </c>
      <c r="D10">
        <v>32.832637750367724</v>
      </c>
      <c r="E10">
        <v>8.9952432192788284E-2</v>
      </c>
      <c r="F10">
        <v>438548.01197541389</v>
      </c>
      <c r="G10">
        <v>876895.04738832789</v>
      </c>
      <c r="H10">
        <v>379601.2378176463</v>
      </c>
      <c r="I10">
        <v>1695044.2971813881</v>
      </c>
      <c r="J10">
        <v>57344.96130371093</v>
      </c>
      <c r="K10">
        <v>0</v>
      </c>
      <c r="L10">
        <v>3072.007152557373</v>
      </c>
      <c r="M10">
        <v>15104.242114067074</v>
      </c>
      <c r="N10">
        <v>160787.4879256417</v>
      </c>
      <c r="O10">
        <v>114688.96130371092</v>
      </c>
      <c r="P10">
        <v>0</v>
      </c>
      <c r="Q10">
        <v>6144.007152557373</v>
      </c>
      <c r="R10">
        <v>30208.242114067074</v>
      </c>
      <c r="S10">
        <v>309732.56349872146</v>
      </c>
      <c r="T10">
        <v>0</v>
      </c>
      <c r="U10">
        <v>119266.82006835938</v>
      </c>
      <c r="V10">
        <v>119266.82006835938</v>
      </c>
      <c r="W10">
        <v>243957.63028369239</v>
      </c>
      <c r="X10">
        <v>589786.87149272254</v>
      </c>
      <c r="Y10">
        <v>185972.2875321224</v>
      </c>
      <c r="Z10">
        <v>6.003000854784E+23</v>
      </c>
      <c r="AA10">
        <v>1200600170956.8</v>
      </c>
      <c r="AB10">
        <v>423232.37680909049</v>
      </c>
      <c r="AC10">
        <v>275.54191198508494</v>
      </c>
      <c r="AD10">
        <v>973.20960000000002</v>
      </c>
      <c r="AE10">
        <v>1878492068002.0271</v>
      </c>
      <c r="AF10">
        <v>662201.0241127382</v>
      </c>
      <c r="AG10">
        <v>639129752745.64978</v>
      </c>
      <c r="AH10">
        <v>2.7050040434394772E+29</v>
      </c>
      <c r="AI10">
        <v>1.1448452905830902E+47</v>
      </c>
      <c r="AJ10">
        <v>755040531736.47754</v>
      </c>
      <c r="AK10">
        <v>83409624778.351318</v>
      </c>
      <c r="AL10">
        <v>15223121346.236994</v>
      </c>
      <c r="AM10">
        <v>3686499360</v>
      </c>
      <c r="AN10">
        <v>708050279447.29016</v>
      </c>
      <c r="AO10">
        <v>313082011333.67114</v>
      </c>
    </row>
    <row r="14" spans="2:46" x14ac:dyDescent="0.25">
      <c r="W14" t="s">
        <v>1037</v>
      </c>
    </row>
    <row r="16" spans="2:46" x14ac:dyDescent="0.25">
      <c r="W16" t="s">
        <v>1036</v>
      </c>
    </row>
    <row r="17" spans="23:25" x14ac:dyDescent="0.25">
      <c r="W17" t="s">
        <v>1035</v>
      </c>
    </row>
    <row r="18" spans="23:25" x14ac:dyDescent="0.25">
      <c r="W18" t="s">
        <v>1034</v>
      </c>
      <c r="X18">
        <v>217745.97184448241</v>
      </c>
      <c r="Y18">
        <f>X18/3600</f>
        <v>60.484992179022889</v>
      </c>
    </row>
    <row r="19" spans="23:25" x14ac:dyDescent="0.25">
      <c r="W19" t="s">
        <v>1038</v>
      </c>
      <c r="Y19">
        <f t="shared" ref="Y19:Y21" si="2">X19/3600</f>
        <v>0</v>
      </c>
    </row>
    <row r="20" spans="23:25" x14ac:dyDescent="0.25">
      <c r="W20" t="s">
        <v>1039</v>
      </c>
      <c r="Y20">
        <f t="shared" si="2"/>
        <v>0</v>
      </c>
    </row>
    <row r="21" spans="23:25" x14ac:dyDescent="0.25">
      <c r="W21" t="s">
        <v>1040</v>
      </c>
      <c r="X21">
        <v>3937.0937834838869</v>
      </c>
      <c r="Y21">
        <f t="shared" si="2"/>
        <v>1.0936371620788574</v>
      </c>
    </row>
  </sheetData>
  <pageMargins left="0.7" right="0.7" top="0.75" bottom="0.75" header="0.3" footer="0.3"/>
  <pageSetup paperSize="9" orientation="portrait" r:id="rId1"/>
  <headerFooter>
    <oddFooter>&amp;R&amp;1#&amp;"Calibri"&amp;8&amp;K000000strictly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9CAE-233E-4574-B0AB-F63FB24A5676}">
  <sheetPr codeName="Sheet5"/>
  <dimension ref="A1:B23"/>
  <sheetViews>
    <sheetView workbookViewId="0"/>
  </sheetViews>
  <sheetFormatPr defaultRowHeight="15" x14ac:dyDescent="0.25"/>
  <cols>
    <col min="1" max="1" width="24" customWidth="1"/>
    <col min="2" max="2" width="24.28515625" customWidth="1"/>
  </cols>
  <sheetData>
    <row r="1" spans="1:2" x14ac:dyDescent="0.25">
      <c r="A1" t="s">
        <v>1014</v>
      </c>
      <c r="B1" t="s">
        <v>1015</v>
      </c>
    </row>
    <row r="2" spans="1:2" x14ac:dyDescent="0.25">
      <c r="A2" t="s">
        <v>1016</v>
      </c>
      <c r="B2" s="76">
        <v>200000000000</v>
      </c>
    </row>
    <row r="3" spans="1:2" x14ac:dyDescent="0.25">
      <c r="A3" t="s">
        <v>1013</v>
      </c>
      <c r="B3" s="76">
        <v>400000000000</v>
      </c>
    </row>
    <row r="4" spans="1:2" x14ac:dyDescent="0.25">
      <c r="A4" t="s">
        <v>1017</v>
      </c>
      <c r="B4" s="76">
        <f>7899000000*8</f>
        <v>63192000000</v>
      </c>
    </row>
    <row r="5" spans="1:2" x14ac:dyDescent="0.25">
      <c r="A5" t="s">
        <v>1018</v>
      </c>
      <c r="B5" s="76">
        <f>15754000000*8</f>
        <v>126032000000</v>
      </c>
    </row>
    <row r="6" spans="1:2" x14ac:dyDescent="0.25">
      <c r="A6" t="s">
        <v>1019</v>
      </c>
      <c r="B6" s="76">
        <f>31508000000*8</f>
        <v>252064000000</v>
      </c>
    </row>
    <row r="7" spans="1:2" x14ac:dyDescent="0.25">
      <c r="A7" t="s">
        <v>1020</v>
      </c>
      <c r="B7" s="76">
        <f>15754000000*8</f>
        <v>126032000000</v>
      </c>
    </row>
    <row r="8" spans="1:2" x14ac:dyDescent="0.25">
      <c r="A8" t="s">
        <v>1021</v>
      </c>
      <c r="B8" s="76">
        <f>31508000000*8</f>
        <v>252064000000</v>
      </c>
    </row>
    <row r="9" spans="1:2" x14ac:dyDescent="0.25">
      <c r="A9" t="s">
        <v>1022</v>
      </c>
      <c r="B9" s="76">
        <f>63015000000*8</f>
        <v>504120000000</v>
      </c>
    </row>
    <row r="10" spans="1:2" x14ac:dyDescent="0.25">
      <c r="A10" t="s">
        <v>1023</v>
      </c>
      <c r="B10" s="76">
        <f>300000000000*8/2</f>
        <v>1200000000000</v>
      </c>
    </row>
    <row r="11" spans="1:2" x14ac:dyDescent="0.25">
      <c r="A11" t="s">
        <v>1024</v>
      </c>
      <c r="B11" s="76">
        <f>600000000000*8/2</f>
        <v>2400000000000</v>
      </c>
    </row>
    <row r="12" spans="1:2" x14ac:dyDescent="0.25">
      <c r="A12" t="s">
        <v>1025</v>
      </c>
      <c r="B12" s="76">
        <f>900000000000*8/2</f>
        <v>3600000000000</v>
      </c>
    </row>
    <row r="13" spans="1:2" x14ac:dyDescent="0.25">
      <c r="A13" t="s">
        <v>1026</v>
      </c>
      <c r="B13" s="76">
        <v>800000000000</v>
      </c>
    </row>
    <row r="14" spans="1:2" x14ac:dyDescent="0.25">
      <c r="A14" t="s">
        <v>1027</v>
      </c>
      <c r="B14" s="76">
        <v>25000000000000</v>
      </c>
    </row>
    <row r="15" spans="1:2" x14ac:dyDescent="0.25">
      <c r="A15" t="s">
        <v>1028</v>
      </c>
      <c r="B15" s="76">
        <f>2*25000000000000</f>
        <v>50000000000000</v>
      </c>
    </row>
    <row r="16" spans="1:2" x14ac:dyDescent="0.25">
      <c r="A16" t="s">
        <v>1029</v>
      </c>
      <c r="B16" s="76">
        <f>4*25000000000000</f>
        <v>100000000000000</v>
      </c>
    </row>
    <row r="17" spans="1:2" x14ac:dyDescent="0.25">
      <c r="A17" t="s">
        <v>1030</v>
      </c>
      <c r="B17" s="76">
        <f>8*25000000000000</f>
        <v>200000000000000</v>
      </c>
    </row>
    <row r="18" spans="1:2" x14ac:dyDescent="0.25">
      <c r="A18" t="s">
        <v>1031</v>
      </c>
      <c r="B18" s="76">
        <f>16*25000000000000</f>
        <v>400000000000000</v>
      </c>
    </row>
    <row r="19" spans="1:2" x14ac:dyDescent="0.25">
      <c r="A19" t="s">
        <v>1032</v>
      </c>
      <c r="B19" s="76">
        <f>32*25000000000000</f>
        <v>800000000000000</v>
      </c>
    </row>
    <row r="20" spans="1:2" x14ac:dyDescent="0.25">
      <c r="A20" t="s">
        <v>1041</v>
      </c>
      <c r="B20" s="76">
        <f>B17/5</f>
        <v>40000000000000</v>
      </c>
    </row>
    <row r="21" spans="1:2" x14ac:dyDescent="0.25">
      <c r="B21" s="76"/>
    </row>
    <row r="22" spans="1:2" x14ac:dyDescent="0.25">
      <c r="B22" s="76"/>
    </row>
    <row r="23" spans="1:2" x14ac:dyDescent="0.25">
      <c r="B23" s="76"/>
    </row>
  </sheetData>
  <phoneticPr fontId="65" type="noConversion"/>
  <pageMargins left="0.7" right="0.7" top="0.75" bottom="0.75" header="0.3" footer="0.3"/>
  <pageSetup paperSize="9" orientation="portrait" r:id="rId1"/>
  <headerFooter>
    <oddFooter>&amp;R&amp;1#&amp;"Calibri"&amp;8&amp;K000000strictly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D07A8-9652-4CB7-8A11-FC6B5AEB036A}">
  <sheetPr codeName="Sheet6"/>
  <dimension ref="A2:Y85"/>
  <sheetViews>
    <sheetView workbookViewId="0"/>
  </sheetViews>
  <sheetFormatPr defaultRowHeight="15" x14ac:dyDescent="0.25"/>
  <cols>
    <col min="1" max="1" width="34.5703125" customWidth="1"/>
    <col min="2" max="2" width="18.42578125" customWidth="1"/>
    <col min="3" max="3" width="24" customWidth="1"/>
    <col min="4" max="4" width="20.85546875" customWidth="1"/>
    <col min="5" max="5" width="24.5703125" customWidth="1"/>
    <col min="6" max="6" width="19.85546875" customWidth="1"/>
    <col min="7" max="7" width="22.7109375" customWidth="1"/>
    <col min="8" max="8" width="25.7109375" customWidth="1"/>
    <col min="9" max="9" width="23.42578125" customWidth="1"/>
    <col min="10" max="10" width="23.7109375" customWidth="1"/>
    <col min="11" max="12" width="19.85546875" customWidth="1"/>
    <col min="13" max="13" width="27.85546875" customWidth="1"/>
    <col min="14" max="14" width="20.85546875" customWidth="1"/>
    <col min="15" max="15" width="25.7109375" customWidth="1"/>
    <col min="16" max="16" width="27" customWidth="1"/>
    <col min="17" max="17" width="25.7109375" customWidth="1"/>
    <col min="18" max="18" width="18.5703125" customWidth="1"/>
  </cols>
  <sheetData>
    <row r="2" spans="1:25" s="18" customFormat="1" x14ac:dyDescent="0.25">
      <c r="Y2"/>
    </row>
    <row r="3" spans="1:25" s="155" customFormat="1" ht="53.25" customHeight="1" x14ac:dyDescent="0.25">
      <c r="A3" s="111" t="s">
        <v>122</v>
      </c>
    </row>
    <row r="4" spans="1:25" s="18" customFormat="1" x14ac:dyDescent="0.25">
      <c r="A4" s="39" t="s">
        <v>123</v>
      </c>
      <c r="B4" s="39">
        <f>MAX(H30/L21,J48/G21)</f>
        <v>1.5625000000000001E-3</v>
      </c>
      <c r="Y4"/>
    </row>
    <row r="5" spans="1:25" s="18" customFormat="1" x14ac:dyDescent="0.25">
      <c r="Y5"/>
    </row>
    <row r="6" spans="1:25" s="18" customFormat="1" x14ac:dyDescent="0.25">
      <c r="Y6"/>
    </row>
    <row r="7" spans="1:25" s="18" customFormat="1" x14ac:dyDescent="0.25">
      <c r="Y7"/>
    </row>
    <row r="8" spans="1:25" s="155" customFormat="1" ht="53.25" customHeight="1" x14ac:dyDescent="0.25">
      <c r="A8" s="111" t="s">
        <v>124</v>
      </c>
    </row>
    <row r="9" spans="1:25" s="18" customFormat="1" x14ac:dyDescent="0.25">
      <c r="A9" s="24" t="s">
        <v>125</v>
      </c>
      <c r="Y9"/>
    </row>
    <row r="10" spans="1:25" s="18" customFormat="1" ht="51.75" x14ac:dyDescent="0.25">
      <c r="A10" t="s">
        <v>9</v>
      </c>
      <c r="B10" s="28" t="s">
        <v>126</v>
      </c>
      <c r="C10" s="28" t="s">
        <v>127</v>
      </c>
      <c r="D10" s="28" t="s">
        <v>128</v>
      </c>
      <c r="E10" s="28" t="s">
        <v>129</v>
      </c>
      <c r="F10" s="28" t="s">
        <v>130</v>
      </c>
      <c r="X10"/>
    </row>
    <row r="11" spans="1:25" s="18" customFormat="1" ht="17.25" x14ac:dyDescent="0.35">
      <c r="A11" s="18" t="s">
        <v>56</v>
      </c>
      <c r="B11" s="16" t="s">
        <v>1</v>
      </c>
      <c r="C11" s="16" t="s">
        <v>2</v>
      </c>
      <c r="D11" s="16" t="s">
        <v>2</v>
      </c>
      <c r="E11" s="16" t="s">
        <v>2</v>
      </c>
      <c r="F11" s="16" t="s">
        <v>2</v>
      </c>
      <c r="X11"/>
    </row>
    <row r="12" spans="1:25" s="18" customFormat="1" ht="17.25" x14ac:dyDescent="0.35">
      <c r="A12" t="s">
        <v>57</v>
      </c>
      <c r="B12" s="73">
        <f>IF(B11=Inputs!$C$1,B13,B14)</f>
        <v>256</v>
      </c>
      <c r="C12" s="73">
        <f>IF(C11=Inputs!$C$1,C13,C14)</f>
        <v>16777216</v>
      </c>
      <c r="D12" s="73">
        <f>IF(D11=Inputs!$C$1,D13,D14)</f>
        <v>16777216</v>
      </c>
      <c r="E12" s="73">
        <f>IF(E11=Inputs!$C$1,E13,E14)</f>
        <v>131072</v>
      </c>
      <c r="F12" s="73">
        <f>IF(F11=Inputs!$C$1,F13,F14)</f>
        <v>102.4</v>
      </c>
      <c r="X12"/>
    </row>
    <row r="13" spans="1:25" s="18" customFormat="1" ht="17.25" x14ac:dyDescent="0.35">
      <c r="A13" s="18" t="s">
        <v>58</v>
      </c>
      <c r="B13" s="35">
        <v>256</v>
      </c>
      <c r="C13" s="35"/>
      <c r="D13" s="35"/>
      <c r="E13" s="35"/>
      <c r="F13" s="35"/>
      <c r="X13"/>
    </row>
    <row r="14" spans="1:25" s="18" customFormat="1" ht="17.25" x14ac:dyDescent="0.35">
      <c r="A14" s="18" t="s">
        <v>59</v>
      </c>
      <c r="B14" s="5">
        <f>B27</f>
        <v>0</v>
      </c>
      <c r="C14" s="73">
        <f>B12*B12*B12</f>
        <v>16777216</v>
      </c>
      <c r="D14" s="73">
        <f>C12</f>
        <v>16777216</v>
      </c>
      <c r="E14" s="73">
        <f>D12/D21</f>
        <v>131072</v>
      </c>
      <c r="F14" s="157">
        <f>E12/K21</f>
        <v>102.4</v>
      </c>
      <c r="X14"/>
    </row>
    <row r="15" spans="1:25" s="18" customFormat="1" x14ac:dyDescent="0.25">
      <c r="A15" s="18" t="s">
        <v>61</v>
      </c>
      <c r="Y15"/>
    </row>
    <row r="16" spans="1:25" s="18" customFormat="1" x14ac:dyDescent="0.25">
      <c r="Y16"/>
    </row>
    <row r="17" spans="1:25" s="155" customFormat="1" ht="53.25" customHeight="1" x14ac:dyDescent="0.25">
      <c r="A17" s="111" t="s">
        <v>131</v>
      </c>
    </row>
    <row r="18" spans="1:25" x14ac:dyDescent="0.25">
      <c r="A18" s="24" t="s">
        <v>125</v>
      </c>
    </row>
    <row r="19" spans="1:25" ht="34.5" x14ac:dyDescent="0.25">
      <c r="A19" t="s">
        <v>9</v>
      </c>
      <c r="B19" s="28" t="s">
        <v>132</v>
      </c>
      <c r="C19" s="28" t="s">
        <v>133</v>
      </c>
      <c r="D19" s="28" t="s">
        <v>134</v>
      </c>
      <c r="E19" s="28" t="s">
        <v>135</v>
      </c>
      <c r="F19" s="28" t="s">
        <v>136</v>
      </c>
      <c r="G19" s="28" t="s">
        <v>137</v>
      </c>
      <c r="H19" s="28" t="s">
        <v>138</v>
      </c>
      <c r="I19" s="28" t="s">
        <v>139</v>
      </c>
      <c r="J19" s="28" t="s">
        <v>140</v>
      </c>
      <c r="K19" s="28" t="s">
        <v>141</v>
      </c>
      <c r="L19" s="28" t="s">
        <v>142</v>
      </c>
      <c r="M19" s="28" t="s">
        <v>143</v>
      </c>
    </row>
    <row r="20" spans="1:25" s="18" customFormat="1" ht="17.25" x14ac:dyDescent="0.35">
      <c r="A20" s="18" t="s">
        <v>56</v>
      </c>
      <c r="B20" s="16" t="s">
        <v>1</v>
      </c>
      <c r="C20" s="16" t="s">
        <v>1</v>
      </c>
      <c r="D20" s="16" t="s">
        <v>1</v>
      </c>
      <c r="E20" s="16" t="s">
        <v>1</v>
      </c>
      <c r="F20" s="16" t="s">
        <v>1</v>
      </c>
      <c r="G20" s="16" t="s">
        <v>1</v>
      </c>
      <c r="H20" s="16" t="s">
        <v>1</v>
      </c>
      <c r="I20" s="16" t="s">
        <v>1</v>
      </c>
      <c r="J20" s="16" t="s">
        <v>2</v>
      </c>
      <c r="K20" s="16" t="s">
        <v>2</v>
      </c>
      <c r="L20" s="16" t="s">
        <v>2</v>
      </c>
      <c r="M20" s="16" t="s">
        <v>1</v>
      </c>
    </row>
    <row r="21" spans="1:25" s="17" customFormat="1" ht="17.25" x14ac:dyDescent="0.35">
      <c r="A21" t="s">
        <v>57</v>
      </c>
      <c r="B21" s="73">
        <f>IF(B20=Inputs!$C$1,B22,B23)</f>
        <v>2048</v>
      </c>
      <c r="C21" s="73">
        <f>IF(C20=Inputs!$C$1,C22,C23)</f>
        <v>80</v>
      </c>
      <c r="D21" s="73">
        <f>IF(D20=Inputs!$C$1,D22,D23)</f>
        <v>128</v>
      </c>
      <c r="E21" s="73">
        <f>IF(E20=Inputs!$C$1,E22,E23)</f>
        <v>0.71</v>
      </c>
      <c r="F21" s="73">
        <f>IF(F20=Inputs!$C$1,F22,F23)</f>
        <v>10</v>
      </c>
      <c r="G21" s="73">
        <f>IF(G20=Inputs!$C$1,G22,G23)</f>
        <v>6451</v>
      </c>
      <c r="H21" s="73">
        <f>IF(H20=Inputs!$C$1,H22,H23)</f>
        <v>256</v>
      </c>
      <c r="I21" s="73">
        <v>1</v>
      </c>
      <c r="J21" s="73">
        <f>IF(J20=Inputs!$C$1,J22,J23)</f>
        <v>16</v>
      </c>
      <c r="K21" s="73">
        <f>IF(K20=Inputs!$C$1,K22,K23)</f>
        <v>1280</v>
      </c>
      <c r="L21" s="73">
        <f>IF(L20=Inputs!$C$1,L22,L23)</f>
        <v>800</v>
      </c>
      <c r="M21" s="73">
        <f>IF(M20=Inputs!$C$1,M22,M23)</f>
        <v>128</v>
      </c>
    </row>
    <row r="22" spans="1:25" s="18" customFormat="1" ht="17.25" x14ac:dyDescent="0.35">
      <c r="A22" s="18" t="s">
        <v>58</v>
      </c>
      <c r="B22" s="35">
        <v>2048</v>
      </c>
      <c r="C22" s="35">
        <v>80</v>
      </c>
      <c r="D22" s="35">
        <v>128</v>
      </c>
      <c r="E22" s="35">
        <v>0.71</v>
      </c>
      <c r="F22" s="35">
        <v>10</v>
      </c>
      <c r="G22" s="35">
        <v>6451</v>
      </c>
      <c r="H22" s="35">
        <v>256</v>
      </c>
      <c r="I22" s="35"/>
      <c r="J22" s="35"/>
      <c r="K22" s="35"/>
      <c r="L22" s="35">
        <v>0</v>
      </c>
      <c r="M22" s="35">
        <v>128</v>
      </c>
    </row>
    <row r="23" spans="1:25" s="18" customFormat="1" ht="17.25" x14ac:dyDescent="0.35">
      <c r="A23" s="18" t="s">
        <v>59</v>
      </c>
      <c r="B23" s="5">
        <v>0</v>
      </c>
      <c r="C23" s="5">
        <v>0</v>
      </c>
      <c r="D23" s="5">
        <v>0</v>
      </c>
      <c r="E23" s="5">
        <v>0</v>
      </c>
      <c r="F23" s="5">
        <v>0</v>
      </c>
      <c r="G23" s="5">
        <v>0</v>
      </c>
      <c r="H23" s="5">
        <v>0</v>
      </c>
      <c r="I23" s="73">
        <v>1</v>
      </c>
      <c r="J23" s="73">
        <f>B21/D21</f>
        <v>16</v>
      </c>
      <c r="K23" s="39">
        <f>J21*C21</f>
        <v>1280</v>
      </c>
      <c r="L23" s="5">
        <f>F21*C21</f>
        <v>800</v>
      </c>
      <c r="M23" s="5">
        <v>0</v>
      </c>
    </row>
    <row r="24" spans="1:25" s="18" customFormat="1" x14ac:dyDescent="0.25">
      <c r="A24" s="18" t="s">
        <v>61</v>
      </c>
      <c r="Y24"/>
    </row>
    <row r="26" spans="1:25" s="155" customFormat="1" ht="53.25" customHeight="1" x14ac:dyDescent="0.25">
      <c r="A26" s="111" t="s">
        <v>144</v>
      </c>
    </row>
    <row r="27" spans="1:25" x14ac:dyDescent="0.25">
      <c r="A27" s="24" t="s">
        <v>125</v>
      </c>
    </row>
    <row r="28" spans="1:25" ht="69" x14ac:dyDescent="0.25">
      <c r="A28" t="s">
        <v>9</v>
      </c>
      <c r="B28" s="28" t="s">
        <v>145</v>
      </c>
      <c r="C28" s="28" t="s">
        <v>132</v>
      </c>
      <c r="D28" s="28" t="s">
        <v>146</v>
      </c>
      <c r="E28" s="28" t="s">
        <v>147</v>
      </c>
      <c r="F28" s="28" t="s">
        <v>148</v>
      </c>
      <c r="G28" s="28" t="s">
        <v>149</v>
      </c>
      <c r="H28" s="28" t="s">
        <v>150</v>
      </c>
      <c r="I28" s="28" t="s">
        <v>151</v>
      </c>
      <c r="J28" s="28"/>
      <c r="K28" s="28"/>
      <c r="L28" s="28"/>
      <c r="M28" s="28"/>
      <c r="N28" s="28"/>
      <c r="O28" s="28"/>
    </row>
    <row r="29" spans="1:25" ht="17.25" x14ac:dyDescent="0.35">
      <c r="A29" s="18" t="s">
        <v>56</v>
      </c>
      <c r="B29" s="16" t="s">
        <v>1</v>
      </c>
      <c r="C29" s="16" t="s">
        <v>2</v>
      </c>
      <c r="D29" s="16" t="s">
        <v>2</v>
      </c>
      <c r="E29" s="16" t="s">
        <v>1</v>
      </c>
      <c r="F29" s="16" t="s">
        <v>1</v>
      </c>
      <c r="G29" s="16" t="s">
        <v>1</v>
      </c>
      <c r="H29" s="16" t="s">
        <v>2</v>
      </c>
      <c r="I29" s="16" t="s">
        <v>2</v>
      </c>
    </row>
    <row r="30" spans="1:25" ht="17.25" x14ac:dyDescent="0.35">
      <c r="A30" t="s">
        <v>57</v>
      </c>
      <c r="B30" s="73">
        <f>IF(B29=Inputs!$C$1,B31,B32)</f>
        <v>8</v>
      </c>
      <c r="C30" s="73">
        <f>IF(C29=Inputs!$C$1,C31,C32)</f>
        <v>2048</v>
      </c>
      <c r="D30" s="73">
        <f>IF(D29=Inputs!$C$1,D31,D32)</f>
        <v>9</v>
      </c>
      <c r="E30" s="73">
        <f>IF(E29=Inputs!$C$1,E31,E32)</f>
        <v>1</v>
      </c>
      <c r="F30" s="73">
        <f>IF(F29=Inputs!$C$1,F31,F32)</f>
        <v>5</v>
      </c>
      <c r="G30" s="73">
        <f>IF(G29=Inputs!$C$1,G31,G32)</f>
        <v>2</v>
      </c>
      <c r="H30" s="73">
        <f>IF(H29=Inputs!$C$1,H31,H32)</f>
        <v>1.25</v>
      </c>
      <c r="I30" s="73">
        <f>IF(I29=Inputs!$C$1,I31,I32)</f>
        <v>1.5625000000000001E-3</v>
      </c>
    </row>
    <row r="31" spans="1:25" ht="17.25" x14ac:dyDescent="0.35">
      <c r="A31" s="18" t="s">
        <v>58</v>
      </c>
      <c r="B31" s="35">
        <v>8</v>
      </c>
      <c r="C31" s="35"/>
      <c r="D31" s="35">
        <v>20</v>
      </c>
      <c r="E31" s="35">
        <v>1</v>
      </c>
      <c r="F31" s="35">
        <v>5</v>
      </c>
      <c r="G31" s="35">
        <v>2</v>
      </c>
      <c r="H31" s="35"/>
      <c r="I31" s="35"/>
    </row>
    <row r="32" spans="1:25" ht="17.25" x14ac:dyDescent="0.35">
      <c r="A32" s="18" t="s">
        <v>59</v>
      </c>
      <c r="B32" s="5">
        <v>0</v>
      </c>
      <c r="C32" s="5">
        <f>B21</f>
        <v>2048</v>
      </c>
      <c r="D32" s="5">
        <f>F30+2*G30</f>
        <v>9</v>
      </c>
      <c r="E32" s="5">
        <v>0</v>
      </c>
      <c r="F32" s="5">
        <v>0</v>
      </c>
      <c r="G32" s="5">
        <v>0</v>
      </c>
      <c r="H32" s="5">
        <f>C12*B30*(D30+E30)/1024^3</f>
        <v>1.25</v>
      </c>
      <c r="I32" s="5">
        <f>H30/L21</f>
        <v>1.5625000000000001E-3</v>
      </c>
    </row>
    <row r="33" spans="1:24" s="18" customFormat="1" x14ac:dyDescent="0.25">
      <c r="A33" s="18" t="s">
        <v>61</v>
      </c>
      <c r="X33"/>
    </row>
    <row r="34" spans="1:24" x14ac:dyDescent="0.25">
      <c r="D34" s="18">
        <f>B4</f>
        <v>1.5625000000000001E-3</v>
      </c>
    </row>
    <row r="35" spans="1:24" s="155" customFormat="1" ht="53.25" customHeight="1" x14ac:dyDescent="0.25">
      <c r="A35" s="111"/>
    </row>
    <row r="36" spans="1:24" x14ac:dyDescent="0.25">
      <c r="A36" s="18" t="s">
        <v>152</v>
      </c>
      <c r="B36" t="s">
        <v>153</v>
      </c>
    </row>
    <row r="37" spans="1:24" ht="34.5" x14ac:dyDescent="0.25">
      <c r="A37" t="s">
        <v>9</v>
      </c>
      <c r="B37" s="28" t="s">
        <v>154</v>
      </c>
      <c r="C37" s="28" t="s">
        <v>155</v>
      </c>
      <c r="D37" s="28"/>
      <c r="E37" s="28"/>
      <c r="F37" s="28"/>
      <c r="G37" s="28"/>
      <c r="H37" s="28"/>
      <c r="I37" s="28"/>
    </row>
    <row r="38" spans="1:24" ht="17.25" x14ac:dyDescent="0.35">
      <c r="A38" s="18" t="s">
        <v>56</v>
      </c>
      <c r="B38" s="16" t="s">
        <v>2</v>
      </c>
      <c r="C38" s="16" t="s">
        <v>2</v>
      </c>
    </row>
    <row r="39" spans="1:24" ht="17.25" x14ac:dyDescent="0.35">
      <c r="A39" t="s">
        <v>57</v>
      </c>
      <c r="B39" s="73">
        <f>IF(B38=Inputs!$C$1,B40,B41)</f>
        <v>131072</v>
      </c>
      <c r="C39" s="73">
        <f>IF(C38=Inputs!$C$1,C40,C41)</f>
        <v>128</v>
      </c>
    </row>
    <row r="40" spans="1:24" ht="17.25" x14ac:dyDescent="0.35">
      <c r="A40" s="18" t="s">
        <v>58</v>
      </c>
      <c r="B40" s="35"/>
      <c r="C40" s="35"/>
    </row>
    <row r="41" spans="1:24" ht="17.25" x14ac:dyDescent="0.35">
      <c r="A41" s="18" t="s">
        <v>59</v>
      </c>
      <c r="B41" s="5">
        <f>E12</f>
        <v>131072</v>
      </c>
      <c r="C41" s="5">
        <f>E30*D21</f>
        <v>128</v>
      </c>
    </row>
    <row r="42" spans="1:24" x14ac:dyDescent="0.25">
      <c r="A42" s="18" t="s">
        <v>61</v>
      </c>
      <c r="B42" t="s">
        <v>156</v>
      </c>
    </row>
    <row r="44" spans="1:24" s="155" customFormat="1" ht="53.25" customHeight="1" x14ac:dyDescent="0.25">
      <c r="A44" s="111" t="s">
        <v>157</v>
      </c>
    </row>
    <row r="45" spans="1:24" x14ac:dyDescent="0.25">
      <c r="A45" s="18" t="s">
        <v>152</v>
      </c>
      <c r="B45" t="s">
        <v>158</v>
      </c>
    </row>
    <row r="46" spans="1:24" ht="51.75" x14ac:dyDescent="0.25">
      <c r="A46" t="s">
        <v>9</v>
      </c>
      <c r="B46" s="28" t="s">
        <v>159</v>
      </c>
      <c r="C46" s="28" t="s">
        <v>160</v>
      </c>
      <c r="D46" s="28" t="s">
        <v>161</v>
      </c>
      <c r="E46" s="28" t="s">
        <v>162</v>
      </c>
      <c r="F46" s="28" t="s">
        <v>163</v>
      </c>
      <c r="G46" s="28" t="s">
        <v>164</v>
      </c>
      <c r="H46" s="28" t="s">
        <v>165</v>
      </c>
      <c r="I46" s="28" t="s">
        <v>141</v>
      </c>
      <c r="J46" s="28" t="s">
        <v>166</v>
      </c>
      <c r="K46" s="28" t="s">
        <v>167</v>
      </c>
      <c r="L46" s="28" t="s">
        <v>168</v>
      </c>
      <c r="M46" s="28" t="s">
        <v>169</v>
      </c>
      <c r="N46" s="28" t="s">
        <v>170</v>
      </c>
      <c r="O46" s="28" t="s">
        <v>171</v>
      </c>
    </row>
    <row r="47" spans="1:24" ht="17.25" x14ac:dyDescent="0.35">
      <c r="A47" s="18" t="s">
        <v>56</v>
      </c>
      <c r="B47" s="16" t="s">
        <v>2</v>
      </c>
      <c r="C47" s="16" t="s">
        <v>2</v>
      </c>
      <c r="D47" s="16" t="s">
        <v>2</v>
      </c>
      <c r="E47" s="16" t="s">
        <v>2</v>
      </c>
      <c r="F47" s="16" t="s">
        <v>2</v>
      </c>
      <c r="G47" s="16" t="s">
        <v>2</v>
      </c>
      <c r="H47" s="16" t="s">
        <v>1</v>
      </c>
      <c r="I47" s="16" t="s">
        <v>2</v>
      </c>
      <c r="J47" s="16" t="s">
        <v>2</v>
      </c>
      <c r="K47" s="16" t="s">
        <v>1</v>
      </c>
      <c r="L47" s="16" t="s">
        <v>1</v>
      </c>
      <c r="M47" s="16" t="s">
        <v>2</v>
      </c>
      <c r="N47" s="16" t="s">
        <v>2</v>
      </c>
      <c r="O47" s="16" t="s">
        <v>2</v>
      </c>
    </row>
    <row r="48" spans="1:24" ht="17.25" x14ac:dyDescent="0.35">
      <c r="A48" t="s">
        <v>57</v>
      </c>
      <c r="B48" s="73">
        <f>IF(B47=Inputs!$C$1,B49,B50)</f>
        <v>8</v>
      </c>
      <c r="C48" s="73">
        <f>IF(C47=Inputs!$C$1,C49,C50)</f>
        <v>102.4</v>
      </c>
      <c r="D48" s="73">
        <f>IF(D47=Inputs!$C$1,D49,D50)</f>
        <v>94143.701249999984</v>
      </c>
      <c r="E48" s="73">
        <f>IF(E47=Inputs!$C$1,E49,E50)</f>
        <v>163840</v>
      </c>
      <c r="F48" s="73">
        <f>IF(F47=Inputs!$C$1,F49,F50)</f>
        <v>91584</v>
      </c>
      <c r="G48" s="73">
        <f>IF(G47=Inputs!$C$1,G49,G50)</f>
        <v>2.7949218750000001E-2</v>
      </c>
      <c r="H48" s="73">
        <f>IF(H47=Inputs!$C$1,H49,H50)</f>
        <v>0.01</v>
      </c>
      <c r="I48" s="73">
        <f>IF(I47=Inputs!$C$1,I49,I50)</f>
        <v>1280</v>
      </c>
      <c r="J48" s="73">
        <f>IF(J47=Inputs!$C$1,J49,J50)</f>
        <v>0.19682594394683839</v>
      </c>
      <c r="K48" s="73">
        <f>IF(K47=Inputs!$C$1,K49,K50)</f>
        <v>106</v>
      </c>
      <c r="L48" s="73">
        <f>IF(L47=Inputs!$C$1,L49,L50)</f>
        <v>3</v>
      </c>
      <c r="M48" s="73">
        <f>IF(M47=Inputs!$C$1,M49,M50)</f>
        <v>3.0510919849145618E-5</v>
      </c>
      <c r="N48" s="73">
        <f>IF(N47=Inputs!$C$1,N49,N50)</f>
        <v>35.779175401816907</v>
      </c>
      <c r="O48" s="73">
        <f>IF(O47=Inputs!$C$1,O49,O50)</f>
        <v>508.06310385082901</v>
      </c>
    </row>
    <row r="49" spans="1:15" ht="17.25" x14ac:dyDescent="0.35">
      <c r="A49" s="18" t="s">
        <v>58</v>
      </c>
      <c r="B49" s="35"/>
      <c r="C49" s="35"/>
      <c r="D49" s="35"/>
      <c r="E49" s="35"/>
      <c r="F49" s="16">
        <v>20480000</v>
      </c>
      <c r="G49" s="16">
        <v>2000</v>
      </c>
      <c r="H49" s="35">
        <v>0.01</v>
      </c>
      <c r="I49" s="35"/>
      <c r="J49" s="35"/>
      <c r="K49" s="35">
        <v>106</v>
      </c>
      <c r="L49" s="35">
        <v>3</v>
      </c>
      <c r="M49" s="35"/>
      <c r="N49" s="35"/>
      <c r="O49" s="35"/>
    </row>
    <row r="50" spans="1:15" ht="17.25" x14ac:dyDescent="0.35">
      <c r="A50" s="18" t="s">
        <v>59</v>
      </c>
      <c r="B50" s="5">
        <f>B30</f>
        <v>8</v>
      </c>
      <c r="C50" s="5">
        <f>F12</f>
        <v>102.4</v>
      </c>
      <c r="D50" s="5">
        <f>F48*(1+G48)</f>
        <v>94143.701249999984</v>
      </c>
      <c r="E50" s="5">
        <f>I48*C39</f>
        <v>163840</v>
      </c>
      <c r="F50" s="5">
        <f>(B12+2*M21/B48)*K48*L48</f>
        <v>91584</v>
      </c>
      <c r="G50" s="5">
        <f>F48*B48*H48/(H21*1024)</f>
        <v>2.7949218750000001E-2</v>
      </c>
      <c r="H50" s="5">
        <v>0</v>
      </c>
      <c r="I50" s="5">
        <f>K21</f>
        <v>1280</v>
      </c>
      <c r="J50" s="5">
        <f>B48*C48*(D48+E48)/1024^3</f>
        <v>0.19682594394683839</v>
      </c>
      <c r="K50" s="5">
        <v>0</v>
      </c>
      <c r="L50" s="5">
        <v>0</v>
      </c>
      <c r="M50" s="5">
        <f>(J48/G21)</f>
        <v>3.0510919849145618E-5</v>
      </c>
      <c r="N50" s="5">
        <f>1/G48</f>
        <v>35.779175401816907</v>
      </c>
      <c r="O50" s="5">
        <f>H30*C21/J48</f>
        <v>508.06310385082901</v>
      </c>
    </row>
    <row r="51" spans="1:15" x14ac:dyDescent="0.25">
      <c r="A51" s="18" t="s">
        <v>61</v>
      </c>
      <c r="B51" t="s">
        <v>172</v>
      </c>
      <c r="F51" s="18">
        <f>B4</f>
        <v>1.5625000000000001E-3</v>
      </c>
    </row>
    <row r="59" spans="1:15" x14ac:dyDescent="0.25">
      <c r="A59" s="167" t="s">
        <v>173</v>
      </c>
      <c r="B59" s="167" t="s">
        <v>174</v>
      </c>
      <c r="C59" s="167" t="s">
        <v>175</v>
      </c>
      <c r="D59" s="167" t="s">
        <v>176</v>
      </c>
      <c r="H59" s="167" t="s">
        <v>164</v>
      </c>
      <c r="I59" s="167" t="s">
        <v>175</v>
      </c>
      <c r="J59" s="167" t="s">
        <v>176</v>
      </c>
    </row>
    <row r="60" spans="1:15" x14ac:dyDescent="0.25">
      <c r="A60">
        <v>9</v>
      </c>
      <c r="B60">
        <v>86000</v>
      </c>
      <c r="C60" s="18">
        <v>1.56E-3</v>
      </c>
      <c r="D60" s="18">
        <v>2.4000000000000001E-4</v>
      </c>
      <c r="H60">
        <v>1</v>
      </c>
      <c r="I60" s="18">
        <v>4.81E-3</v>
      </c>
      <c r="J60" s="18">
        <v>6.1799999999999995E-4</v>
      </c>
    </row>
    <row r="61" spans="1:15" x14ac:dyDescent="0.25">
      <c r="A61">
        <v>20</v>
      </c>
      <c r="B61">
        <v>86000</v>
      </c>
      <c r="C61" s="18">
        <v>3.2799999999999999E-3</v>
      </c>
      <c r="D61" s="18">
        <v>3.7100000000000002E-4</v>
      </c>
      <c r="H61">
        <v>5</v>
      </c>
      <c r="I61" s="18">
        <v>4.81E-3</v>
      </c>
      <c r="J61" s="18">
        <v>1.6999999999999999E-3</v>
      </c>
    </row>
    <row r="62" spans="1:15" x14ac:dyDescent="0.25">
      <c r="A62">
        <v>50</v>
      </c>
      <c r="B62">
        <v>86000</v>
      </c>
      <c r="C62" s="39">
        <v>7.9699999999999997E-3</v>
      </c>
      <c r="D62" s="18">
        <v>8.9999999999999998E-4</v>
      </c>
      <c r="H62">
        <v>10</v>
      </c>
      <c r="I62" s="18">
        <v>4.81E-3</v>
      </c>
      <c r="J62" s="18">
        <v>3.0500000000000002E-3</v>
      </c>
    </row>
    <row r="63" spans="1:15" x14ac:dyDescent="0.25">
      <c r="A63">
        <v>200</v>
      </c>
      <c r="B63">
        <v>86000</v>
      </c>
      <c r="C63" s="18">
        <v>3.1399999999999997E-2</v>
      </c>
      <c r="D63" s="18">
        <v>3.5500000000000002E-3</v>
      </c>
      <c r="H63">
        <v>20</v>
      </c>
      <c r="I63" s="18">
        <v>4.81E-3</v>
      </c>
      <c r="J63" s="18">
        <v>5.7400000000000003E-3</v>
      </c>
    </row>
    <row r="64" spans="1:15" x14ac:dyDescent="0.25">
      <c r="C64" s="18"/>
      <c r="D64" s="18"/>
      <c r="I64" s="18"/>
      <c r="J64" s="18"/>
    </row>
    <row r="65" spans="1:10" x14ac:dyDescent="0.25">
      <c r="A65">
        <v>20</v>
      </c>
      <c r="B65" s="18">
        <v>86000</v>
      </c>
      <c r="C65" s="18">
        <v>3.2799999999999999E-3</v>
      </c>
      <c r="D65" s="18">
        <v>3.7100000000000002E-4</v>
      </c>
      <c r="I65" s="18"/>
      <c r="J65" s="18"/>
    </row>
    <row r="66" spans="1:10" x14ac:dyDescent="0.25">
      <c r="B66" s="18">
        <v>160000</v>
      </c>
      <c r="C66" s="18">
        <v>3.2799999999999999E-3</v>
      </c>
      <c r="D66" s="18">
        <v>3.7100000000000002E-4</v>
      </c>
      <c r="H66">
        <v>120</v>
      </c>
      <c r="I66" s="18">
        <v>8.0800000000000004E-3</v>
      </c>
      <c r="J66" s="18">
        <v>3.27E-2</v>
      </c>
    </row>
    <row r="67" spans="1:10" x14ac:dyDescent="0.25">
      <c r="B67" s="18">
        <v>320000</v>
      </c>
      <c r="C67" s="18">
        <v>3.2799999999999999E-3</v>
      </c>
      <c r="D67" s="18">
        <v>4.7800000000000002E-4</v>
      </c>
      <c r="H67">
        <v>200</v>
      </c>
      <c r="I67" s="18">
        <v>1.34E-2</v>
      </c>
      <c r="J67" s="18">
        <v>5.4300000000000001E-2</v>
      </c>
    </row>
    <row r="68" spans="1:10" x14ac:dyDescent="0.25">
      <c r="B68" s="18">
        <v>640000</v>
      </c>
      <c r="C68" s="18">
        <v>3.2799999999999999E-3</v>
      </c>
      <c r="D68" s="18">
        <v>8.2899999999999998E-4</v>
      </c>
      <c r="H68">
        <v>400</v>
      </c>
      <c r="I68" s="18">
        <v>2.6700000000000002E-2</v>
      </c>
      <c r="J68" s="18">
        <v>0.108</v>
      </c>
    </row>
    <row r="69" spans="1:10" x14ac:dyDescent="0.25">
      <c r="B69" s="18">
        <v>1280000</v>
      </c>
      <c r="C69" s="18">
        <v>3.2799999999999999E-3</v>
      </c>
      <c r="D69" s="18">
        <v>1.6199999999999999E-3</v>
      </c>
      <c r="H69">
        <v>800</v>
      </c>
      <c r="I69" s="18">
        <v>5.3400000000000003E-2</v>
      </c>
      <c r="J69" s="18">
        <v>0.216</v>
      </c>
    </row>
    <row r="70" spans="1:10" x14ac:dyDescent="0.25">
      <c r="B70" s="18">
        <v>2560000</v>
      </c>
      <c r="C70" s="18">
        <v>3.2799999999999999E-3</v>
      </c>
      <c r="D70" s="18">
        <v>3.5699999999999998E-3</v>
      </c>
      <c r="H70">
        <v>2000</v>
      </c>
      <c r="I70" s="18">
        <v>0.13300000000000001</v>
      </c>
      <c r="J70" s="18">
        <v>0.54</v>
      </c>
    </row>
    <row r="71" spans="1:10" x14ac:dyDescent="0.25">
      <c r="B71" s="18">
        <v>5120000</v>
      </c>
      <c r="C71" s="18">
        <v>5.0299999999999997E-3</v>
      </c>
      <c r="D71" s="18">
        <v>8.8900000000000003E-3</v>
      </c>
    </row>
    <row r="72" spans="1:10" x14ac:dyDescent="0.25">
      <c r="B72" s="18">
        <v>10240000</v>
      </c>
      <c r="C72" s="18">
        <v>1.7600000000000001E-2</v>
      </c>
      <c r="D72" s="18">
        <v>2.53E-2</v>
      </c>
    </row>
    <row r="73" spans="1:10" x14ac:dyDescent="0.25">
      <c r="B73" s="18">
        <v>20480000</v>
      </c>
      <c r="C73" s="18">
        <v>6.4500000000000002E-2</v>
      </c>
      <c r="D73" s="18">
        <v>8.1000000000000003E-2</v>
      </c>
    </row>
    <row r="74" spans="1:10" x14ac:dyDescent="0.25">
      <c r="B74" s="18"/>
      <c r="C74" s="18"/>
      <c r="D74" s="18"/>
    </row>
    <row r="76" spans="1:10" x14ac:dyDescent="0.25">
      <c r="A76">
        <v>100</v>
      </c>
      <c r="B76" s="18">
        <v>86000</v>
      </c>
      <c r="C76" s="18">
        <v>1.5800000000000002E-2</v>
      </c>
      <c r="D76" s="18">
        <v>1.7799999999999999E-3</v>
      </c>
    </row>
    <row r="77" spans="1:10" x14ac:dyDescent="0.25">
      <c r="B77" s="18">
        <v>160000</v>
      </c>
      <c r="C77" s="18">
        <v>1.5800000000000002E-2</v>
      </c>
      <c r="D77" s="18">
        <v>1.7799999999999999E-3</v>
      </c>
    </row>
    <row r="78" spans="1:10" x14ac:dyDescent="0.25">
      <c r="B78" s="18">
        <v>320000</v>
      </c>
      <c r="C78" s="18">
        <v>1.5800000000000002E-2</v>
      </c>
      <c r="D78" s="18">
        <v>1.7799999999999999E-3</v>
      </c>
    </row>
    <row r="79" spans="1:10" x14ac:dyDescent="0.25">
      <c r="B79" s="18">
        <v>640000</v>
      </c>
      <c r="C79" s="18">
        <v>1.5800000000000002E-2</v>
      </c>
      <c r="D79" s="18">
        <v>1.7799999999999999E-3</v>
      </c>
    </row>
    <row r="80" spans="1:10" x14ac:dyDescent="0.25">
      <c r="B80" s="18">
        <v>1280000</v>
      </c>
      <c r="C80" s="18">
        <v>1.5800000000000002E-2</v>
      </c>
      <c r="D80" s="18">
        <v>1.7799999999999999E-3</v>
      </c>
    </row>
    <row r="81" spans="2:4" x14ac:dyDescent="0.25">
      <c r="B81" s="18">
        <v>2560000</v>
      </c>
      <c r="C81" s="18">
        <v>1.5800000000000002E-2</v>
      </c>
      <c r="D81" s="18">
        <v>3.5699999999999998E-3</v>
      </c>
    </row>
    <row r="82" spans="2:4" x14ac:dyDescent="0.25">
      <c r="B82" s="18">
        <v>5120000</v>
      </c>
      <c r="C82" s="18">
        <v>1.5800000000000002E-2</v>
      </c>
      <c r="D82" s="18">
        <v>8.8900000000000003E-3</v>
      </c>
    </row>
    <row r="83" spans="2:4" x14ac:dyDescent="0.25">
      <c r="B83" s="18">
        <v>10240000</v>
      </c>
      <c r="C83" s="18">
        <v>1.7600000000000001E-2</v>
      </c>
      <c r="D83" s="18">
        <v>2.53E-2</v>
      </c>
    </row>
    <row r="84" spans="2:4" x14ac:dyDescent="0.25">
      <c r="B84" s="18">
        <v>20480000</v>
      </c>
      <c r="C84" s="18">
        <v>6.4500000000000002E-2</v>
      </c>
      <c r="D84" s="18">
        <v>8.1000000000000003E-2</v>
      </c>
    </row>
    <row r="85" spans="2:4" x14ac:dyDescent="0.25">
      <c r="C85" s="18"/>
    </row>
  </sheetData>
  <conditionalFormatting sqref="A38:C38">
    <cfRule type="containsText" dxfId="54" priority="19" operator="containsText" text="calculated">
      <formula>NOT(ISERROR(SEARCH("calculated",A38)))</formula>
    </cfRule>
  </conditionalFormatting>
  <conditionalFormatting sqref="A11:F11">
    <cfRule type="containsText" dxfId="53" priority="6" operator="containsText" text="calculated">
      <formula>NOT(ISERROR(SEARCH("calculated",A11)))</formula>
    </cfRule>
  </conditionalFormatting>
  <conditionalFormatting sqref="A29:I29">
    <cfRule type="containsText" dxfId="52" priority="22" operator="containsText" text="calculated">
      <formula>NOT(ISERROR(SEARCH("calculated",A29)))</formula>
    </cfRule>
  </conditionalFormatting>
  <conditionalFormatting sqref="A47:O47">
    <cfRule type="containsText" dxfId="51" priority="1" operator="containsText" text="calculated">
      <formula>NOT(ISERROR(SEARCH("calculated",A47)))</formula>
    </cfRule>
  </conditionalFormatting>
  <conditionalFormatting sqref="A20:XFD20">
    <cfRule type="containsText" dxfId="50" priority="5" operator="containsText" text="calculated">
      <formula>NOT(ISERROR(SEARCH("calculated",A20)))</formula>
    </cfRule>
  </conditionalFormatting>
  <pageMargins left="0.7" right="0.7" top="0.75" bottom="0.75" header="0.3" footer="0.3"/>
  <pageSetup paperSize="9" orientation="portrait" r:id="rId1"/>
  <headerFooter>
    <oddFooter>&amp;R&amp;1#&amp;"Calibri"&amp;8&amp;K000000strictly confidential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3FF8271-4378-4F46-A73A-68B9CA2242C9}">
          <x14:formula1>
            <xm:f>Inputs!$C$1:$D$1</xm:f>
          </x14:formula1>
          <xm:sqref>B11:F11 B29:I29 B47:O47 B38:C38 B20:M20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42390-3945-4730-B338-D516E83FAD3D}">
  <sheetPr codeName="Sheet7"/>
  <dimension ref="A2:Y51"/>
  <sheetViews>
    <sheetView workbookViewId="0"/>
  </sheetViews>
  <sheetFormatPr defaultRowHeight="15" x14ac:dyDescent="0.25"/>
  <cols>
    <col min="1" max="1" width="34.140625" customWidth="1"/>
    <col min="2" max="2" width="18.140625" customWidth="1"/>
    <col min="3" max="3" width="24" customWidth="1"/>
    <col min="4" max="4" width="19.85546875" customWidth="1"/>
    <col min="5" max="5" width="24.5703125" customWidth="1"/>
    <col min="6" max="6" width="19.85546875" customWidth="1"/>
    <col min="7" max="7" width="22.7109375" customWidth="1"/>
    <col min="8" max="8" width="25.7109375" customWidth="1"/>
    <col min="9" max="9" width="23.42578125" customWidth="1"/>
    <col min="10" max="10" width="23.7109375" customWidth="1"/>
    <col min="11" max="12" width="19.85546875" customWidth="1"/>
    <col min="13" max="13" width="27.85546875" customWidth="1"/>
    <col min="14" max="14" width="20.85546875" customWidth="1"/>
    <col min="15" max="15" width="25.7109375" customWidth="1"/>
    <col min="16" max="16" width="27" customWidth="1"/>
    <col min="17" max="17" width="25.7109375" customWidth="1"/>
    <col min="18" max="18" width="18.5703125" customWidth="1"/>
  </cols>
  <sheetData>
    <row r="2" spans="1:25" s="18" customFormat="1" x14ac:dyDescent="0.25">
      <c r="Y2"/>
    </row>
    <row r="3" spans="1:25" s="155" customFormat="1" ht="53.25" customHeight="1" x14ac:dyDescent="0.25">
      <c r="A3" s="111" t="s">
        <v>122</v>
      </c>
    </row>
    <row r="4" spans="1:25" s="18" customFormat="1" x14ac:dyDescent="0.25">
      <c r="A4" s="39" t="s">
        <v>123</v>
      </c>
      <c r="B4" s="39">
        <f>MAX(H30/L21,J48/G21)</f>
        <v>2.4577962654316268E-4</v>
      </c>
      <c r="Y4"/>
    </row>
    <row r="5" spans="1:25" s="18" customFormat="1" x14ac:dyDescent="0.25">
      <c r="Y5"/>
    </row>
    <row r="6" spans="1:25" s="18" customFormat="1" x14ac:dyDescent="0.25">
      <c r="Y6"/>
    </row>
    <row r="7" spans="1:25" s="18" customFormat="1" x14ac:dyDescent="0.25">
      <c r="Y7"/>
    </row>
    <row r="8" spans="1:25" s="155" customFormat="1" ht="53.25" customHeight="1" x14ac:dyDescent="0.25">
      <c r="A8" s="111" t="s">
        <v>124</v>
      </c>
    </row>
    <row r="9" spans="1:25" s="18" customFormat="1" x14ac:dyDescent="0.25">
      <c r="A9" s="24" t="s">
        <v>125</v>
      </c>
      <c r="Y9"/>
    </row>
    <row r="10" spans="1:25" s="18" customFormat="1" ht="51.75" x14ac:dyDescent="0.25">
      <c r="A10" t="s">
        <v>9</v>
      </c>
      <c r="B10" s="28" t="s">
        <v>126</v>
      </c>
      <c r="C10" s="28" t="s">
        <v>127</v>
      </c>
      <c r="D10" s="28" t="s">
        <v>128</v>
      </c>
      <c r="E10" s="28" t="s">
        <v>129</v>
      </c>
      <c r="F10" s="28" t="s">
        <v>130</v>
      </c>
      <c r="X10"/>
    </row>
    <row r="11" spans="1:25" s="18" customFormat="1" ht="17.25" x14ac:dyDescent="0.35">
      <c r="A11" s="18" t="s">
        <v>56</v>
      </c>
      <c r="B11" s="16" t="s">
        <v>1</v>
      </c>
      <c r="C11" s="16" t="s">
        <v>2</v>
      </c>
      <c r="D11" s="16" t="s">
        <v>2</v>
      </c>
      <c r="E11" s="16" t="s">
        <v>2</v>
      </c>
      <c r="F11" s="16" t="s">
        <v>2</v>
      </c>
      <c r="X11"/>
    </row>
    <row r="12" spans="1:25" s="18" customFormat="1" ht="17.25" x14ac:dyDescent="0.35">
      <c r="A12" t="s">
        <v>57</v>
      </c>
      <c r="B12" s="73">
        <f>IF(B11=Inputs!$C$1,B13,B14)</f>
        <v>256</v>
      </c>
      <c r="C12" s="73">
        <f>IF(C11=Inputs!$C$1,C13,C14)</f>
        <v>16777216</v>
      </c>
      <c r="D12" s="73">
        <f>IF(D11=Inputs!$C$1,D13,D14)</f>
        <v>16777216</v>
      </c>
      <c r="E12" s="73">
        <f>IF(E11=Inputs!$C$1,E13,E14)</f>
        <v>131072</v>
      </c>
      <c r="F12" s="73">
        <f>IF(F11=Inputs!$C$1,F13,F14)</f>
        <v>102.4</v>
      </c>
      <c r="X12"/>
    </row>
    <row r="13" spans="1:25" s="18" customFormat="1" ht="17.25" x14ac:dyDescent="0.35">
      <c r="A13" s="18" t="s">
        <v>58</v>
      </c>
      <c r="B13" s="35">
        <v>256</v>
      </c>
      <c r="C13" s="35"/>
      <c r="D13" s="35"/>
      <c r="E13" s="35"/>
      <c r="F13" s="35"/>
      <c r="X13"/>
    </row>
    <row r="14" spans="1:25" s="18" customFormat="1" ht="17.25" x14ac:dyDescent="0.35">
      <c r="A14" s="18" t="s">
        <v>59</v>
      </c>
      <c r="B14" s="5">
        <f>B27</f>
        <v>0</v>
      </c>
      <c r="C14" s="73">
        <f>B12*B12*B12</f>
        <v>16777216</v>
      </c>
      <c r="D14" s="73">
        <f>C12</f>
        <v>16777216</v>
      </c>
      <c r="E14" s="73">
        <f>D12/D21</f>
        <v>131072</v>
      </c>
      <c r="F14" s="157">
        <f>E12/K21</f>
        <v>102.4</v>
      </c>
      <c r="X14"/>
    </row>
    <row r="15" spans="1:25" s="18" customFormat="1" x14ac:dyDescent="0.25">
      <c r="A15" s="18" t="s">
        <v>61</v>
      </c>
      <c r="Y15"/>
    </row>
    <row r="16" spans="1:25" s="18" customFormat="1" x14ac:dyDescent="0.25">
      <c r="Y16"/>
    </row>
    <row r="17" spans="1:25" s="155" customFormat="1" ht="53.25" customHeight="1" x14ac:dyDescent="0.25">
      <c r="A17" s="111" t="s">
        <v>131</v>
      </c>
    </row>
    <row r="18" spans="1:25" x14ac:dyDescent="0.25">
      <c r="A18" s="24" t="s">
        <v>125</v>
      </c>
    </row>
    <row r="19" spans="1:25" ht="34.5" x14ac:dyDescent="0.25">
      <c r="A19" t="s">
        <v>9</v>
      </c>
      <c r="B19" s="28" t="s">
        <v>132</v>
      </c>
      <c r="C19" s="28" t="s">
        <v>133</v>
      </c>
      <c r="D19" s="28" t="s">
        <v>134</v>
      </c>
      <c r="E19" s="28" t="s">
        <v>135</v>
      </c>
      <c r="F19" s="28" t="s">
        <v>136</v>
      </c>
      <c r="G19" s="28" t="s">
        <v>137</v>
      </c>
      <c r="H19" s="28" t="s">
        <v>177</v>
      </c>
      <c r="I19" s="28" t="s">
        <v>139</v>
      </c>
      <c r="J19" s="28" t="s">
        <v>140</v>
      </c>
      <c r="K19" s="28" t="s">
        <v>141</v>
      </c>
      <c r="L19" s="28" t="s">
        <v>142</v>
      </c>
      <c r="M19" s="28" t="s">
        <v>143</v>
      </c>
    </row>
    <row r="20" spans="1:25" s="18" customFormat="1" ht="17.25" x14ac:dyDescent="0.35">
      <c r="A20" s="18" t="s">
        <v>56</v>
      </c>
      <c r="B20" s="16" t="s">
        <v>1</v>
      </c>
      <c r="C20" s="16" t="s">
        <v>1</v>
      </c>
      <c r="D20" s="16" t="s">
        <v>1</v>
      </c>
      <c r="E20" s="16" t="s">
        <v>1</v>
      </c>
      <c r="F20" s="16" t="s">
        <v>1</v>
      </c>
      <c r="G20" s="16" t="s">
        <v>1</v>
      </c>
      <c r="H20" s="16" t="s">
        <v>1</v>
      </c>
      <c r="I20" s="16" t="s">
        <v>1</v>
      </c>
      <c r="J20" s="16" t="s">
        <v>2</v>
      </c>
      <c r="K20" s="16" t="s">
        <v>2</v>
      </c>
      <c r="L20" s="16" t="s">
        <v>2</v>
      </c>
      <c r="M20" s="16" t="s">
        <v>1</v>
      </c>
    </row>
    <row r="21" spans="1:25" s="17" customFormat="1" ht="17.25" x14ac:dyDescent="0.35">
      <c r="A21" t="s">
        <v>57</v>
      </c>
      <c r="B21" s="73">
        <f>IF(B20=Inputs!$C$1,B22,B23)</f>
        <v>2048</v>
      </c>
      <c r="C21" s="73">
        <f>IF(C20=Inputs!$C$1,C22,C23)</f>
        <v>80</v>
      </c>
      <c r="D21" s="73">
        <f>IF(D20=Inputs!$C$1,D22,D23)</f>
        <v>128</v>
      </c>
      <c r="E21" s="73">
        <f>IF(E20=Inputs!$C$1,E22,E23)</f>
        <v>0.71</v>
      </c>
      <c r="F21" s="73">
        <f>IF(F20=Inputs!$C$1,F22,F23)</f>
        <v>191</v>
      </c>
      <c r="G21" s="73">
        <f>IF(G20=Inputs!$C$1,G22,G23)</f>
        <v>1593.7</v>
      </c>
      <c r="H21" s="73">
        <f>IF(H20=Inputs!$C$1,H22,H23)</f>
        <v>1024</v>
      </c>
      <c r="I21" s="73">
        <v>1</v>
      </c>
      <c r="J21" s="73">
        <f>IF(J20=Inputs!$C$1,J22,J23)</f>
        <v>16</v>
      </c>
      <c r="K21" s="73">
        <f>IF(K20=Inputs!$C$1,K22,K23)</f>
        <v>1280</v>
      </c>
      <c r="L21" s="73">
        <f>IF(L20=Inputs!$C$1,L22,L23)</f>
        <v>15280</v>
      </c>
      <c r="M21" s="73">
        <f>IF(M20=Inputs!$C$1,M22,M23)</f>
        <v>256</v>
      </c>
    </row>
    <row r="22" spans="1:25" s="18" customFormat="1" ht="17.25" x14ac:dyDescent="0.35">
      <c r="A22" s="18" t="s">
        <v>58</v>
      </c>
      <c r="B22" s="35">
        <v>2048</v>
      </c>
      <c r="C22" s="35">
        <v>80</v>
      </c>
      <c r="D22" s="35">
        <v>128</v>
      </c>
      <c r="E22" s="35">
        <v>0.71</v>
      </c>
      <c r="F22" s="35">
        <v>191</v>
      </c>
      <c r="G22" s="35">
        <v>1593.7</v>
      </c>
      <c r="H22" s="35">
        <v>1024</v>
      </c>
      <c r="I22" s="35"/>
      <c r="J22" s="35"/>
      <c r="K22" s="35"/>
      <c r="L22" s="35">
        <v>0</v>
      </c>
      <c r="M22" s="35">
        <v>256</v>
      </c>
    </row>
    <row r="23" spans="1:25" s="18" customFormat="1" ht="17.25" x14ac:dyDescent="0.35">
      <c r="A23" s="18" t="s">
        <v>59</v>
      </c>
      <c r="B23" s="5">
        <v>0</v>
      </c>
      <c r="C23" s="5">
        <v>0</v>
      </c>
      <c r="D23" s="5">
        <v>0</v>
      </c>
      <c r="E23" s="5">
        <v>0</v>
      </c>
      <c r="F23" s="5">
        <v>0</v>
      </c>
      <c r="G23" s="5">
        <v>0</v>
      </c>
      <c r="H23" s="5">
        <v>0</v>
      </c>
      <c r="I23" s="73">
        <v>1</v>
      </c>
      <c r="J23" s="73">
        <f>B21/D21</f>
        <v>16</v>
      </c>
      <c r="K23" s="39">
        <f>J21*C21</f>
        <v>1280</v>
      </c>
      <c r="L23" s="5">
        <f>F21*C21</f>
        <v>15280</v>
      </c>
      <c r="M23" s="5">
        <v>0</v>
      </c>
    </row>
    <row r="24" spans="1:25" s="18" customFormat="1" x14ac:dyDescent="0.25">
      <c r="A24" s="18" t="s">
        <v>61</v>
      </c>
      <c r="Y24"/>
    </row>
    <row r="26" spans="1:25" s="155" customFormat="1" ht="53.25" customHeight="1" x14ac:dyDescent="0.25">
      <c r="A26" s="111" t="s">
        <v>144</v>
      </c>
    </row>
    <row r="27" spans="1:25" x14ac:dyDescent="0.25">
      <c r="A27" s="24" t="s">
        <v>125</v>
      </c>
    </row>
    <row r="28" spans="1:25" ht="69" x14ac:dyDescent="0.25">
      <c r="A28" t="s">
        <v>9</v>
      </c>
      <c r="B28" s="28" t="s">
        <v>145</v>
      </c>
      <c r="C28" s="28" t="s">
        <v>132</v>
      </c>
      <c r="D28" s="28" t="s">
        <v>146</v>
      </c>
      <c r="E28" s="28" t="s">
        <v>147</v>
      </c>
      <c r="F28" s="28" t="s">
        <v>148</v>
      </c>
      <c r="G28" s="28" t="s">
        <v>149</v>
      </c>
      <c r="H28" s="28" t="s">
        <v>150</v>
      </c>
      <c r="I28" s="28" t="s">
        <v>151</v>
      </c>
      <c r="J28" s="28"/>
      <c r="K28" s="28"/>
      <c r="L28" s="28"/>
      <c r="M28" s="28"/>
      <c r="N28" s="28"/>
      <c r="O28" s="28"/>
    </row>
    <row r="29" spans="1:25" ht="17.25" x14ac:dyDescent="0.35">
      <c r="A29" s="18" t="s">
        <v>56</v>
      </c>
      <c r="B29" s="16" t="s">
        <v>1</v>
      </c>
      <c r="C29" s="16" t="s">
        <v>2</v>
      </c>
      <c r="D29" s="16" t="s">
        <v>2</v>
      </c>
      <c r="E29" s="16" t="s">
        <v>1</v>
      </c>
      <c r="F29" s="16" t="s">
        <v>1</v>
      </c>
      <c r="G29" s="16" t="s">
        <v>1</v>
      </c>
      <c r="H29" s="16" t="s">
        <v>2</v>
      </c>
      <c r="I29" s="16" t="s">
        <v>2</v>
      </c>
    </row>
    <row r="30" spans="1:25" ht="17.25" x14ac:dyDescent="0.35">
      <c r="A30" t="s">
        <v>57</v>
      </c>
      <c r="B30" s="73">
        <f>IF(B29=Inputs!$C$1,B31,B32)</f>
        <v>16</v>
      </c>
      <c r="C30" s="73">
        <f>IF(C29=Inputs!$C$1,C31,C32)</f>
        <v>2048</v>
      </c>
      <c r="D30" s="73">
        <f>IF(D29=Inputs!$C$1,D31,D32)</f>
        <v>9</v>
      </c>
      <c r="E30" s="73">
        <f>IF(E29=Inputs!$C$1,E31,E32)</f>
        <v>1</v>
      </c>
      <c r="F30" s="73">
        <f>IF(F29=Inputs!$C$1,F31,F32)</f>
        <v>5</v>
      </c>
      <c r="G30" s="73">
        <f>IF(G29=Inputs!$C$1,G31,G32)</f>
        <v>2</v>
      </c>
      <c r="H30" s="73">
        <f>IF(H29=Inputs!$C$1,H31,H32)</f>
        <v>2.5</v>
      </c>
      <c r="I30" s="73">
        <f>IF(I29=Inputs!$C$1,I31,I32)</f>
        <v>1.6361256544502619E-4</v>
      </c>
    </row>
    <row r="31" spans="1:25" ht="17.25" x14ac:dyDescent="0.35">
      <c r="A31" s="18" t="s">
        <v>58</v>
      </c>
      <c r="B31" s="35">
        <v>16</v>
      </c>
      <c r="C31" s="35"/>
      <c r="D31" s="35">
        <v>20</v>
      </c>
      <c r="E31" s="35">
        <v>1</v>
      </c>
      <c r="F31" s="35">
        <v>5</v>
      </c>
      <c r="G31" s="35">
        <v>2</v>
      </c>
      <c r="H31" s="35"/>
      <c r="I31" s="35"/>
    </row>
    <row r="32" spans="1:25" ht="17.25" x14ac:dyDescent="0.35">
      <c r="A32" s="18" t="s">
        <v>59</v>
      </c>
      <c r="B32" s="5">
        <v>0</v>
      </c>
      <c r="C32" s="5">
        <f>B21</f>
        <v>2048</v>
      </c>
      <c r="D32" s="5">
        <f>F30+2*G30</f>
        <v>9</v>
      </c>
      <c r="E32" s="5">
        <v>0</v>
      </c>
      <c r="F32" s="5">
        <v>0</v>
      </c>
      <c r="G32" s="5">
        <v>0</v>
      </c>
      <c r="H32" s="5">
        <f>C12*B30*(D30+E30)/1024^3</f>
        <v>2.5</v>
      </c>
      <c r="I32" s="5">
        <f>H30/L21</f>
        <v>1.6361256544502619E-4</v>
      </c>
    </row>
    <row r="33" spans="1:24" s="18" customFormat="1" x14ac:dyDescent="0.25">
      <c r="A33" s="18" t="s">
        <v>61</v>
      </c>
      <c r="X33"/>
    </row>
    <row r="34" spans="1:24" x14ac:dyDescent="0.25">
      <c r="D34" s="18">
        <f>B4</f>
        <v>2.4577962654316268E-4</v>
      </c>
    </row>
    <row r="35" spans="1:24" s="155" customFormat="1" ht="53.25" customHeight="1" x14ac:dyDescent="0.25">
      <c r="A35" s="111"/>
    </row>
    <row r="36" spans="1:24" x14ac:dyDescent="0.25">
      <c r="A36" s="18" t="s">
        <v>152</v>
      </c>
      <c r="B36" t="s">
        <v>153</v>
      </c>
    </row>
    <row r="37" spans="1:24" ht="34.5" x14ac:dyDescent="0.25">
      <c r="A37" t="s">
        <v>9</v>
      </c>
      <c r="B37" s="28" t="s">
        <v>154</v>
      </c>
      <c r="C37" s="28" t="s">
        <v>155</v>
      </c>
      <c r="D37" s="28"/>
      <c r="E37" s="28"/>
      <c r="F37" s="28"/>
      <c r="G37" s="28"/>
      <c r="H37" s="28"/>
      <c r="I37" s="28"/>
    </row>
    <row r="38" spans="1:24" ht="17.25" x14ac:dyDescent="0.35">
      <c r="A38" s="18" t="s">
        <v>56</v>
      </c>
      <c r="B38" s="16" t="s">
        <v>2</v>
      </c>
      <c r="C38" s="16" t="s">
        <v>2</v>
      </c>
    </row>
    <row r="39" spans="1:24" ht="17.25" x14ac:dyDescent="0.35">
      <c r="A39" t="s">
        <v>57</v>
      </c>
      <c r="B39" s="73">
        <f>IF(B38=Inputs!$C$1,B40,B41)</f>
        <v>131072</v>
      </c>
      <c r="C39" s="73">
        <f>IF(C38=Inputs!$C$1,C40,C41)</f>
        <v>128</v>
      </c>
    </row>
    <row r="40" spans="1:24" ht="17.25" x14ac:dyDescent="0.35">
      <c r="A40" s="18" t="s">
        <v>58</v>
      </c>
      <c r="B40" s="35"/>
      <c r="C40" s="35"/>
    </row>
    <row r="41" spans="1:24" ht="17.25" x14ac:dyDescent="0.35">
      <c r="A41" s="18" t="s">
        <v>59</v>
      </c>
      <c r="B41" s="5">
        <f>E12</f>
        <v>131072</v>
      </c>
      <c r="C41" s="5">
        <f>E30*D21</f>
        <v>128</v>
      </c>
    </row>
    <row r="42" spans="1:24" x14ac:dyDescent="0.25">
      <c r="A42" s="18" t="s">
        <v>61</v>
      </c>
      <c r="B42" t="s">
        <v>156</v>
      </c>
    </row>
    <row r="44" spans="1:24" s="155" customFormat="1" ht="53.25" customHeight="1" x14ac:dyDescent="0.25">
      <c r="A44" s="111" t="s">
        <v>157</v>
      </c>
    </row>
    <row r="45" spans="1:24" x14ac:dyDescent="0.25">
      <c r="A45" s="18" t="s">
        <v>152</v>
      </c>
      <c r="B45" t="s">
        <v>158</v>
      </c>
    </row>
    <row r="46" spans="1:24" ht="69" x14ac:dyDescent="0.25">
      <c r="A46" t="s">
        <v>9</v>
      </c>
      <c r="B46" s="28" t="s">
        <v>159</v>
      </c>
      <c r="C46" s="28" t="s">
        <v>160</v>
      </c>
      <c r="D46" s="28" t="s">
        <v>178</v>
      </c>
      <c r="E46" s="28" t="s">
        <v>162</v>
      </c>
      <c r="F46" s="28" t="s">
        <v>163</v>
      </c>
      <c r="G46" s="28" t="s">
        <v>164</v>
      </c>
      <c r="H46" s="28" t="s">
        <v>165</v>
      </c>
      <c r="I46" s="28" t="s">
        <v>141</v>
      </c>
      <c r="J46" s="28" t="s">
        <v>179</v>
      </c>
      <c r="K46" s="28" t="s">
        <v>167</v>
      </c>
      <c r="L46" s="28" t="s">
        <v>168</v>
      </c>
      <c r="M46" s="28" t="s">
        <v>169</v>
      </c>
      <c r="N46" s="28"/>
    </row>
    <row r="47" spans="1:24" ht="17.25" x14ac:dyDescent="0.35">
      <c r="A47" s="18" t="s">
        <v>56</v>
      </c>
      <c r="B47" s="16" t="s">
        <v>2</v>
      </c>
      <c r="C47" s="16" t="s">
        <v>2</v>
      </c>
      <c r="D47" s="16" t="s">
        <v>2</v>
      </c>
      <c r="E47" s="16" t="s">
        <v>2</v>
      </c>
      <c r="F47" s="16" t="s">
        <v>2</v>
      </c>
      <c r="G47" s="16" t="s">
        <v>2</v>
      </c>
      <c r="H47" s="16" t="s">
        <v>1</v>
      </c>
      <c r="I47" s="16" t="s">
        <v>2</v>
      </c>
      <c r="J47" s="16" t="s">
        <v>2</v>
      </c>
      <c r="K47" s="16" t="s">
        <v>1</v>
      </c>
      <c r="L47" s="16" t="s">
        <v>1</v>
      </c>
      <c r="M47" s="16" t="s">
        <v>2</v>
      </c>
    </row>
    <row r="48" spans="1:24" ht="17.25" x14ac:dyDescent="0.35">
      <c r="A48" t="s">
        <v>57</v>
      </c>
      <c r="B48" s="73">
        <f>IF(B47=Inputs!$C$1,B49,B50)</f>
        <v>16</v>
      </c>
      <c r="C48" s="73">
        <f>IF(C47=Inputs!$C$1,C49,C50)</f>
        <v>102.4</v>
      </c>
      <c r="D48" s="73">
        <f>IF(D47=Inputs!$C$1,D49,D50)</f>
        <v>92863.850624999992</v>
      </c>
      <c r="E48" s="73">
        <f>IF(E47=Inputs!$C$1,E49,E50)</f>
        <v>163840</v>
      </c>
      <c r="F48" s="73">
        <f>IF(F47=Inputs!$C$1,F49,F50)</f>
        <v>91584</v>
      </c>
      <c r="G48" s="73">
        <f>IF(G47=Inputs!$C$1,G49,G50)</f>
        <v>1.3974609375E-2</v>
      </c>
      <c r="H48" s="73">
        <f>IF(H47=Inputs!$C$1,H49,H50)</f>
        <v>0.01</v>
      </c>
      <c r="I48" s="73">
        <f>IF(I47=Inputs!$C$1,I49,I50)</f>
        <v>1280</v>
      </c>
      <c r="J48" s="73">
        <f>IF(J47=Inputs!$C$1,J49,J50)</f>
        <v>0.3916989908218384</v>
      </c>
      <c r="K48" s="73">
        <f>IF(K47=Inputs!$C$1,K49,K50)</f>
        <v>106</v>
      </c>
      <c r="L48" s="73">
        <f>IF(L47=Inputs!$C$1,L49,L50)</f>
        <v>3</v>
      </c>
      <c r="M48" s="73">
        <f>IF(M47=Inputs!$C$1,M49,M50)</f>
        <v>2.4577962654316268E-4</v>
      </c>
    </row>
    <row r="49" spans="1:13" ht="17.25" x14ac:dyDescent="0.35">
      <c r="A49" s="18" t="s">
        <v>58</v>
      </c>
      <c r="B49" s="35"/>
      <c r="C49" s="35"/>
      <c r="D49" s="35"/>
      <c r="E49" s="35"/>
      <c r="F49" s="16">
        <v>1000000</v>
      </c>
      <c r="G49" s="35">
        <v>2000</v>
      </c>
      <c r="H49" s="35">
        <v>0.01</v>
      </c>
      <c r="I49" s="35"/>
      <c r="J49" s="35"/>
      <c r="K49" s="35">
        <v>106</v>
      </c>
      <c r="L49" s="35">
        <v>3</v>
      </c>
      <c r="M49" s="35"/>
    </row>
    <row r="50" spans="1:13" ht="17.25" x14ac:dyDescent="0.35">
      <c r="A50" s="18" t="s">
        <v>59</v>
      </c>
      <c r="B50" s="5">
        <f>B30</f>
        <v>16</v>
      </c>
      <c r="C50" s="5">
        <f>F12</f>
        <v>102.4</v>
      </c>
      <c r="D50" s="5">
        <f>F48*(1+G48)</f>
        <v>92863.850624999992</v>
      </c>
      <c r="E50" s="5">
        <f>I48*C39</f>
        <v>163840</v>
      </c>
      <c r="F50" s="5">
        <f>(B12+2*M21/B48)*K48*L48</f>
        <v>91584</v>
      </c>
      <c r="G50" s="5">
        <f>F48*B48*H48/(H21*1024)</f>
        <v>1.3974609375E-2</v>
      </c>
      <c r="H50" s="5">
        <v>0</v>
      </c>
      <c r="I50" s="5">
        <f>K21</f>
        <v>1280</v>
      </c>
      <c r="J50" s="5">
        <f>B48*C48*(D48+E48)/1024^3</f>
        <v>0.3916989908218384</v>
      </c>
      <c r="K50" s="5">
        <v>0</v>
      </c>
      <c r="L50" s="5">
        <v>0</v>
      </c>
      <c r="M50" s="5">
        <f>(J48/G21)</f>
        <v>2.4577962654316268E-4</v>
      </c>
    </row>
    <row r="51" spans="1:13" x14ac:dyDescent="0.25">
      <c r="A51" s="18" t="s">
        <v>61</v>
      </c>
      <c r="B51" t="s">
        <v>172</v>
      </c>
      <c r="F51" s="18">
        <f>B4</f>
        <v>2.4577962654316268E-4</v>
      </c>
    </row>
  </sheetData>
  <conditionalFormatting sqref="A38:C38">
    <cfRule type="containsText" dxfId="49" priority="23" operator="containsText" text="calculated">
      <formula>NOT(ISERROR(SEARCH("calculated",A38)))</formula>
    </cfRule>
  </conditionalFormatting>
  <conditionalFormatting sqref="A11:F11">
    <cfRule type="containsText" dxfId="48" priority="7" operator="containsText" text="calculated">
      <formula>NOT(ISERROR(SEARCH("calculated",A11)))</formula>
    </cfRule>
  </conditionalFormatting>
  <conditionalFormatting sqref="A29:I29">
    <cfRule type="containsText" dxfId="47" priority="1" operator="containsText" text="calculated">
      <formula>NOT(ISERROR(SEARCH("calculated",A29)))</formula>
    </cfRule>
  </conditionalFormatting>
  <conditionalFormatting sqref="A47:M47">
    <cfRule type="containsText" dxfId="46" priority="2" operator="containsText" text="calculated">
      <formula>NOT(ISERROR(SEARCH("calculated",A47)))</formula>
    </cfRule>
  </conditionalFormatting>
  <conditionalFormatting sqref="A20:XFD20">
    <cfRule type="containsText" dxfId="45" priority="6" operator="containsText" text="calculated">
      <formula>NOT(ISERROR(SEARCH("calculated",A20)))</formula>
    </cfRule>
  </conditionalFormatting>
  <pageMargins left="0.7" right="0.7" top="0.75" bottom="0.75" header="0.3" footer="0.3"/>
  <pageSetup paperSize="9" orientation="portrait" r:id="rId1"/>
  <headerFooter>
    <oddFooter>&amp;R&amp;1#&amp;"Calibri"&amp;8&amp;K000000strictly confidential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91F2E91-417B-4F57-A50D-685B3EE09B9F}">
          <x14:formula1>
            <xm:f>Inputs!$C$1:$D$1</xm:f>
          </x14:formula1>
          <xm:sqref>B11:F11 B29:I29 B47:M47 B38:C38 B20:M20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AE118-33AA-4D01-9D2D-66B010B4F71A}">
  <sheetPr codeName="Sheet8"/>
  <dimension ref="A1:L119"/>
  <sheetViews>
    <sheetView workbookViewId="0"/>
  </sheetViews>
  <sheetFormatPr defaultRowHeight="15" x14ac:dyDescent="0.25"/>
  <cols>
    <col min="1" max="1" width="12.140625" customWidth="1"/>
    <col min="2" max="2" width="12.5703125" customWidth="1"/>
    <col min="3" max="3" width="17.140625" customWidth="1"/>
    <col min="4" max="4" width="13.42578125" customWidth="1"/>
    <col min="5" max="5" width="16.7109375" customWidth="1"/>
    <col min="6" max="6" width="16.28515625" customWidth="1"/>
    <col min="7" max="7" width="15.85546875" customWidth="1"/>
  </cols>
  <sheetData>
    <row r="1" spans="1:4" x14ac:dyDescent="0.25">
      <c r="B1" s="198"/>
      <c r="C1" s="198"/>
      <c r="D1" s="198"/>
    </row>
    <row r="2" spans="1:4" x14ac:dyDescent="0.25">
      <c r="A2" t="s">
        <v>723</v>
      </c>
      <c r="B2">
        <v>135</v>
      </c>
    </row>
    <row r="3" spans="1:4" x14ac:dyDescent="0.25">
      <c r="A3" t="s">
        <v>724</v>
      </c>
      <c r="B3">
        <v>142</v>
      </c>
    </row>
    <row r="4" spans="1:4" x14ac:dyDescent="0.25">
      <c r="A4" t="s">
        <v>690</v>
      </c>
      <c r="B4">
        <v>148</v>
      </c>
    </row>
    <row r="8" spans="1:4" x14ac:dyDescent="0.25">
      <c r="B8" s="198"/>
      <c r="C8" s="198"/>
      <c r="D8" s="198"/>
    </row>
    <row r="9" spans="1:4" x14ac:dyDescent="0.25">
      <c r="A9" s="103" t="s">
        <v>725</v>
      </c>
    </row>
    <row r="10" spans="1:4" x14ac:dyDescent="0.25">
      <c r="A10" t="s">
        <v>726</v>
      </c>
      <c r="B10" t="s">
        <v>727</v>
      </c>
      <c r="C10" t="s">
        <v>728</v>
      </c>
    </row>
    <row r="11" spans="1:4" x14ac:dyDescent="0.25">
      <c r="A11" t="s">
        <v>729</v>
      </c>
      <c r="B11">
        <v>169.35</v>
      </c>
      <c r="C11">
        <v>142</v>
      </c>
    </row>
    <row r="12" spans="1:4" x14ac:dyDescent="0.25">
      <c r="A12" t="s">
        <v>730</v>
      </c>
      <c r="B12">
        <v>147</v>
      </c>
      <c r="C12">
        <v>148</v>
      </c>
    </row>
    <row r="13" spans="1:4" x14ac:dyDescent="0.25">
      <c r="A13" t="s">
        <v>731</v>
      </c>
      <c r="B13">
        <v>162</v>
      </c>
      <c r="C13" s="117">
        <v>155</v>
      </c>
    </row>
    <row r="14" spans="1:4" x14ac:dyDescent="0.25">
      <c r="A14" t="s">
        <v>732</v>
      </c>
      <c r="B14">
        <v>148.6</v>
      </c>
      <c r="C14" s="117">
        <v>163</v>
      </c>
    </row>
    <row r="15" spans="1:4" x14ac:dyDescent="0.25">
      <c r="A15" t="s">
        <v>733</v>
      </c>
      <c r="B15">
        <v>144.30000000000001</v>
      </c>
      <c r="C15" s="117">
        <v>163</v>
      </c>
    </row>
    <row r="16" spans="1:4" x14ac:dyDescent="0.25">
      <c r="C16" s="104"/>
    </row>
    <row r="18" spans="1:7" x14ac:dyDescent="0.25">
      <c r="A18" t="s">
        <v>734</v>
      </c>
      <c r="B18" t="s">
        <v>727</v>
      </c>
      <c r="C18" t="s">
        <v>728</v>
      </c>
    </row>
    <row r="19" spans="1:7" x14ac:dyDescent="0.25">
      <c r="A19">
        <v>12</v>
      </c>
      <c r="B19">
        <v>106.7</v>
      </c>
      <c r="C19">
        <v>121</v>
      </c>
    </row>
    <row r="20" spans="1:7" x14ac:dyDescent="0.25">
      <c r="A20">
        <v>24</v>
      </c>
      <c r="B20">
        <v>123</v>
      </c>
      <c r="C20">
        <v>130</v>
      </c>
    </row>
    <row r="21" spans="1:7" x14ac:dyDescent="0.25">
      <c r="A21">
        <v>36</v>
      </c>
      <c r="B21" s="71">
        <v>134</v>
      </c>
      <c r="C21" s="71">
        <v>137</v>
      </c>
      <c r="D21" s="71"/>
    </row>
    <row r="22" spans="1:7" x14ac:dyDescent="0.25">
      <c r="A22">
        <v>48</v>
      </c>
      <c r="B22">
        <v>142</v>
      </c>
      <c r="C22">
        <v>142</v>
      </c>
    </row>
    <row r="23" spans="1:7" x14ac:dyDescent="0.25">
      <c r="A23">
        <v>60</v>
      </c>
      <c r="B23">
        <v>148</v>
      </c>
      <c r="C23">
        <v>145</v>
      </c>
    </row>
    <row r="27" spans="1:7" x14ac:dyDescent="0.25">
      <c r="B27" s="198"/>
      <c r="C27" s="198"/>
      <c r="D27" s="198"/>
    </row>
    <row r="28" spans="1:7" x14ac:dyDescent="0.25">
      <c r="A28" t="s">
        <v>735</v>
      </c>
      <c r="B28" t="s">
        <v>727</v>
      </c>
      <c r="C28" t="s">
        <v>736</v>
      </c>
      <c r="D28" t="s">
        <v>737</v>
      </c>
    </row>
    <row r="29" spans="1:7" x14ac:dyDescent="0.25">
      <c r="A29" t="s">
        <v>738</v>
      </c>
      <c r="B29">
        <v>108</v>
      </c>
      <c r="C29">
        <v>80</v>
      </c>
      <c r="D29" t="s">
        <v>739</v>
      </c>
    </row>
    <row r="30" spans="1:7" x14ac:dyDescent="0.25">
      <c r="B30" s="18"/>
    </row>
    <row r="31" spans="1:7" x14ac:dyDescent="0.25">
      <c r="B31" s="18" t="s">
        <v>740</v>
      </c>
      <c r="C31" s="18"/>
      <c r="D31" s="18"/>
      <c r="E31" s="18"/>
      <c r="F31" s="18"/>
      <c r="G31" s="18"/>
    </row>
    <row r="32" spans="1:7" x14ac:dyDescent="0.25">
      <c r="A32" t="s">
        <v>741</v>
      </c>
      <c r="B32">
        <v>115.35</v>
      </c>
    </row>
    <row r="33" spans="1:8" x14ac:dyDescent="0.25">
      <c r="A33" t="s">
        <v>742</v>
      </c>
      <c r="B33" s="129">
        <v>43.14</v>
      </c>
      <c r="C33" s="71"/>
      <c r="D33" s="71"/>
    </row>
    <row r="39" spans="1:8" x14ac:dyDescent="0.25">
      <c r="B39" s="198"/>
      <c r="C39" s="198"/>
      <c r="D39" s="198"/>
    </row>
    <row r="42" spans="1:8" x14ac:dyDescent="0.25">
      <c r="F42" t="s">
        <v>726</v>
      </c>
      <c r="G42" t="s">
        <v>727</v>
      </c>
      <c r="H42" t="s">
        <v>728</v>
      </c>
    </row>
    <row r="43" spans="1:8" x14ac:dyDescent="0.25">
      <c r="F43" t="s">
        <v>730</v>
      </c>
      <c r="G43">
        <v>147</v>
      </c>
      <c r="H43">
        <v>148</v>
      </c>
    </row>
    <row r="44" spans="1:8" x14ac:dyDescent="0.25">
      <c r="F44" t="s">
        <v>731</v>
      </c>
      <c r="G44">
        <v>162</v>
      </c>
      <c r="H44">
        <v>155</v>
      </c>
    </row>
    <row r="45" spans="1:8" x14ac:dyDescent="0.25">
      <c r="F45" t="s">
        <v>732</v>
      </c>
      <c r="G45">
        <v>148.6</v>
      </c>
      <c r="H45">
        <v>163</v>
      </c>
    </row>
    <row r="46" spans="1:8" x14ac:dyDescent="0.25">
      <c r="F46" t="s">
        <v>733</v>
      </c>
      <c r="G46">
        <v>144.30000000000001</v>
      </c>
      <c r="H46">
        <v>163</v>
      </c>
    </row>
    <row r="55" spans="1:12" x14ac:dyDescent="0.25">
      <c r="A55" t="s">
        <v>743</v>
      </c>
      <c r="B55" s="129" t="s">
        <v>727</v>
      </c>
      <c r="C55" s="129" t="s">
        <v>728</v>
      </c>
    </row>
    <row r="56" spans="1:12" x14ac:dyDescent="0.25">
      <c r="A56" t="s">
        <v>744</v>
      </c>
      <c r="B56">
        <v>130.56</v>
      </c>
      <c r="C56">
        <v>102</v>
      </c>
    </row>
    <row r="57" spans="1:12" x14ac:dyDescent="0.25">
      <c r="A57" t="s">
        <v>745</v>
      </c>
      <c r="B57">
        <v>161.4</v>
      </c>
      <c r="C57">
        <v>95</v>
      </c>
    </row>
    <row r="61" spans="1:12" s="12" customFormat="1" x14ac:dyDescent="0.25">
      <c r="A61" s="12">
        <f>Inputs!G14</f>
        <v>1</v>
      </c>
      <c r="B61" s="12">
        <f>Inputs!C14</f>
        <v>1</v>
      </c>
      <c r="C61" s="12">
        <f>Inputs!H14</f>
        <v>1</v>
      </c>
      <c r="D61" s="12">
        <f>Inputs!D14</f>
        <v>1</v>
      </c>
      <c r="E61" s="12">
        <f>Inputs!I14</f>
        <v>1</v>
      </c>
      <c r="F61" s="12">
        <f>Inputs!E14</f>
        <v>1</v>
      </c>
      <c r="G61" s="12">
        <f>'Performance Model'!C4</f>
        <v>414136566.75526524</v>
      </c>
      <c r="H61" s="12">
        <f>Inputs!M14</f>
        <v>1</v>
      </c>
    </row>
    <row r="62" spans="1:12" s="189" customFormat="1" x14ac:dyDescent="0.25">
      <c r="A62" s="189" t="s">
        <v>981</v>
      </c>
      <c r="B62" s="189" t="s">
        <v>982</v>
      </c>
      <c r="C62" s="189" t="s">
        <v>983</v>
      </c>
      <c r="D62" s="189" t="s">
        <v>984</v>
      </c>
      <c r="E62" s="189" t="s">
        <v>985</v>
      </c>
      <c r="F62" s="189" t="s">
        <v>986</v>
      </c>
      <c r="G62" s="189" t="s">
        <v>987</v>
      </c>
      <c r="H62" s="189" t="s">
        <v>988</v>
      </c>
      <c r="I62" s="189" t="s">
        <v>989</v>
      </c>
      <c r="J62" s="189" t="s">
        <v>990</v>
      </c>
      <c r="K62" s="189" t="s">
        <v>991</v>
      </c>
      <c r="L62" s="189" t="s">
        <v>987</v>
      </c>
    </row>
    <row r="63" spans="1:12" s="12" customFormat="1" x14ac:dyDescent="0.25">
      <c r="A63" s="12">
        <v>128</v>
      </c>
      <c r="B63" s="12">
        <v>8</v>
      </c>
      <c r="C63" s="12">
        <v>1</v>
      </c>
      <c r="D63" s="12">
        <v>1</v>
      </c>
      <c r="E63" s="12">
        <v>1</v>
      </c>
      <c r="F63" s="12">
        <v>1</v>
      </c>
      <c r="G63" s="12">
        <v>38.015256040723067</v>
      </c>
      <c r="H63" s="12">
        <v>1024</v>
      </c>
      <c r="I63" s="12">
        <f t="shared" ref="I63:I101" si="0">A63*B63</f>
        <v>1024</v>
      </c>
      <c r="J63" s="12">
        <f t="shared" ref="J63:J101" si="1">C63*D63</f>
        <v>1</v>
      </c>
      <c r="K63" s="12">
        <f t="shared" ref="K63:K101" si="2">E63*F63</f>
        <v>1</v>
      </c>
      <c r="L63" s="12">
        <f t="shared" ref="L63:L101" si="3">G63</f>
        <v>38.015256040723067</v>
      </c>
    </row>
    <row r="64" spans="1:12" s="12" customFormat="1" x14ac:dyDescent="0.25">
      <c r="A64" s="12">
        <v>128</v>
      </c>
      <c r="B64" s="12">
        <v>1</v>
      </c>
      <c r="C64" s="12">
        <v>1</v>
      </c>
      <c r="D64" s="12">
        <v>8</v>
      </c>
      <c r="E64" s="12">
        <v>1</v>
      </c>
      <c r="F64" s="12">
        <v>1</v>
      </c>
      <c r="G64" s="12">
        <v>17.949579607323273</v>
      </c>
      <c r="H64" s="12">
        <v>1024</v>
      </c>
      <c r="I64" s="12">
        <f t="shared" si="0"/>
        <v>128</v>
      </c>
      <c r="J64" s="12">
        <f t="shared" si="1"/>
        <v>8</v>
      </c>
      <c r="K64" s="12">
        <f t="shared" si="2"/>
        <v>1</v>
      </c>
      <c r="L64" s="12">
        <f t="shared" si="3"/>
        <v>17.949579607323273</v>
      </c>
    </row>
    <row r="65" spans="1:12" s="12" customFormat="1" x14ac:dyDescent="0.25">
      <c r="A65" s="12">
        <v>128</v>
      </c>
      <c r="B65" s="12">
        <v>1</v>
      </c>
      <c r="C65" s="12">
        <v>1</v>
      </c>
      <c r="D65" s="12">
        <v>1</v>
      </c>
      <c r="E65" s="12">
        <v>1</v>
      </c>
      <c r="F65" s="12">
        <v>8</v>
      </c>
      <c r="G65" s="12">
        <v>38.028045350370377</v>
      </c>
      <c r="H65" s="12">
        <v>1024</v>
      </c>
      <c r="I65" s="12">
        <f t="shared" si="0"/>
        <v>128</v>
      </c>
      <c r="J65" s="12">
        <f t="shared" si="1"/>
        <v>1</v>
      </c>
      <c r="K65" s="12">
        <f t="shared" si="2"/>
        <v>8</v>
      </c>
      <c r="L65" s="12">
        <f t="shared" si="3"/>
        <v>38.028045350370377</v>
      </c>
    </row>
    <row r="66" spans="1:12" s="12" customFormat="1" x14ac:dyDescent="0.25">
      <c r="A66" s="12">
        <v>1</v>
      </c>
      <c r="B66" s="12">
        <v>1</v>
      </c>
      <c r="C66" s="12">
        <v>1</v>
      </c>
      <c r="D66" s="12">
        <v>8</v>
      </c>
      <c r="E66" s="12">
        <v>128</v>
      </c>
      <c r="F66" s="12">
        <v>1</v>
      </c>
      <c r="G66" s="12">
        <v>21.309149670385715</v>
      </c>
      <c r="H66" s="12">
        <v>1024</v>
      </c>
      <c r="I66" s="12">
        <f t="shared" si="0"/>
        <v>1</v>
      </c>
      <c r="J66" s="12">
        <f t="shared" si="1"/>
        <v>8</v>
      </c>
      <c r="K66" s="12">
        <f t="shared" si="2"/>
        <v>128</v>
      </c>
      <c r="L66" s="12">
        <f t="shared" si="3"/>
        <v>21.309149670385715</v>
      </c>
    </row>
    <row r="67" spans="1:12" s="12" customFormat="1" x14ac:dyDescent="0.25">
      <c r="A67" s="12">
        <v>32</v>
      </c>
      <c r="B67" s="12">
        <v>1</v>
      </c>
      <c r="C67" s="12">
        <v>1</v>
      </c>
      <c r="D67" s="12">
        <v>8</v>
      </c>
      <c r="E67" s="12">
        <v>4</v>
      </c>
      <c r="F67" s="12">
        <v>1</v>
      </c>
      <c r="G67" s="12">
        <v>20.630630404771129</v>
      </c>
      <c r="H67" s="12">
        <v>1024</v>
      </c>
      <c r="I67" s="12">
        <f t="shared" si="0"/>
        <v>32</v>
      </c>
      <c r="J67" s="12">
        <f t="shared" si="1"/>
        <v>8</v>
      </c>
      <c r="K67" s="12">
        <f t="shared" si="2"/>
        <v>4</v>
      </c>
      <c r="L67" s="12">
        <f t="shared" si="3"/>
        <v>20.630630404771129</v>
      </c>
    </row>
    <row r="68" spans="1:12" s="12" customFormat="1" x14ac:dyDescent="0.25">
      <c r="A68" s="12">
        <v>16</v>
      </c>
      <c r="B68" s="12">
        <v>1</v>
      </c>
      <c r="C68" s="12">
        <v>1</v>
      </c>
      <c r="D68" s="12">
        <v>8</v>
      </c>
      <c r="E68" s="12">
        <v>8</v>
      </c>
      <c r="F68" s="12">
        <v>1</v>
      </c>
      <c r="G68" s="12">
        <v>21.051148304049875</v>
      </c>
      <c r="H68" s="12">
        <v>1024</v>
      </c>
      <c r="I68" s="12">
        <f t="shared" si="0"/>
        <v>16</v>
      </c>
      <c r="J68" s="12">
        <f t="shared" si="1"/>
        <v>8</v>
      </c>
      <c r="K68" s="12">
        <f t="shared" si="2"/>
        <v>8</v>
      </c>
      <c r="L68" s="12">
        <f t="shared" si="3"/>
        <v>21.051148304049875</v>
      </c>
    </row>
    <row r="69" spans="1:12" s="12" customFormat="1" x14ac:dyDescent="0.25">
      <c r="A69" s="12">
        <v>8</v>
      </c>
      <c r="B69" s="12">
        <v>1</v>
      </c>
      <c r="C69" s="12">
        <v>1</v>
      </c>
      <c r="D69" s="12">
        <v>8</v>
      </c>
      <c r="E69" s="12">
        <v>16</v>
      </c>
      <c r="F69" s="12">
        <v>1</v>
      </c>
      <c r="G69" s="12">
        <v>21.254375812954375</v>
      </c>
      <c r="H69" s="12">
        <v>1024</v>
      </c>
      <c r="I69" s="12">
        <f t="shared" si="0"/>
        <v>8</v>
      </c>
      <c r="J69" s="12">
        <f t="shared" si="1"/>
        <v>8</v>
      </c>
      <c r="K69" s="12">
        <f t="shared" si="2"/>
        <v>16</v>
      </c>
      <c r="L69" s="12">
        <f t="shared" si="3"/>
        <v>21.254375812954375</v>
      </c>
    </row>
    <row r="70" spans="1:12" s="12" customFormat="1" x14ac:dyDescent="0.25">
      <c r="A70" s="12">
        <v>4</v>
      </c>
      <c r="B70" s="12">
        <v>1</v>
      </c>
      <c r="C70" s="12">
        <v>1</v>
      </c>
      <c r="D70" s="12">
        <v>8</v>
      </c>
      <c r="E70" s="12">
        <v>32</v>
      </c>
      <c r="F70" s="12">
        <v>1</v>
      </c>
      <c r="G70" s="12">
        <v>21.341926685936901</v>
      </c>
      <c r="H70" s="12">
        <v>1024</v>
      </c>
      <c r="I70" s="12">
        <f t="shared" si="0"/>
        <v>4</v>
      </c>
      <c r="J70" s="12">
        <f t="shared" si="1"/>
        <v>8</v>
      </c>
      <c r="K70" s="12">
        <f t="shared" si="2"/>
        <v>32</v>
      </c>
      <c r="L70" s="12">
        <f t="shared" si="3"/>
        <v>21.341926685936901</v>
      </c>
    </row>
    <row r="71" spans="1:12" s="12" customFormat="1" x14ac:dyDescent="0.25">
      <c r="A71" s="12">
        <v>2</v>
      </c>
      <c r="B71" s="12">
        <v>1</v>
      </c>
      <c r="C71" s="12">
        <v>1</v>
      </c>
      <c r="D71" s="12">
        <v>8</v>
      </c>
      <c r="E71" s="12">
        <v>64</v>
      </c>
      <c r="F71" s="12">
        <v>1</v>
      </c>
      <c r="G71" s="12">
        <v>21.357576359488714</v>
      </c>
      <c r="H71" s="12">
        <v>1024</v>
      </c>
      <c r="I71" s="12">
        <f t="shared" si="0"/>
        <v>2</v>
      </c>
      <c r="J71" s="12">
        <f t="shared" si="1"/>
        <v>8</v>
      </c>
      <c r="K71" s="12">
        <f t="shared" si="2"/>
        <v>64</v>
      </c>
      <c r="L71" s="12">
        <f t="shared" si="3"/>
        <v>21.357576359488714</v>
      </c>
    </row>
    <row r="72" spans="1:12" s="12" customFormat="1" x14ac:dyDescent="0.25">
      <c r="A72" s="12">
        <v>1</v>
      </c>
      <c r="B72" s="12">
        <v>1</v>
      </c>
      <c r="C72" s="12">
        <v>1</v>
      </c>
      <c r="D72" s="12">
        <v>8</v>
      </c>
      <c r="E72" s="12">
        <v>128</v>
      </c>
      <c r="F72" s="12">
        <v>1</v>
      </c>
      <c r="G72" s="12">
        <v>21.309149670385715</v>
      </c>
      <c r="H72" s="12">
        <v>1024</v>
      </c>
      <c r="I72" s="12">
        <f t="shared" si="0"/>
        <v>1</v>
      </c>
      <c r="J72" s="12">
        <f t="shared" si="1"/>
        <v>8</v>
      </c>
      <c r="K72" s="12">
        <f t="shared" si="2"/>
        <v>128</v>
      </c>
      <c r="L72" s="12">
        <f t="shared" si="3"/>
        <v>21.309149670385715</v>
      </c>
    </row>
    <row r="73" spans="1:12" s="12" customFormat="1" x14ac:dyDescent="0.25">
      <c r="A73" s="12">
        <v>64</v>
      </c>
      <c r="B73" s="12">
        <v>1</v>
      </c>
      <c r="C73" s="12">
        <v>1</v>
      </c>
      <c r="D73" s="12">
        <v>8</v>
      </c>
      <c r="E73" s="12">
        <v>2</v>
      </c>
      <c r="F73" s="12">
        <v>1</v>
      </c>
      <c r="G73" s="12">
        <v>19.782563165478791</v>
      </c>
      <c r="H73" s="12">
        <v>1024</v>
      </c>
      <c r="I73" s="12">
        <f t="shared" si="0"/>
        <v>64</v>
      </c>
      <c r="J73" s="12">
        <f t="shared" si="1"/>
        <v>8</v>
      </c>
      <c r="K73" s="12">
        <f t="shared" si="2"/>
        <v>2</v>
      </c>
      <c r="L73" s="12">
        <f t="shared" si="3"/>
        <v>19.782563165478791</v>
      </c>
    </row>
    <row r="74" spans="1:12" s="12" customFormat="1" x14ac:dyDescent="0.25">
      <c r="A74" s="12">
        <v>1</v>
      </c>
      <c r="B74" s="12">
        <v>1</v>
      </c>
      <c r="C74" s="12">
        <v>128</v>
      </c>
      <c r="D74" s="12">
        <v>8</v>
      </c>
      <c r="E74" s="12">
        <v>1</v>
      </c>
      <c r="F74" s="12">
        <v>1</v>
      </c>
      <c r="G74" s="12">
        <v>57.917523932629159</v>
      </c>
      <c r="H74" s="12">
        <v>1024</v>
      </c>
      <c r="I74" s="12">
        <f t="shared" si="0"/>
        <v>1</v>
      </c>
      <c r="J74" s="12">
        <f t="shared" si="1"/>
        <v>1024</v>
      </c>
      <c r="K74" s="12">
        <f t="shared" si="2"/>
        <v>1</v>
      </c>
      <c r="L74" s="12">
        <f t="shared" si="3"/>
        <v>57.917523932629159</v>
      </c>
    </row>
    <row r="75" spans="1:12" s="12" customFormat="1" x14ac:dyDescent="0.25">
      <c r="A75" s="12">
        <v>1</v>
      </c>
      <c r="B75" s="12">
        <v>1</v>
      </c>
      <c r="C75" s="12">
        <v>1</v>
      </c>
      <c r="D75" s="12">
        <v>1</v>
      </c>
      <c r="E75" s="12">
        <v>128</v>
      </c>
      <c r="F75" s="12">
        <v>8</v>
      </c>
      <c r="G75" s="12">
        <v>37.131351668315141</v>
      </c>
      <c r="H75" s="12">
        <v>1024</v>
      </c>
      <c r="I75" s="12">
        <f t="shared" si="0"/>
        <v>1</v>
      </c>
      <c r="J75" s="12">
        <f t="shared" si="1"/>
        <v>1</v>
      </c>
      <c r="K75" s="12">
        <f t="shared" si="2"/>
        <v>1024</v>
      </c>
      <c r="L75" s="12">
        <f t="shared" si="3"/>
        <v>37.131351668315141</v>
      </c>
    </row>
    <row r="76" spans="1:12" s="12" customFormat="1" x14ac:dyDescent="0.25">
      <c r="A76" s="12">
        <v>64</v>
      </c>
      <c r="B76" s="12">
        <v>1</v>
      </c>
      <c r="C76" s="12">
        <v>2</v>
      </c>
      <c r="D76" s="12">
        <v>8</v>
      </c>
      <c r="E76" s="12">
        <v>1</v>
      </c>
      <c r="F76" s="12">
        <v>1</v>
      </c>
      <c r="G76" s="12">
        <v>37.651740892044671</v>
      </c>
      <c r="H76" s="12">
        <v>1024</v>
      </c>
      <c r="I76" s="12">
        <f t="shared" si="0"/>
        <v>64</v>
      </c>
      <c r="J76" s="12">
        <f t="shared" si="1"/>
        <v>16</v>
      </c>
      <c r="K76" s="12">
        <f t="shared" si="2"/>
        <v>1</v>
      </c>
      <c r="L76" s="12">
        <f t="shared" si="3"/>
        <v>37.651740892044671</v>
      </c>
    </row>
    <row r="77" spans="1:12" s="12" customFormat="1" x14ac:dyDescent="0.25">
      <c r="A77" s="12">
        <v>32</v>
      </c>
      <c r="B77" s="12">
        <v>1</v>
      </c>
      <c r="C77" s="12">
        <v>4</v>
      </c>
      <c r="D77" s="12">
        <v>8</v>
      </c>
      <c r="E77" s="12">
        <v>1</v>
      </c>
      <c r="F77" s="12">
        <v>1</v>
      </c>
      <c r="G77" s="12">
        <v>47.502827743222547</v>
      </c>
      <c r="H77" s="12">
        <v>1024</v>
      </c>
      <c r="I77" s="12">
        <f t="shared" si="0"/>
        <v>32</v>
      </c>
      <c r="J77" s="12">
        <f t="shared" si="1"/>
        <v>32</v>
      </c>
      <c r="K77" s="12">
        <f t="shared" si="2"/>
        <v>1</v>
      </c>
      <c r="L77" s="12">
        <f t="shared" si="3"/>
        <v>47.502827743222547</v>
      </c>
    </row>
    <row r="78" spans="1:12" s="12" customFormat="1" x14ac:dyDescent="0.25">
      <c r="A78" s="12">
        <v>16</v>
      </c>
      <c r="B78" s="12">
        <v>1</v>
      </c>
      <c r="C78" s="12">
        <v>8</v>
      </c>
      <c r="D78" s="12">
        <v>8</v>
      </c>
      <c r="E78" s="12">
        <v>1</v>
      </c>
      <c r="F78" s="12">
        <v>1</v>
      </c>
      <c r="G78" s="12">
        <v>52.428383586445797</v>
      </c>
      <c r="H78" s="12">
        <v>1024</v>
      </c>
      <c r="I78" s="12">
        <f t="shared" si="0"/>
        <v>16</v>
      </c>
      <c r="J78" s="12">
        <f t="shared" si="1"/>
        <v>64</v>
      </c>
      <c r="K78" s="12">
        <f t="shared" si="2"/>
        <v>1</v>
      </c>
      <c r="L78" s="12">
        <f t="shared" si="3"/>
        <v>52.428383586445797</v>
      </c>
    </row>
    <row r="79" spans="1:12" s="12" customFormat="1" x14ac:dyDescent="0.25">
      <c r="A79" s="12">
        <v>8</v>
      </c>
      <c r="B79" s="12">
        <v>1</v>
      </c>
      <c r="C79" s="12">
        <v>16</v>
      </c>
      <c r="D79" s="12">
        <v>8</v>
      </c>
      <c r="E79" s="12">
        <v>1</v>
      </c>
      <c r="F79" s="12">
        <v>1</v>
      </c>
      <c r="G79" s="12">
        <v>55.591941944930277</v>
      </c>
      <c r="H79" s="12">
        <v>1024</v>
      </c>
      <c r="I79" s="12">
        <f t="shared" si="0"/>
        <v>8</v>
      </c>
      <c r="J79" s="12">
        <f t="shared" si="1"/>
        <v>128</v>
      </c>
      <c r="K79" s="12">
        <f t="shared" si="2"/>
        <v>1</v>
      </c>
      <c r="L79" s="12">
        <f t="shared" si="3"/>
        <v>55.591941944930277</v>
      </c>
    </row>
    <row r="80" spans="1:12" s="12" customFormat="1" x14ac:dyDescent="0.25">
      <c r="A80" s="12">
        <v>4</v>
      </c>
      <c r="B80" s="12">
        <v>1</v>
      </c>
      <c r="C80" s="12">
        <v>32</v>
      </c>
      <c r="D80" s="12">
        <v>8</v>
      </c>
      <c r="E80" s="12">
        <v>1</v>
      </c>
      <c r="F80" s="12">
        <v>1</v>
      </c>
      <c r="G80" s="12">
        <v>56.92064725575181</v>
      </c>
      <c r="H80" s="12">
        <v>1024</v>
      </c>
      <c r="I80" s="12">
        <f t="shared" si="0"/>
        <v>4</v>
      </c>
      <c r="J80" s="12">
        <f t="shared" si="1"/>
        <v>256</v>
      </c>
      <c r="K80" s="12">
        <f t="shared" si="2"/>
        <v>1</v>
      </c>
      <c r="L80" s="12">
        <f t="shared" si="3"/>
        <v>56.92064725575181</v>
      </c>
    </row>
    <row r="81" spans="1:12" s="12" customFormat="1" x14ac:dyDescent="0.25">
      <c r="A81" s="12">
        <v>1</v>
      </c>
      <c r="B81" s="12">
        <v>1</v>
      </c>
      <c r="C81" s="12">
        <v>128</v>
      </c>
      <c r="D81" s="12">
        <v>8</v>
      </c>
      <c r="E81" s="12">
        <v>1</v>
      </c>
      <c r="F81" s="12">
        <v>1</v>
      </c>
      <c r="G81" s="12">
        <v>57.917523932629159</v>
      </c>
      <c r="H81" s="12">
        <v>1024</v>
      </c>
      <c r="I81" s="12">
        <f t="shared" si="0"/>
        <v>1</v>
      </c>
      <c r="J81" s="12">
        <f t="shared" si="1"/>
        <v>1024</v>
      </c>
      <c r="K81" s="12">
        <f t="shared" si="2"/>
        <v>1</v>
      </c>
      <c r="L81" s="12">
        <f t="shared" si="3"/>
        <v>57.917523932629159</v>
      </c>
    </row>
    <row r="82" spans="1:12" s="12" customFormat="1" x14ac:dyDescent="0.25">
      <c r="A82" s="12">
        <v>2</v>
      </c>
      <c r="B82" s="12">
        <v>1</v>
      </c>
      <c r="C82" s="12">
        <v>64</v>
      </c>
      <c r="D82" s="12">
        <v>8</v>
      </c>
      <c r="E82" s="12">
        <v>1</v>
      </c>
      <c r="F82" s="12">
        <v>1</v>
      </c>
      <c r="G82" s="12">
        <v>57.5850992522372</v>
      </c>
      <c r="H82" s="12">
        <v>1024</v>
      </c>
      <c r="I82" s="12">
        <f t="shared" si="0"/>
        <v>2</v>
      </c>
      <c r="J82" s="12">
        <f t="shared" si="1"/>
        <v>512</v>
      </c>
      <c r="K82" s="12">
        <f t="shared" si="2"/>
        <v>1</v>
      </c>
      <c r="L82" s="12">
        <f t="shared" si="3"/>
        <v>57.5850992522372</v>
      </c>
    </row>
    <row r="83" spans="1:12" s="12" customFormat="1" x14ac:dyDescent="0.25">
      <c r="A83" s="12">
        <v>1</v>
      </c>
      <c r="B83" s="12">
        <v>1</v>
      </c>
      <c r="C83" s="12">
        <v>32</v>
      </c>
      <c r="D83" s="12">
        <v>8</v>
      </c>
      <c r="E83" s="12">
        <v>4</v>
      </c>
      <c r="F83" s="12">
        <v>1</v>
      </c>
      <c r="G83" s="12">
        <v>59.777386551696367</v>
      </c>
      <c r="H83" s="12">
        <v>1024</v>
      </c>
      <c r="I83" s="12">
        <f t="shared" si="0"/>
        <v>1</v>
      </c>
      <c r="J83" s="12">
        <f t="shared" si="1"/>
        <v>256</v>
      </c>
      <c r="K83" s="12">
        <f t="shared" si="2"/>
        <v>4</v>
      </c>
      <c r="L83" s="12">
        <f t="shared" si="3"/>
        <v>59.777386551696367</v>
      </c>
    </row>
    <row r="84" spans="1:12" s="12" customFormat="1" x14ac:dyDescent="0.25">
      <c r="A84" s="12">
        <v>1</v>
      </c>
      <c r="B84" s="12">
        <v>1</v>
      </c>
      <c r="C84" s="12">
        <v>16</v>
      </c>
      <c r="D84" s="12">
        <v>8</v>
      </c>
      <c r="E84" s="12">
        <v>8</v>
      </c>
      <c r="F84" s="12">
        <v>1</v>
      </c>
      <c r="G84" s="12">
        <v>60.563455212848083</v>
      </c>
      <c r="H84" s="12">
        <v>1024</v>
      </c>
      <c r="I84" s="12">
        <f t="shared" si="0"/>
        <v>1</v>
      </c>
      <c r="J84" s="12">
        <f t="shared" si="1"/>
        <v>128</v>
      </c>
      <c r="K84" s="12">
        <f t="shared" si="2"/>
        <v>8</v>
      </c>
      <c r="L84" s="12">
        <f t="shared" si="3"/>
        <v>60.563455212848083</v>
      </c>
    </row>
    <row r="85" spans="1:12" s="12" customFormat="1" x14ac:dyDescent="0.25">
      <c r="A85" s="12">
        <v>1</v>
      </c>
      <c r="B85" s="12">
        <v>1</v>
      </c>
      <c r="C85" s="12">
        <v>8</v>
      </c>
      <c r="D85" s="12">
        <v>8</v>
      </c>
      <c r="E85" s="12">
        <v>16</v>
      </c>
      <c r="F85" s="12">
        <v>1</v>
      </c>
      <c r="G85" s="12">
        <v>59.864975171790327</v>
      </c>
      <c r="H85" s="12">
        <v>1024</v>
      </c>
      <c r="I85" s="12">
        <f t="shared" si="0"/>
        <v>1</v>
      </c>
      <c r="J85" s="12">
        <f t="shared" si="1"/>
        <v>64</v>
      </c>
      <c r="K85" s="12">
        <f t="shared" si="2"/>
        <v>16</v>
      </c>
      <c r="L85" s="12">
        <f t="shared" si="3"/>
        <v>59.864975171790327</v>
      </c>
    </row>
    <row r="86" spans="1:12" s="12" customFormat="1" x14ac:dyDescent="0.25">
      <c r="A86" s="12">
        <v>64</v>
      </c>
      <c r="B86" s="12">
        <v>1</v>
      </c>
      <c r="C86" s="12">
        <v>2</v>
      </c>
      <c r="D86" s="12">
        <v>1</v>
      </c>
      <c r="E86" s="12">
        <v>1</v>
      </c>
      <c r="F86" s="12">
        <v>8</v>
      </c>
      <c r="G86" s="12">
        <v>64.862680241282519</v>
      </c>
      <c r="H86" s="12">
        <v>1024</v>
      </c>
      <c r="I86" s="12">
        <f t="shared" si="0"/>
        <v>64</v>
      </c>
      <c r="J86" s="12">
        <f t="shared" si="1"/>
        <v>2</v>
      </c>
      <c r="K86" s="12">
        <f t="shared" si="2"/>
        <v>8</v>
      </c>
      <c r="L86" s="12">
        <f t="shared" si="3"/>
        <v>64.862680241282519</v>
      </c>
    </row>
    <row r="87" spans="1:12" s="12" customFormat="1" x14ac:dyDescent="0.25">
      <c r="A87" s="12">
        <v>32</v>
      </c>
      <c r="B87" s="12">
        <v>1</v>
      </c>
      <c r="C87" s="12">
        <v>4</v>
      </c>
      <c r="D87" s="12">
        <v>1</v>
      </c>
      <c r="E87" s="12">
        <v>1</v>
      </c>
      <c r="F87" s="12">
        <v>8</v>
      </c>
      <c r="G87" s="12">
        <v>70.445137343146556</v>
      </c>
      <c r="H87" s="12">
        <v>1024</v>
      </c>
      <c r="I87" s="12">
        <f t="shared" si="0"/>
        <v>32</v>
      </c>
      <c r="J87" s="12">
        <f t="shared" si="1"/>
        <v>4</v>
      </c>
      <c r="K87" s="12">
        <f t="shared" si="2"/>
        <v>8</v>
      </c>
      <c r="L87" s="12">
        <f t="shared" si="3"/>
        <v>70.445137343146556</v>
      </c>
    </row>
    <row r="88" spans="1:12" s="12" customFormat="1" x14ac:dyDescent="0.25">
      <c r="A88" s="12">
        <v>16</v>
      </c>
      <c r="B88" s="12">
        <v>1</v>
      </c>
      <c r="C88" s="12">
        <v>8</v>
      </c>
      <c r="D88" s="12">
        <v>1</v>
      </c>
      <c r="E88" s="12">
        <v>1</v>
      </c>
      <c r="F88" s="12">
        <v>8</v>
      </c>
      <c r="G88" s="12">
        <v>69.736378311712883</v>
      </c>
      <c r="H88" s="12">
        <v>1024</v>
      </c>
      <c r="I88" s="12">
        <f t="shared" si="0"/>
        <v>16</v>
      </c>
      <c r="J88" s="12">
        <f t="shared" si="1"/>
        <v>8</v>
      </c>
      <c r="K88" s="12">
        <f t="shared" si="2"/>
        <v>8</v>
      </c>
      <c r="L88" s="12">
        <f t="shared" si="3"/>
        <v>69.736378311712883</v>
      </c>
    </row>
    <row r="89" spans="1:12" s="12" customFormat="1" x14ac:dyDescent="0.25">
      <c r="A89" s="12">
        <v>8</v>
      </c>
      <c r="B89" s="12">
        <v>1</v>
      </c>
      <c r="C89" s="12">
        <v>16</v>
      </c>
      <c r="D89" s="12">
        <v>1</v>
      </c>
      <c r="E89" s="12">
        <v>1</v>
      </c>
      <c r="F89" s="12">
        <v>8</v>
      </c>
      <c r="G89" s="12">
        <v>66.472694033849805</v>
      </c>
      <c r="H89" s="12">
        <v>1024</v>
      </c>
      <c r="I89" s="12">
        <f t="shared" si="0"/>
        <v>8</v>
      </c>
      <c r="J89" s="12">
        <f t="shared" si="1"/>
        <v>16</v>
      </c>
      <c r="K89" s="12">
        <f t="shared" si="2"/>
        <v>8</v>
      </c>
      <c r="L89" s="12">
        <f t="shared" si="3"/>
        <v>66.472694033849805</v>
      </c>
    </row>
    <row r="90" spans="1:12" s="12" customFormat="1" x14ac:dyDescent="0.25">
      <c r="A90" s="12">
        <v>4</v>
      </c>
      <c r="B90" s="12">
        <v>1</v>
      </c>
      <c r="C90" s="12">
        <v>32</v>
      </c>
      <c r="D90" s="12">
        <v>1</v>
      </c>
      <c r="E90" s="12">
        <v>1</v>
      </c>
      <c r="F90" s="12">
        <v>8</v>
      </c>
      <c r="G90" s="12">
        <v>64.104466334299318</v>
      </c>
      <c r="H90" s="12">
        <v>1024</v>
      </c>
      <c r="I90" s="12">
        <f t="shared" si="0"/>
        <v>4</v>
      </c>
      <c r="J90" s="12">
        <f t="shared" si="1"/>
        <v>32</v>
      </c>
      <c r="K90" s="12">
        <f t="shared" si="2"/>
        <v>8</v>
      </c>
      <c r="L90" s="12">
        <f t="shared" si="3"/>
        <v>64.104466334299318</v>
      </c>
    </row>
    <row r="91" spans="1:12" s="12" customFormat="1" x14ac:dyDescent="0.25">
      <c r="A91" s="12">
        <v>2</v>
      </c>
      <c r="B91" s="12">
        <v>1</v>
      </c>
      <c r="C91" s="12">
        <v>64</v>
      </c>
      <c r="D91" s="12">
        <v>1</v>
      </c>
      <c r="E91" s="12">
        <v>1</v>
      </c>
      <c r="F91" s="12">
        <v>8</v>
      </c>
      <c r="G91" s="12">
        <v>61.178703767679195</v>
      </c>
      <c r="H91" s="12">
        <v>1024</v>
      </c>
      <c r="I91" s="12">
        <f t="shared" si="0"/>
        <v>2</v>
      </c>
      <c r="J91" s="12">
        <f t="shared" si="1"/>
        <v>64</v>
      </c>
      <c r="K91" s="12">
        <f t="shared" si="2"/>
        <v>8</v>
      </c>
      <c r="L91" s="12">
        <f t="shared" si="3"/>
        <v>61.178703767679195</v>
      </c>
    </row>
    <row r="92" spans="1:12" s="12" customFormat="1" x14ac:dyDescent="0.25">
      <c r="A92" s="12">
        <v>2</v>
      </c>
      <c r="B92" s="12">
        <v>8</v>
      </c>
      <c r="C92" s="12">
        <v>1</v>
      </c>
      <c r="D92" s="12">
        <v>1</v>
      </c>
      <c r="E92" s="12">
        <v>64</v>
      </c>
      <c r="F92" s="12">
        <v>1</v>
      </c>
      <c r="G92" s="12">
        <v>38.073702240307306</v>
      </c>
      <c r="H92" s="12">
        <v>1024</v>
      </c>
      <c r="I92" s="12">
        <f t="shared" si="0"/>
        <v>16</v>
      </c>
      <c r="J92" s="12">
        <f t="shared" si="1"/>
        <v>1</v>
      </c>
      <c r="K92" s="12">
        <f t="shared" si="2"/>
        <v>64</v>
      </c>
      <c r="L92" s="12">
        <f t="shared" si="3"/>
        <v>38.073702240307306</v>
      </c>
    </row>
    <row r="93" spans="1:12" s="12" customFormat="1" x14ac:dyDescent="0.25">
      <c r="A93" s="12">
        <v>4</v>
      </c>
      <c r="B93" s="12">
        <v>8</v>
      </c>
      <c r="C93" s="12">
        <v>1</v>
      </c>
      <c r="D93" s="12">
        <v>1</v>
      </c>
      <c r="E93" s="12">
        <v>32</v>
      </c>
      <c r="F93" s="12">
        <v>1</v>
      </c>
      <c r="G93" s="12">
        <v>38.365523809088316</v>
      </c>
      <c r="H93" s="12">
        <v>1024</v>
      </c>
      <c r="I93" s="12">
        <f t="shared" si="0"/>
        <v>32</v>
      </c>
      <c r="J93" s="12">
        <f t="shared" si="1"/>
        <v>1</v>
      </c>
      <c r="K93" s="12">
        <f t="shared" si="2"/>
        <v>32</v>
      </c>
      <c r="L93" s="12">
        <f t="shared" si="3"/>
        <v>38.365523809088316</v>
      </c>
    </row>
    <row r="94" spans="1:12" s="12" customFormat="1" x14ac:dyDescent="0.25">
      <c r="A94" s="12">
        <v>8</v>
      </c>
      <c r="B94" s="12">
        <v>8</v>
      </c>
      <c r="C94" s="12">
        <v>1</v>
      </c>
      <c r="D94" s="12">
        <v>1</v>
      </c>
      <c r="E94" s="12">
        <v>16</v>
      </c>
      <c r="F94" s="12">
        <v>1</v>
      </c>
      <c r="G94" s="12">
        <v>38.499154739619065</v>
      </c>
      <c r="H94" s="12">
        <v>1024</v>
      </c>
      <c r="I94" s="12">
        <f t="shared" si="0"/>
        <v>64</v>
      </c>
      <c r="J94" s="12">
        <f t="shared" si="1"/>
        <v>1</v>
      </c>
      <c r="K94" s="12">
        <f t="shared" si="2"/>
        <v>16</v>
      </c>
      <c r="L94" s="12">
        <f t="shared" si="3"/>
        <v>38.499154739619065</v>
      </c>
    </row>
    <row r="95" spans="1:12" s="12" customFormat="1" x14ac:dyDescent="0.25">
      <c r="A95" s="12">
        <v>16</v>
      </c>
      <c r="B95" s="12">
        <v>8</v>
      </c>
      <c r="C95" s="12">
        <v>1</v>
      </c>
      <c r="D95" s="12">
        <v>1</v>
      </c>
      <c r="E95" s="12">
        <v>8</v>
      </c>
      <c r="F95" s="12">
        <v>1</v>
      </c>
      <c r="G95" s="12">
        <v>38.541410497164954</v>
      </c>
      <c r="H95" s="12">
        <v>1024</v>
      </c>
      <c r="I95" s="12">
        <f t="shared" si="0"/>
        <v>128</v>
      </c>
      <c r="J95" s="12">
        <f t="shared" si="1"/>
        <v>1</v>
      </c>
      <c r="K95" s="12">
        <f t="shared" si="2"/>
        <v>8</v>
      </c>
      <c r="L95" s="12">
        <f t="shared" si="3"/>
        <v>38.541410497164954</v>
      </c>
    </row>
    <row r="96" spans="1:12" s="12" customFormat="1" x14ac:dyDescent="0.25">
      <c r="A96" s="12">
        <v>32</v>
      </c>
      <c r="B96" s="12">
        <v>8</v>
      </c>
      <c r="C96" s="12">
        <v>1</v>
      </c>
      <c r="D96" s="12">
        <v>1</v>
      </c>
      <c r="E96" s="12">
        <v>4</v>
      </c>
      <c r="F96" s="12">
        <v>1</v>
      </c>
      <c r="G96" s="12">
        <v>38.51341896049891</v>
      </c>
      <c r="H96" s="12">
        <v>1024</v>
      </c>
      <c r="I96" s="12">
        <f t="shared" si="0"/>
        <v>256</v>
      </c>
      <c r="J96" s="12">
        <f t="shared" si="1"/>
        <v>1</v>
      </c>
      <c r="K96" s="12">
        <f t="shared" si="2"/>
        <v>4</v>
      </c>
      <c r="L96" s="12">
        <f t="shared" si="3"/>
        <v>38.51341896049891</v>
      </c>
    </row>
    <row r="97" spans="1:12" s="12" customFormat="1" x14ac:dyDescent="0.25">
      <c r="A97" s="12">
        <v>64</v>
      </c>
      <c r="B97" s="12">
        <v>8</v>
      </c>
      <c r="C97" s="12">
        <v>1</v>
      </c>
      <c r="D97" s="12">
        <v>1</v>
      </c>
      <c r="E97" s="12">
        <v>2</v>
      </c>
      <c r="F97" s="12">
        <v>1</v>
      </c>
      <c r="G97" s="12">
        <v>38.40118436128791</v>
      </c>
      <c r="H97" s="12">
        <v>1024</v>
      </c>
      <c r="I97" s="12">
        <f t="shared" si="0"/>
        <v>512</v>
      </c>
      <c r="J97" s="12">
        <f t="shared" si="1"/>
        <v>1</v>
      </c>
      <c r="K97" s="12">
        <f t="shared" si="2"/>
        <v>2</v>
      </c>
      <c r="L97" s="12">
        <f t="shared" si="3"/>
        <v>38.40118436128791</v>
      </c>
    </row>
    <row r="98" spans="1:12" s="12" customFormat="1" x14ac:dyDescent="0.25">
      <c r="A98" s="12">
        <v>64</v>
      </c>
      <c r="B98" s="12">
        <v>1</v>
      </c>
      <c r="C98" s="12">
        <v>1</v>
      </c>
      <c r="D98" s="12">
        <v>1</v>
      </c>
      <c r="E98" s="12">
        <v>2</v>
      </c>
      <c r="F98" s="12">
        <v>8</v>
      </c>
      <c r="G98" s="12">
        <v>38.280490365002656</v>
      </c>
      <c r="H98" s="12">
        <v>1024</v>
      </c>
      <c r="I98" s="12">
        <f t="shared" si="0"/>
        <v>64</v>
      </c>
      <c r="J98" s="12">
        <f t="shared" si="1"/>
        <v>1</v>
      </c>
      <c r="K98" s="12">
        <f t="shared" si="2"/>
        <v>16</v>
      </c>
      <c r="L98" s="12">
        <f t="shared" si="3"/>
        <v>38.280490365002656</v>
      </c>
    </row>
    <row r="99" spans="1:12" s="12" customFormat="1" x14ac:dyDescent="0.25">
      <c r="A99" s="12">
        <v>32</v>
      </c>
      <c r="B99" s="12">
        <v>1</v>
      </c>
      <c r="C99" s="12">
        <v>1</v>
      </c>
      <c r="D99" s="12">
        <v>1</v>
      </c>
      <c r="E99" s="12">
        <v>4</v>
      </c>
      <c r="F99" s="12">
        <v>8</v>
      </c>
      <c r="G99" s="12">
        <v>38.278066635687857</v>
      </c>
      <c r="H99" s="12">
        <v>1024</v>
      </c>
      <c r="I99" s="12">
        <f t="shared" si="0"/>
        <v>32</v>
      </c>
      <c r="J99" s="12">
        <f t="shared" si="1"/>
        <v>1</v>
      </c>
      <c r="K99" s="12">
        <f t="shared" si="2"/>
        <v>32</v>
      </c>
      <c r="L99" s="12">
        <f t="shared" si="3"/>
        <v>38.278066635687857</v>
      </c>
    </row>
    <row r="100" spans="1:12" s="12" customFormat="1" x14ac:dyDescent="0.25">
      <c r="A100" s="12">
        <v>16</v>
      </c>
      <c r="B100" s="12">
        <v>1</v>
      </c>
      <c r="C100" s="12">
        <v>1</v>
      </c>
      <c r="D100" s="12">
        <v>1</v>
      </c>
      <c r="E100" s="12">
        <v>8</v>
      </c>
      <c r="F100" s="12">
        <v>8</v>
      </c>
      <c r="G100" s="12">
        <v>38.248729008091004</v>
      </c>
      <c r="H100" s="12">
        <v>1024</v>
      </c>
      <c r="I100" s="12">
        <f t="shared" si="0"/>
        <v>16</v>
      </c>
      <c r="J100" s="12">
        <f t="shared" si="1"/>
        <v>1</v>
      </c>
      <c r="K100" s="12">
        <f t="shared" si="2"/>
        <v>64</v>
      </c>
      <c r="L100" s="12">
        <f t="shared" si="3"/>
        <v>38.248729008091004</v>
      </c>
    </row>
    <row r="101" spans="1:12" s="12" customFormat="1" x14ac:dyDescent="0.25">
      <c r="A101" s="12">
        <v>1</v>
      </c>
      <c r="B101" s="12">
        <v>1</v>
      </c>
      <c r="C101" s="12">
        <v>64</v>
      </c>
      <c r="D101" s="12">
        <v>1</v>
      </c>
      <c r="E101" s="12">
        <v>2</v>
      </c>
      <c r="F101" s="12">
        <v>8</v>
      </c>
      <c r="G101" s="12">
        <v>93.720360420913877</v>
      </c>
      <c r="H101" s="12">
        <v>1024</v>
      </c>
      <c r="I101" s="12">
        <f t="shared" si="0"/>
        <v>1</v>
      </c>
      <c r="J101" s="12">
        <f t="shared" si="1"/>
        <v>64</v>
      </c>
      <c r="K101" s="12">
        <f t="shared" si="2"/>
        <v>16</v>
      </c>
      <c r="L101" s="12">
        <f t="shared" si="3"/>
        <v>93.720360420913877</v>
      </c>
    </row>
    <row r="102" spans="1:12" x14ac:dyDescent="0.25">
      <c r="A102">
        <v>64</v>
      </c>
      <c r="B102">
        <v>8</v>
      </c>
      <c r="C102">
        <v>2</v>
      </c>
      <c r="D102">
        <v>1</v>
      </c>
      <c r="E102">
        <v>1</v>
      </c>
      <c r="F102">
        <v>1</v>
      </c>
      <c r="G102">
        <v>46.124921010192615</v>
      </c>
      <c r="H102">
        <v>1024</v>
      </c>
      <c r="I102" s="12">
        <f t="shared" ref="I102:I119" si="4">A102*B102</f>
        <v>512</v>
      </c>
      <c r="J102" s="12">
        <f t="shared" ref="J102:J119" si="5">C102*D102</f>
        <v>2</v>
      </c>
      <c r="K102" s="12">
        <f t="shared" ref="K102:K119" si="6">E102*F102</f>
        <v>1</v>
      </c>
      <c r="L102" s="12">
        <f t="shared" ref="L102:L119" si="7">G102</f>
        <v>46.124921010192615</v>
      </c>
    </row>
    <row r="103" spans="1:12" x14ac:dyDescent="0.25">
      <c r="A103">
        <v>32</v>
      </c>
      <c r="B103">
        <v>8</v>
      </c>
      <c r="C103">
        <v>4</v>
      </c>
      <c r="D103">
        <v>1</v>
      </c>
      <c r="E103">
        <v>1</v>
      </c>
      <c r="F103">
        <v>1</v>
      </c>
      <c r="G103">
        <v>50.179759703744544</v>
      </c>
      <c r="H103">
        <v>1024</v>
      </c>
      <c r="I103" s="12">
        <f t="shared" si="4"/>
        <v>256</v>
      </c>
      <c r="J103" s="12">
        <f t="shared" si="5"/>
        <v>4</v>
      </c>
      <c r="K103" s="12">
        <f t="shared" si="6"/>
        <v>1</v>
      </c>
      <c r="L103" s="12">
        <f t="shared" si="7"/>
        <v>50.179759703744544</v>
      </c>
    </row>
    <row r="104" spans="1:12" x14ac:dyDescent="0.25">
      <c r="A104">
        <v>16</v>
      </c>
      <c r="B104">
        <v>8</v>
      </c>
      <c r="C104">
        <v>8</v>
      </c>
      <c r="D104">
        <v>1</v>
      </c>
      <c r="E104">
        <v>1</v>
      </c>
      <c r="F104">
        <v>1</v>
      </c>
      <c r="G104">
        <v>52.207191468154853</v>
      </c>
      <c r="H104">
        <v>1024</v>
      </c>
      <c r="I104" s="12">
        <f t="shared" si="4"/>
        <v>128</v>
      </c>
      <c r="J104" s="12">
        <f t="shared" si="5"/>
        <v>8</v>
      </c>
      <c r="K104" s="12">
        <f t="shared" si="6"/>
        <v>1</v>
      </c>
      <c r="L104" s="12">
        <f t="shared" si="7"/>
        <v>52.207191468154853</v>
      </c>
    </row>
    <row r="105" spans="1:12" x14ac:dyDescent="0.25">
      <c r="A105">
        <v>8</v>
      </c>
      <c r="B105">
        <v>8</v>
      </c>
      <c r="C105">
        <v>16</v>
      </c>
      <c r="D105">
        <v>1</v>
      </c>
      <c r="E105">
        <v>1</v>
      </c>
      <c r="F105">
        <v>1</v>
      </c>
      <c r="G105">
        <v>53.220932185628648</v>
      </c>
      <c r="H105">
        <v>1024</v>
      </c>
      <c r="I105" s="12">
        <f t="shared" si="4"/>
        <v>64</v>
      </c>
      <c r="J105" s="12">
        <f t="shared" si="5"/>
        <v>16</v>
      </c>
      <c r="K105" s="12">
        <f t="shared" si="6"/>
        <v>1</v>
      </c>
      <c r="L105" s="12">
        <f t="shared" si="7"/>
        <v>53.220932185628648</v>
      </c>
    </row>
    <row r="106" spans="1:12" x14ac:dyDescent="0.25">
      <c r="A106">
        <v>4</v>
      </c>
      <c r="B106">
        <v>8</v>
      </c>
      <c r="C106">
        <v>32</v>
      </c>
      <c r="D106">
        <v>1</v>
      </c>
      <c r="E106">
        <v>1</v>
      </c>
      <c r="F106">
        <v>1</v>
      </c>
      <c r="G106">
        <v>53.727852214902875</v>
      </c>
      <c r="H106">
        <v>1024</v>
      </c>
      <c r="I106" s="12">
        <f t="shared" si="4"/>
        <v>32</v>
      </c>
      <c r="J106" s="12">
        <f t="shared" si="5"/>
        <v>32</v>
      </c>
      <c r="K106" s="12">
        <f t="shared" si="6"/>
        <v>1</v>
      </c>
      <c r="L106" s="12">
        <f t="shared" si="7"/>
        <v>53.727852214902875</v>
      </c>
    </row>
    <row r="107" spans="1:12" x14ac:dyDescent="0.25">
      <c r="A107">
        <v>2</v>
      </c>
      <c r="B107">
        <v>8</v>
      </c>
      <c r="C107">
        <v>64</v>
      </c>
      <c r="D107">
        <v>1</v>
      </c>
      <c r="E107">
        <v>1</v>
      </c>
      <c r="F107">
        <v>1</v>
      </c>
      <c r="G107">
        <v>53.981411570614597</v>
      </c>
      <c r="H107">
        <v>1024</v>
      </c>
      <c r="I107" s="12">
        <f t="shared" si="4"/>
        <v>16</v>
      </c>
      <c r="J107" s="12">
        <f t="shared" si="5"/>
        <v>64</v>
      </c>
      <c r="K107" s="12">
        <f t="shared" si="6"/>
        <v>1</v>
      </c>
      <c r="L107" s="12">
        <f t="shared" si="7"/>
        <v>53.981411570614597</v>
      </c>
    </row>
    <row r="108" spans="1:12" x14ac:dyDescent="0.25">
      <c r="A108">
        <v>1</v>
      </c>
      <c r="B108">
        <v>8</v>
      </c>
      <c r="C108">
        <v>64</v>
      </c>
      <c r="D108">
        <v>1</v>
      </c>
      <c r="E108">
        <v>2</v>
      </c>
      <c r="F108">
        <v>1</v>
      </c>
      <c r="G108">
        <v>59.889286087474524</v>
      </c>
      <c r="H108">
        <v>1024</v>
      </c>
      <c r="I108" s="12">
        <f t="shared" si="4"/>
        <v>8</v>
      </c>
      <c r="J108" s="12">
        <f t="shared" si="5"/>
        <v>64</v>
      </c>
      <c r="K108" s="12">
        <f t="shared" si="6"/>
        <v>2</v>
      </c>
      <c r="L108" s="12">
        <f t="shared" si="7"/>
        <v>59.889286087474524</v>
      </c>
    </row>
    <row r="109" spans="1:12" x14ac:dyDescent="0.25">
      <c r="A109">
        <v>1</v>
      </c>
      <c r="B109">
        <v>8</v>
      </c>
      <c r="C109">
        <v>32</v>
      </c>
      <c r="D109">
        <v>1</v>
      </c>
      <c r="E109">
        <v>4</v>
      </c>
      <c r="F109">
        <v>1</v>
      </c>
      <c r="G109">
        <v>63.190072201977138</v>
      </c>
      <c r="H109">
        <v>1024</v>
      </c>
      <c r="I109" s="12">
        <f t="shared" si="4"/>
        <v>8</v>
      </c>
      <c r="J109" s="12">
        <f t="shared" si="5"/>
        <v>32</v>
      </c>
      <c r="K109" s="12">
        <f t="shared" si="6"/>
        <v>4</v>
      </c>
      <c r="L109" s="12">
        <f t="shared" si="7"/>
        <v>63.190072201977138</v>
      </c>
    </row>
    <row r="110" spans="1:12" x14ac:dyDescent="0.25">
      <c r="A110">
        <v>1</v>
      </c>
      <c r="B110">
        <v>8</v>
      </c>
      <c r="C110">
        <v>16</v>
      </c>
      <c r="D110">
        <v>1</v>
      </c>
      <c r="E110">
        <v>8</v>
      </c>
      <c r="F110">
        <v>1</v>
      </c>
      <c r="G110">
        <v>66.572543554711004</v>
      </c>
      <c r="H110">
        <v>1024</v>
      </c>
      <c r="I110" s="12">
        <f t="shared" si="4"/>
        <v>8</v>
      </c>
      <c r="J110" s="12">
        <f t="shared" si="5"/>
        <v>16</v>
      </c>
      <c r="K110" s="12">
        <f t="shared" si="6"/>
        <v>8</v>
      </c>
      <c r="L110" s="12">
        <f t="shared" si="7"/>
        <v>66.572543554711004</v>
      </c>
    </row>
    <row r="111" spans="1:12" x14ac:dyDescent="0.25">
      <c r="A111">
        <v>1</v>
      </c>
      <c r="B111">
        <v>8</v>
      </c>
      <c r="C111">
        <v>8</v>
      </c>
      <c r="D111">
        <v>1</v>
      </c>
      <c r="E111">
        <v>16</v>
      </c>
      <c r="F111">
        <v>1</v>
      </c>
      <c r="G111">
        <v>71.727944514387062</v>
      </c>
      <c r="H111">
        <v>1024</v>
      </c>
      <c r="I111" s="12">
        <f t="shared" si="4"/>
        <v>8</v>
      </c>
      <c r="J111" s="12">
        <f t="shared" si="5"/>
        <v>8</v>
      </c>
      <c r="K111" s="12">
        <f t="shared" si="6"/>
        <v>16</v>
      </c>
      <c r="L111" s="12">
        <f t="shared" si="7"/>
        <v>71.727944514387062</v>
      </c>
    </row>
    <row r="112" spans="1:12" x14ac:dyDescent="0.25">
      <c r="A112">
        <v>1</v>
      </c>
      <c r="B112">
        <v>8</v>
      </c>
      <c r="C112">
        <v>4</v>
      </c>
      <c r="D112">
        <v>1</v>
      </c>
      <c r="E112">
        <v>32</v>
      </c>
      <c r="F112">
        <v>1</v>
      </c>
      <c r="G112">
        <v>71.935969307913041</v>
      </c>
      <c r="H112">
        <v>1024</v>
      </c>
      <c r="I112" s="12">
        <f t="shared" si="4"/>
        <v>8</v>
      </c>
      <c r="J112" s="12">
        <f t="shared" si="5"/>
        <v>4</v>
      </c>
      <c r="K112" s="12">
        <f t="shared" si="6"/>
        <v>32</v>
      </c>
      <c r="L112" s="12">
        <f t="shared" si="7"/>
        <v>71.935969307913041</v>
      </c>
    </row>
    <row r="113" spans="1:12" x14ac:dyDescent="0.25">
      <c r="A113">
        <v>1</v>
      </c>
      <c r="B113">
        <v>8</v>
      </c>
      <c r="C113">
        <v>2</v>
      </c>
      <c r="D113">
        <v>1</v>
      </c>
      <c r="E113">
        <v>64</v>
      </c>
      <c r="F113">
        <v>1</v>
      </c>
      <c r="G113">
        <v>67.052182338951965</v>
      </c>
      <c r="H113">
        <v>1024</v>
      </c>
      <c r="I113" s="12">
        <f t="shared" si="4"/>
        <v>8</v>
      </c>
      <c r="J113" s="12">
        <f t="shared" si="5"/>
        <v>2</v>
      </c>
      <c r="K113" s="12">
        <f t="shared" si="6"/>
        <v>64</v>
      </c>
      <c r="L113" s="12">
        <f t="shared" si="7"/>
        <v>67.052182338951965</v>
      </c>
    </row>
    <row r="114" spans="1:12" x14ac:dyDescent="0.25">
      <c r="A114">
        <v>1</v>
      </c>
      <c r="B114">
        <v>1</v>
      </c>
      <c r="C114">
        <v>2</v>
      </c>
      <c r="D114">
        <v>8</v>
      </c>
      <c r="E114">
        <v>64</v>
      </c>
      <c r="F114">
        <v>1</v>
      </c>
      <c r="G114">
        <v>48.815000809730492</v>
      </c>
      <c r="H114">
        <v>1024</v>
      </c>
      <c r="I114" s="12">
        <f t="shared" si="4"/>
        <v>1</v>
      </c>
      <c r="J114" s="12">
        <f t="shared" si="5"/>
        <v>16</v>
      </c>
      <c r="K114" s="12">
        <f t="shared" si="6"/>
        <v>64</v>
      </c>
      <c r="L114" s="12">
        <f t="shared" si="7"/>
        <v>48.815000809730492</v>
      </c>
    </row>
    <row r="115" spans="1:12" x14ac:dyDescent="0.25">
      <c r="A115">
        <v>1</v>
      </c>
      <c r="B115">
        <v>1</v>
      </c>
      <c r="C115">
        <v>4</v>
      </c>
      <c r="D115">
        <v>8</v>
      </c>
      <c r="E115">
        <v>32</v>
      </c>
      <c r="F115">
        <v>1</v>
      </c>
      <c r="G115">
        <v>57.572644193039871</v>
      </c>
      <c r="H115">
        <v>1024</v>
      </c>
      <c r="I115" s="12">
        <f t="shared" si="4"/>
        <v>1</v>
      </c>
      <c r="J115" s="12">
        <f t="shared" si="5"/>
        <v>32</v>
      </c>
      <c r="K115" s="12">
        <f t="shared" si="6"/>
        <v>32</v>
      </c>
      <c r="L115" s="12">
        <f t="shared" si="7"/>
        <v>57.572644193039871</v>
      </c>
    </row>
    <row r="116" spans="1:12" x14ac:dyDescent="0.25">
      <c r="A116">
        <v>1</v>
      </c>
      <c r="B116">
        <v>1</v>
      </c>
      <c r="C116">
        <v>8</v>
      </c>
      <c r="D116">
        <v>8</v>
      </c>
      <c r="E116">
        <v>16</v>
      </c>
      <c r="F116">
        <v>1</v>
      </c>
      <c r="G116">
        <v>59.864975171790327</v>
      </c>
      <c r="H116">
        <v>1024</v>
      </c>
      <c r="I116" s="12">
        <f t="shared" si="4"/>
        <v>1</v>
      </c>
      <c r="J116" s="12">
        <f t="shared" si="5"/>
        <v>64</v>
      </c>
      <c r="K116" s="12">
        <f t="shared" si="6"/>
        <v>16</v>
      </c>
      <c r="L116" s="12">
        <f t="shared" si="7"/>
        <v>59.864975171790327</v>
      </c>
    </row>
    <row r="117" spans="1:12" x14ac:dyDescent="0.25">
      <c r="A117">
        <v>1</v>
      </c>
      <c r="B117">
        <v>1</v>
      </c>
      <c r="C117">
        <v>16</v>
      </c>
      <c r="D117">
        <v>8</v>
      </c>
      <c r="E117">
        <v>8</v>
      </c>
      <c r="F117">
        <v>1</v>
      </c>
      <c r="G117">
        <v>60.563455212848083</v>
      </c>
      <c r="H117">
        <v>1024</v>
      </c>
      <c r="I117" s="12">
        <f t="shared" si="4"/>
        <v>1</v>
      </c>
      <c r="J117" s="12">
        <f t="shared" si="5"/>
        <v>128</v>
      </c>
      <c r="K117" s="12">
        <f t="shared" si="6"/>
        <v>8</v>
      </c>
      <c r="L117" s="12">
        <f t="shared" si="7"/>
        <v>60.563455212848083</v>
      </c>
    </row>
    <row r="118" spans="1:12" x14ac:dyDescent="0.25">
      <c r="A118">
        <v>1</v>
      </c>
      <c r="B118">
        <v>1</v>
      </c>
      <c r="C118">
        <v>32</v>
      </c>
      <c r="D118">
        <v>8</v>
      </c>
      <c r="E118">
        <v>4</v>
      </c>
      <c r="F118">
        <v>1</v>
      </c>
      <c r="G118">
        <v>59.777386551696367</v>
      </c>
      <c r="H118">
        <v>1024</v>
      </c>
      <c r="I118" s="12">
        <f t="shared" si="4"/>
        <v>1</v>
      </c>
      <c r="J118" s="12">
        <f t="shared" si="5"/>
        <v>256</v>
      </c>
      <c r="K118" s="12">
        <f t="shared" si="6"/>
        <v>4</v>
      </c>
      <c r="L118" s="12">
        <f t="shared" si="7"/>
        <v>59.777386551696367</v>
      </c>
    </row>
    <row r="119" spans="1:12" x14ac:dyDescent="0.25">
      <c r="A119">
        <v>1</v>
      </c>
      <c r="B119">
        <v>1</v>
      </c>
      <c r="C119">
        <v>64</v>
      </c>
      <c r="D119">
        <v>8</v>
      </c>
      <c r="E119">
        <v>2</v>
      </c>
      <c r="F119">
        <v>1</v>
      </c>
      <c r="G119">
        <v>58.929017359379479</v>
      </c>
      <c r="H119">
        <v>1024</v>
      </c>
      <c r="I119" s="12">
        <f t="shared" si="4"/>
        <v>1</v>
      </c>
      <c r="J119" s="12">
        <f t="shared" si="5"/>
        <v>512</v>
      </c>
      <c r="K119" s="12">
        <f t="shared" si="6"/>
        <v>2</v>
      </c>
      <c r="L119" s="12">
        <f t="shared" si="7"/>
        <v>58.929017359379479</v>
      </c>
    </row>
  </sheetData>
  <mergeCells count="4">
    <mergeCell ref="B27:D27"/>
    <mergeCell ref="B39:D39"/>
    <mergeCell ref="B8:D8"/>
    <mergeCell ref="B1:D1"/>
  </mergeCells>
  <pageMargins left="0.7" right="0.7" top="0.75" bottom="0.75" header="0.3" footer="0.3"/>
  <pageSetup orientation="portrait" r:id="rId1"/>
  <headerFooter>
    <oddFooter>&amp;R&amp;1#&amp;"Calibri"&amp;8&amp;K000000strictly 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EA6E3-F755-4A3E-86DC-C76F731C1865}">
  <sheetPr codeName="Sheet9"/>
  <dimension ref="A2:Y119"/>
  <sheetViews>
    <sheetView workbookViewId="0"/>
  </sheetViews>
  <sheetFormatPr defaultRowHeight="15" x14ac:dyDescent="0.25"/>
  <cols>
    <col min="1" max="1" width="34.140625" customWidth="1"/>
    <col min="2" max="2" width="17.85546875" customWidth="1"/>
    <col min="3" max="3" width="24" customWidth="1"/>
    <col min="4" max="4" width="19.85546875" customWidth="1"/>
    <col min="5" max="5" width="20.5703125" customWidth="1"/>
    <col min="6" max="6" width="19.85546875" customWidth="1"/>
    <col min="7" max="7" width="17.28515625" customWidth="1"/>
    <col min="8" max="8" width="19.7109375" customWidth="1"/>
    <col min="9" max="9" width="21.7109375" customWidth="1"/>
    <col min="10" max="10" width="23.7109375" customWidth="1"/>
    <col min="11" max="12" width="19.85546875" customWidth="1"/>
    <col min="13" max="13" width="27.85546875" customWidth="1"/>
    <col min="14" max="14" width="20.85546875" customWidth="1"/>
    <col min="15" max="15" width="25.7109375" customWidth="1"/>
    <col min="16" max="16" width="27" customWidth="1"/>
    <col min="17" max="17" width="25.7109375" customWidth="1"/>
    <col min="18" max="18" width="18.5703125" customWidth="1"/>
  </cols>
  <sheetData>
    <row r="2" spans="1:25" s="174" customFormat="1" ht="53.25" customHeight="1" x14ac:dyDescent="0.25">
      <c r="A2" s="176" t="s">
        <v>122</v>
      </c>
    </row>
    <row r="3" spans="1:25" s="18" customFormat="1" x14ac:dyDescent="0.25">
      <c r="A3" s="39" t="s">
        <v>123</v>
      </c>
      <c r="B3" s="39">
        <f>MAX(H29/F20,I38/G20,J47/H20)</f>
        <v>8.9265046296296298E-5</v>
      </c>
      <c r="Y3"/>
    </row>
    <row r="4" spans="1:25" s="18" customFormat="1" x14ac:dyDescent="0.25">
      <c r="Y4"/>
    </row>
    <row r="5" spans="1:25" s="18" customFormat="1" x14ac:dyDescent="0.25">
      <c r="Y5"/>
    </row>
    <row r="6" spans="1:25" s="18" customFormat="1" x14ac:dyDescent="0.25">
      <c r="Y6"/>
    </row>
    <row r="7" spans="1:25" s="174" customFormat="1" ht="53.25" customHeight="1" x14ac:dyDescent="0.25">
      <c r="A7" s="176" t="s">
        <v>124</v>
      </c>
    </row>
    <row r="8" spans="1:25" s="18" customFormat="1" x14ac:dyDescent="0.25">
      <c r="A8" s="24" t="s">
        <v>125</v>
      </c>
      <c r="Y8"/>
    </row>
    <row r="9" spans="1:25" s="18" customFormat="1" ht="51.75" x14ac:dyDescent="0.25">
      <c r="A9" t="s">
        <v>9</v>
      </c>
      <c r="B9" s="177" t="s">
        <v>126</v>
      </c>
      <c r="C9" s="177" t="s">
        <v>127</v>
      </c>
      <c r="D9" s="177" t="s">
        <v>128</v>
      </c>
      <c r="E9" s="177" t="s">
        <v>129</v>
      </c>
      <c r="F9" s="177" t="s">
        <v>130</v>
      </c>
      <c r="G9" s="177" t="s">
        <v>481</v>
      </c>
      <c r="H9" s="177" t="s">
        <v>482</v>
      </c>
      <c r="I9" s="177" t="s">
        <v>483</v>
      </c>
      <c r="J9" s="177" t="s">
        <v>484</v>
      </c>
      <c r="X9"/>
    </row>
    <row r="10" spans="1:25" s="18" customFormat="1" ht="17.25" x14ac:dyDescent="0.35">
      <c r="A10" s="18" t="s">
        <v>56</v>
      </c>
      <c r="B10" s="178" t="s">
        <v>1</v>
      </c>
      <c r="C10" s="178" t="s">
        <v>2</v>
      </c>
      <c r="D10" s="178" t="s">
        <v>2</v>
      </c>
      <c r="E10" s="178" t="s">
        <v>2</v>
      </c>
      <c r="F10" s="178" t="s">
        <v>2</v>
      </c>
      <c r="G10" s="178" t="s">
        <v>1</v>
      </c>
      <c r="H10" s="178" t="s">
        <v>1</v>
      </c>
      <c r="I10" s="178" t="s">
        <v>1</v>
      </c>
      <c r="J10" s="178" t="s">
        <v>1</v>
      </c>
      <c r="X10"/>
    </row>
    <row r="11" spans="1:25" s="18" customFormat="1" ht="17.25" x14ac:dyDescent="0.35">
      <c r="A11" t="s">
        <v>57</v>
      </c>
      <c r="B11" s="168">
        <f>IF(B10=Inputs!$C$1,B12,B13)</f>
        <v>256</v>
      </c>
      <c r="C11" s="168">
        <f>IF(C10=Inputs!$C$1,C12,C13)</f>
        <v>16777216</v>
      </c>
      <c r="D11" s="168">
        <f>IF(D10=Inputs!$C$1,D12,D13)</f>
        <v>16777216</v>
      </c>
      <c r="E11" s="168">
        <f>IF(E10=Inputs!$C$1,E12,E13)</f>
        <v>131072</v>
      </c>
      <c r="F11" s="168">
        <f>IF(F10=Inputs!$C$1,F12,F13)</f>
        <v>14.222222222222221</v>
      </c>
      <c r="G11" s="168">
        <f>IF(G10=Inputs!$C$1,G12,G13)</f>
        <v>32</v>
      </c>
      <c r="H11" s="168">
        <f>IF(H10=Inputs!$C$1,H12,H13)</f>
        <v>4</v>
      </c>
      <c r="I11" s="168">
        <f>IF(I10=Inputs!$C$1,I12,I13)</f>
        <v>1</v>
      </c>
      <c r="J11" s="168">
        <f>IF(J10=Inputs!$C$1,J12,J13)</f>
        <v>2</v>
      </c>
      <c r="X11"/>
    </row>
    <row r="12" spans="1:25" s="18" customFormat="1" ht="17.25" x14ac:dyDescent="0.35">
      <c r="A12" s="18" t="s">
        <v>58</v>
      </c>
      <c r="B12" s="179">
        <v>256</v>
      </c>
      <c r="C12" s="179"/>
      <c r="D12" s="179"/>
      <c r="E12" s="179"/>
      <c r="F12" s="179"/>
      <c r="G12" s="179">
        <v>32</v>
      </c>
      <c r="H12" s="179">
        <v>4</v>
      </c>
      <c r="I12" s="179">
        <v>1</v>
      </c>
      <c r="J12" s="179">
        <v>2</v>
      </c>
      <c r="X12"/>
    </row>
    <row r="13" spans="1:25" s="18" customFormat="1" ht="17.25" x14ac:dyDescent="0.35">
      <c r="A13" s="18" t="s">
        <v>59</v>
      </c>
      <c r="B13" s="180">
        <f>B26</f>
        <v>0</v>
      </c>
      <c r="C13" s="168">
        <f>B11*B11*B11</f>
        <v>16777216</v>
      </c>
      <c r="D13" s="168">
        <f>C11</f>
        <v>16777216</v>
      </c>
      <c r="E13" s="168">
        <f>D11/D20</f>
        <v>131072</v>
      </c>
      <c r="F13" s="181">
        <f>E11/N20</f>
        <v>14.222222222222221</v>
      </c>
      <c r="G13" s="180">
        <f>G26</f>
        <v>0</v>
      </c>
      <c r="H13" s="180">
        <f>H26</f>
        <v>0</v>
      </c>
      <c r="I13" s="180">
        <f>I26</f>
        <v>0</v>
      </c>
      <c r="J13" s="180">
        <f>J26</f>
        <v>0</v>
      </c>
      <c r="X13"/>
    </row>
    <row r="14" spans="1:25" s="18" customFormat="1" x14ac:dyDescent="0.25">
      <c r="A14" s="18" t="s">
        <v>61</v>
      </c>
      <c r="Y14"/>
    </row>
    <row r="15" spans="1:25" s="18" customFormat="1" x14ac:dyDescent="0.25">
      <c r="Y15"/>
    </row>
    <row r="16" spans="1:25" s="174" customFormat="1" ht="53.25" customHeight="1" x14ac:dyDescent="0.25">
      <c r="A16" s="176" t="s">
        <v>131</v>
      </c>
    </row>
    <row r="17" spans="1:25" x14ac:dyDescent="0.25">
      <c r="A17" s="24" t="s">
        <v>125</v>
      </c>
    </row>
    <row r="18" spans="1:25" ht="34.5" x14ac:dyDescent="0.25">
      <c r="A18" t="s">
        <v>9</v>
      </c>
      <c r="B18" s="177" t="s">
        <v>132</v>
      </c>
      <c r="C18" s="177" t="s">
        <v>133</v>
      </c>
      <c r="D18" s="177" t="s">
        <v>134</v>
      </c>
      <c r="E18" s="177" t="s">
        <v>135</v>
      </c>
      <c r="F18" s="177" t="s">
        <v>485</v>
      </c>
      <c r="G18" s="177" t="s">
        <v>486</v>
      </c>
      <c r="H18" s="177" t="s">
        <v>137</v>
      </c>
      <c r="I18" s="177" t="s">
        <v>138</v>
      </c>
      <c r="J18" s="177" t="s">
        <v>487</v>
      </c>
      <c r="K18" s="177" t="s">
        <v>488</v>
      </c>
      <c r="L18" s="177" t="s">
        <v>139</v>
      </c>
      <c r="M18" s="177" t="s">
        <v>140</v>
      </c>
      <c r="N18" s="177" t="s">
        <v>141</v>
      </c>
      <c r="O18" s="177" t="s">
        <v>136</v>
      </c>
      <c r="P18" s="177" t="s">
        <v>489</v>
      </c>
      <c r="Q18" s="177" t="s">
        <v>490</v>
      </c>
    </row>
    <row r="19" spans="1:25" s="18" customFormat="1" ht="17.25" x14ac:dyDescent="0.35">
      <c r="A19" s="18" t="s">
        <v>56</v>
      </c>
      <c r="B19" s="178" t="s">
        <v>1</v>
      </c>
      <c r="C19" s="178" t="s">
        <v>1</v>
      </c>
      <c r="D19" s="178" t="s">
        <v>1</v>
      </c>
      <c r="E19" s="178" t="s">
        <v>1</v>
      </c>
      <c r="F19" s="178" t="s">
        <v>2</v>
      </c>
      <c r="G19" s="178" t="s">
        <v>1</v>
      </c>
      <c r="H19" s="178" t="s">
        <v>1</v>
      </c>
      <c r="I19" s="178" t="s">
        <v>2</v>
      </c>
      <c r="J19" s="178" t="s">
        <v>1</v>
      </c>
      <c r="K19" s="178" t="s">
        <v>1</v>
      </c>
      <c r="L19" s="178" t="s">
        <v>1</v>
      </c>
      <c r="M19" s="178" t="s">
        <v>2</v>
      </c>
      <c r="N19" s="178" t="s">
        <v>2</v>
      </c>
      <c r="O19" s="178" t="s">
        <v>2</v>
      </c>
      <c r="P19" s="178" t="s">
        <v>1</v>
      </c>
      <c r="Q19" s="178" t="s">
        <v>1</v>
      </c>
    </row>
    <row r="20" spans="1:25" s="175" customFormat="1" ht="17.25" x14ac:dyDescent="0.35">
      <c r="A20" t="s">
        <v>57</v>
      </c>
      <c r="B20" s="168">
        <f>IF(B19=Inputs!$C$1,B21,B22)</f>
        <v>2048</v>
      </c>
      <c r="C20" s="168">
        <f>IF(C19=Inputs!$C$1,C21,C22)</f>
        <v>576</v>
      </c>
      <c r="D20" s="168">
        <f>IF(D19=Inputs!$C$1,D21,D22)</f>
        <v>128</v>
      </c>
      <c r="E20" s="168">
        <f>IF(E19=Inputs!$C$1,E21,E22)</f>
        <v>1.8</v>
      </c>
      <c r="F20" s="168">
        <f>IF(F19=Inputs!$C$1,F21,F22)</f>
        <v>33730.559999999998</v>
      </c>
      <c r="G20" s="168">
        <f>IF(G19=Inputs!$C$1,G21,G22)</f>
        <v>13500</v>
      </c>
      <c r="H20" s="168">
        <f>IF(H19=Inputs!$C$1,H21,H22)</f>
        <v>6451</v>
      </c>
      <c r="I20" s="168">
        <f>IF(I19=Inputs!$C$1,I21,I22)</f>
        <v>64</v>
      </c>
      <c r="J20" s="168">
        <f>IF(J19=Inputs!$C$1,J21,J22)</f>
        <v>61440</v>
      </c>
      <c r="K20" s="168">
        <f>IF(K19=Inputs!$C$1,K21,K22)</f>
        <v>64</v>
      </c>
      <c r="L20" s="168">
        <v>1</v>
      </c>
      <c r="M20" s="168">
        <f>IF(M19=Inputs!$C$1,M21,M22)</f>
        <v>16</v>
      </c>
      <c r="N20" s="168">
        <f>IF(N19=Inputs!$C$1,N21,N22)</f>
        <v>9216</v>
      </c>
      <c r="O20" s="168">
        <f>IF(O19=Inputs!$C$1,O21,O22)</f>
        <v>58.56</v>
      </c>
      <c r="P20" s="168">
        <f>IF(P19=Inputs!$C$1,P21,P22)</f>
        <v>64</v>
      </c>
      <c r="Q20" s="168">
        <f>IF(Q19=Inputs!$C$1,Q21,Q22)</f>
        <v>8</v>
      </c>
    </row>
    <row r="21" spans="1:25" s="18" customFormat="1" ht="17.25" x14ac:dyDescent="0.35">
      <c r="A21" s="18" t="s">
        <v>58</v>
      </c>
      <c r="B21" s="179">
        <v>2048</v>
      </c>
      <c r="C21" s="179">
        <v>576</v>
      </c>
      <c r="D21" s="179">
        <v>128</v>
      </c>
      <c r="E21" s="179">
        <v>1.8</v>
      </c>
      <c r="F21" s="179"/>
      <c r="G21" s="179">
        <v>13500</v>
      </c>
      <c r="H21" s="179">
        <v>6451</v>
      </c>
      <c r="I21" s="179">
        <v>256</v>
      </c>
      <c r="J21" s="179">
        <v>61440</v>
      </c>
      <c r="K21" s="179">
        <v>64</v>
      </c>
      <c r="L21" s="179">
        <v>1</v>
      </c>
      <c r="M21" s="179"/>
      <c r="N21" s="179"/>
      <c r="O21" s="179">
        <v>234</v>
      </c>
      <c r="P21" s="179">
        <v>64</v>
      </c>
      <c r="Q21" s="179">
        <v>8</v>
      </c>
    </row>
    <row r="22" spans="1:25" s="18" customFormat="1" ht="17.25" x14ac:dyDescent="0.35">
      <c r="A22" s="18" t="s">
        <v>59</v>
      </c>
      <c r="B22" s="180">
        <v>0</v>
      </c>
      <c r="C22" s="180">
        <v>0</v>
      </c>
      <c r="D22" s="180">
        <v>0</v>
      </c>
      <c r="E22" s="180">
        <v>0</v>
      </c>
      <c r="F22" s="180">
        <f>O20*C20</f>
        <v>33730.559999999998</v>
      </c>
      <c r="G22" s="180">
        <f>Q20*C20</f>
        <v>4608</v>
      </c>
      <c r="H22" s="180">
        <v>0</v>
      </c>
      <c r="I22" s="180">
        <f>IF(C20=144,256,64)</f>
        <v>64</v>
      </c>
      <c r="J22" s="180">
        <v>0</v>
      </c>
      <c r="K22" s="180">
        <v>0</v>
      </c>
      <c r="L22" s="168">
        <v>1</v>
      </c>
      <c r="M22" s="168">
        <f>B20/D20</f>
        <v>16</v>
      </c>
      <c r="N22" s="39">
        <f>M20*C20</f>
        <v>9216</v>
      </c>
      <c r="O22" s="180">
        <f>IF(C20=144,234.24,58.56)</f>
        <v>58.56</v>
      </c>
      <c r="P22" s="180">
        <v>0</v>
      </c>
      <c r="Q22" s="180">
        <v>0</v>
      </c>
    </row>
    <row r="23" spans="1:25" s="18" customFormat="1" x14ac:dyDescent="0.25">
      <c r="A23" s="18" t="s">
        <v>61</v>
      </c>
      <c r="Y23"/>
    </row>
    <row r="25" spans="1:25" s="174" customFormat="1" ht="53.25" customHeight="1" x14ac:dyDescent="0.25">
      <c r="A25" s="176" t="s">
        <v>144</v>
      </c>
    </row>
    <row r="26" spans="1:25" x14ac:dyDescent="0.25">
      <c r="A26" s="24" t="s">
        <v>125</v>
      </c>
    </row>
    <row r="27" spans="1:25" ht="69" x14ac:dyDescent="0.25">
      <c r="A27" t="s">
        <v>9</v>
      </c>
      <c r="B27" s="177" t="s">
        <v>145</v>
      </c>
      <c r="C27" s="177" t="s">
        <v>132</v>
      </c>
      <c r="D27" s="177" t="s">
        <v>146</v>
      </c>
      <c r="E27" s="177" t="s">
        <v>147</v>
      </c>
      <c r="F27" s="177" t="s">
        <v>148</v>
      </c>
      <c r="G27" s="177" t="s">
        <v>149</v>
      </c>
      <c r="H27" s="177" t="s">
        <v>150</v>
      </c>
      <c r="I27" s="177" t="s">
        <v>151</v>
      </c>
      <c r="J27" s="177"/>
      <c r="K27" s="177"/>
      <c r="L27" s="177"/>
      <c r="M27" s="177"/>
      <c r="N27" s="177"/>
      <c r="O27" s="177"/>
    </row>
    <row r="28" spans="1:25" ht="17.25" x14ac:dyDescent="0.35">
      <c r="A28" s="18" t="s">
        <v>56</v>
      </c>
      <c r="B28" s="178" t="s">
        <v>1</v>
      </c>
      <c r="C28" s="178" t="s">
        <v>2</v>
      </c>
      <c r="D28" s="178" t="s">
        <v>2</v>
      </c>
      <c r="E28" s="178" t="s">
        <v>1</v>
      </c>
      <c r="F28" s="178" t="s">
        <v>1</v>
      </c>
      <c r="G28" s="178" t="s">
        <v>1</v>
      </c>
      <c r="H28" s="178" t="s">
        <v>2</v>
      </c>
      <c r="I28" s="178" t="s">
        <v>2</v>
      </c>
    </row>
    <row r="29" spans="1:25" ht="17.25" x14ac:dyDescent="0.35">
      <c r="A29" t="s">
        <v>57</v>
      </c>
      <c r="B29" s="168">
        <f>IF(B28=Inputs!$C$1,B30,B31)</f>
        <v>16</v>
      </c>
      <c r="C29" s="168">
        <f>IF(C28=Inputs!$C$1,C30,C31)</f>
        <v>2048</v>
      </c>
      <c r="D29" s="168">
        <f>IF(D28=Inputs!$C$1,D30,D31)</f>
        <v>9</v>
      </c>
      <c r="E29" s="168">
        <f>IF(E28=Inputs!$C$1,E30,E31)</f>
        <v>1</v>
      </c>
      <c r="F29" s="168">
        <f>IF(F28=Inputs!$C$1,F30,F31)</f>
        <v>5</v>
      </c>
      <c r="G29" s="168">
        <f>IF(G28=Inputs!$C$1,G30,G31)</f>
        <v>2</v>
      </c>
      <c r="H29" s="168">
        <f>IF(H28=Inputs!$C$1,H30,H31)</f>
        <v>2.5</v>
      </c>
      <c r="I29" s="168">
        <f>IF(I28=Inputs!$C$1,I30,I31)</f>
        <v>7.4116765330904682E-5</v>
      </c>
    </row>
    <row r="30" spans="1:25" ht="17.25" x14ac:dyDescent="0.35">
      <c r="A30" s="18" t="s">
        <v>58</v>
      </c>
      <c r="B30" s="179">
        <v>16</v>
      </c>
      <c r="C30" s="179"/>
      <c r="D30" s="179">
        <v>50</v>
      </c>
      <c r="E30" s="179">
        <v>1</v>
      </c>
      <c r="F30" s="179">
        <v>5</v>
      </c>
      <c r="G30" s="179">
        <v>2</v>
      </c>
      <c r="H30" s="179"/>
      <c r="I30" s="179"/>
    </row>
    <row r="31" spans="1:25" ht="17.25" x14ac:dyDescent="0.35">
      <c r="A31" s="18" t="s">
        <v>59</v>
      </c>
      <c r="B31" s="180">
        <v>0</v>
      </c>
      <c r="C31" s="180">
        <f>B20</f>
        <v>2048</v>
      </c>
      <c r="D31" s="180">
        <f>F29+2*G29</f>
        <v>9</v>
      </c>
      <c r="E31" s="180">
        <v>0</v>
      </c>
      <c r="F31" s="180">
        <v>0</v>
      </c>
      <c r="G31" s="180">
        <v>0</v>
      </c>
      <c r="H31" s="180">
        <f>C11*B29*(D29+E29)/1024^3</f>
        <v>2.5</v>
      </c>
      <c r="I31" s="180">
        <f>H29/F20</f>
        <v>7.4116765330904682E-5</v>
      </c>
    </row>
    <row r="32" spans="1:25" s="18" customFormat="1" x14ac:dyDescent="0.25">
      <c r="A32" s="18" t="s">
        <v>61</v>
      </c>
      <c r="X32"/>
    </row>
    <row r="34" spans="1:15" s="174" customFormat="1" ht="53.25" customHeight="1" x14ac:dyDescent="0.25">
      <c r="A34" s="176" t="s">
        <v>491</v>
      </c>
    </row>
    <row r="35" spans="1:15" x14ac:dyDescent="0.25">
      <c r="A35" s="24" t="s">
        <v>125</v>
      </c>
      <c r="B35" s="4"/>
    </row>
    <row r="36" spans="1:15" ht="69" x14ac:dyDescent="0.25">
      <c r="A36" t="s">
        <v>9</v>
      </c>
      <c r="B36" s="177" t="s">
        <v>159</v>
      </c>
      <c r="C36" s="177" t="s">
        <v>154</v>
      </c>
      <c r="D36" s="177" t="s">
        <v>492</v>
      </c>
      <c r="E36" s="177" t="s">
        <v>155</v>
      </c>
      <c r="F36" s="177" t="s">
        <v>493</v>
      </c>
      <c r="G36" s="177" t="s">
        <v>164</v>
      </c>
      <c r="H36" s="177" t="s">
        <v>494</v>
      </c>
      <c r="I36" s="177" t="s">
        <v>495</v>
      </c>
      <c r="J36" s="177" t="s">
        <v>151</v>
      </c>
      <c r="K36" s="177"/>
      <c r="L36" s="177"/>
      <c r="M36" s="177"/>
      <c r="N36" s="177"/>
      <c r="O36" s="177"/>
    </row>
    <row r="37" spans="1:15" ht="17.25" x14ac:dyDescent="0.35">
      <c r="A37" s="18" t="s">
        <v>56</v>
      </c>
      <c r="B37" s="178" t="s">
        <v>2</v>
      </c>
      <c r="C37" s="178" t="s">
        <v>2</v>
      </c>
      <c r="D37" s="178" t="s">
        <v>2</v>
      </c>
      <c r="E37" s="178" t="s">
        <v>2</v>
      </c>
      <c r="F37" s="178" t="s">
        <v>2</v>
      </c>
      <c r="G37" s="178" t="s">
        <v>2</v>
      </c>
      <c r="H37" s="178" t="s">
        <v>1</v>
      </c>
      <c r="I37" s="178" t="s">
        <v>2</v>
      </c>
      <c r="J37" s="178" t="s">
        <v>2</v>
      </c>
    </row>
    <row r="38" spans="1:15" ht="17.25" x14ac:dyDescent="0.35">
      <c r="A38" t="s">
        <v>57</v>
      </c>
      <c r="B38" s="168">
        <f>IF(B37=Inputs!$C$1,B39,B40)</f>
        <v>16</v>
      </c>
      <c r="C38" s="168">
        <f>IF(C37=Inputs!$C$1,C39,C40)</f>
        <v>131072</v>
      </c>
      <c r="D38" s="168">
        <f>IF(D37=Inputs!$C$1,D39,D40)</f>
        <v>489</v>
      </c>
      <c r="E38" s="168">
        <f>IF(E37=Inputs!$C$1,E39,E40)</f>
        <v>128</v>
      </c>
      <c r="F38" s="168">
        <f>IF(F37=Inputs!$C$1,F39,F40)</f>
        <v>480</v>
      </c>
      <c r="G38" s="168">
        <f>IF(G37=Inputs!$C$1,G39,G40)</f>
        <v>1.8749999999999999E-2</v>
      </c>
      <c r="H38" s="168">
        <f>IF(H37=Inputs!$C$1,H39,H40)</f>
        <v>0.01</v>
      </c>
      <c r="I38" s="168">
        <f>IF(I37=Inputs!$C$1,I39,I40)</f>
        <v>1.205078125</v>
      </c>
      <c r="J38" s="168">
        <f>IF(J37=Inputs!$C$1,J39,J40)</f>
        <v>8.9265046296296298E-5</v>
      </c>
    </row>
    <row r="39" spans="1:15" ht="17.25" x14ac:dyDescent="0.35">
      <c r="A39" s="18" t="s">
        <v>58</v>
      </c>
      <c r="B39" s="179"/>
      <c r="C39" s="179"/>
      <c r="D39" s="178">
        <v>1000</v>
      </c>
      <c r="E39" s="179"/>
      <c r="F39" s="178">
        <v>50000</v>
      </c>
      <c r="G39" s="179"/>
      <c r="H39" s="179">
        <v>0.01</v>
      </c>
      <c r="I39" s="179"/>
      <c r="J39" s="179"/>
    </row>
    <row r="40" spans="1:15" ht="17.25" x14ac:dyDescent="0.35">
      <c r="A40" s="18" t="s">
        <v>59</v>
      </c>
      <c r="B40" s="180">
        <f>B29</f>
        <v>16</v>
      </c>
      <c r="C40" s="180">
        <f>E11</f>
        <v>131072</v>
      </c>
      <c r="D40" s="180">
        <f>F38*(1+G38)</f>
        <v>489</v>
      </c>
      <c r="E40" s="180">
        <f>E29*D20</f>
        <v>128</v>
      </c>
      <c r="F40" s="180">
        <f>G11*H11*I11+(G11*I11+G11*H11)*J11+P20*H11*I11*2/B38</f>
        <v>480</v>
      </c>
      <c r="G40" s="180">
        <f>L20*C29*F38*H38*B38/(D20*I20*1024)</f>
        <v>1.8749999999999999E-2</v>
      </c>
      <c r="H40" s="180">
        <v>0</v>
      </c>
      <c r="I40" s="180">
        <f>C38*B38*(D38+E38)/1024^3</f>
        <v>1.205078125</v>
      </c>
      <c r="J40" s="180">
        <f>I38/G20</f>
        <v>8.9265046296296298E-5</v>
      </c>
    </row>
    <row r="41" spans="1:15" x14ac:dyDescent="0.25">
      <c r="A41" s="18" t="s">
        <v>61</v>
      </c>
      <c r="B41" t="s">
        <v>156</v>
      </c>
    </row>
    <row r="43" spans="1:15" s="174" customFormat="1" ht="53.25" customHeight="1" x14ac:dyDescent="0.25">
      <c r="A43" s="176" t="s">
        <v>496</v>
      </c>
    </row>
    <row r="44" spans="1:15" x14ac:dyDescent="0.25">
      <c r="A44" s="24" t="s">
        <v>125</v>
      </c>
    </row>
    <row r="45" spans="1:15" ht="69" x14ac:dyDescent="0.25">
      <c r="A45" t="s">
        <v>9</v>
      </c>
      <c r="B45" s="177" t="s">
        <v>159</v>
      </c>
      <c r="C45" s="177" t="s">
        <v>160</v>
      </c>
      <c r="D45" s="177" t="s">
        <v>178</v>
      </c>
      <c r="E45" s="177" t="s">
        <v>162</v>
      </c>
      <c r="F45" s="177" t="s">
        <v>163</v>
      </c>
      <c r="G45" s="177" t="s">
        <v>497</v>
      </c>
      <c r="H45" s="177" t="s">
        <v>165</v>
      </c>
      <c r="I45" s="177" t="s">
        <v>141</v>
      </c>
      <c r="J45" s="177" t="s">
        <v>179</v>
      </c>
      <c r="K45" s="177" t="s">
        <v>151</v>
      </c>
      <c r="L45" s="177" t="s">
        <v>167</v>
      </c>
      <c r="M45" s="177" t="s">
        <v>168</v>
      </c>
      <c r="N45" s="177"/>
    </row>
    <row r="46" spans="1:15" ht="17.25" x14ac:dyDescent="0.35">
      <c r="A46" s="18" t="s">
        <v>56</v>
      </c>
      <c r="B46" s="178" t="s">
        <v>2</v>
      </c>
      <c r="C46" s="178" t="s">
        <v>2</v>
      </c>
      <c r="D46" s="178" t="s">
        <v>2</v>
      </c>
      <c r="E46" s="178" t="s">
        <v>2</v>
      </c>
      <c r="F46" s="178" t="s">
        <v>2</v>
      </c>
      <c r="G46" s="178" t="s">
        <v>2</v>
      </c>
      <c r="H46" s="178" t="s">
        <v>1</v>
      </c>
      <c r="I46" s="178" t="s">
        <v>2</v>
      </c>
      <c r="J46" s="178" t="s">
        <v>2</v>
      </c>
      <c r="K46" s="178" t="s">
        <v>2</v>
      </c>
      <c r="L46" s="178" t="s">
        <v>1</v>
      </c>
      <c r="M46" s="178" t="s">
        <v>1</v>
      </c>
    </row>
    <row r="47" spans="1:15" ht="17.25" x14ac:dyDescent="0.35">
      <c r="A47" t="s">
        <v>57</v>
      </c>
      <c r="B47" s="168">
        <f>IF(B46=Inputs!$C$1,B48,B49)</f>
        <v>16</v>
      </c>
      <c r="C47" s="168">
        <f>IF(C46=Inputs!$C$1,C48,C49)</f>
        <v>14.222222222222221</v>
      </c>
      <c r="D47" s="168">
        <f>IF(D46=Inputs!$C$1,D48,D49)</f>
        <v>83969.923833984372</v>
      </c>
      <c r="E47" s="168">
        <f>IF(E46=Inputs!$C$1,E48,E49)</f>
        <v>1179648</v>
      </c>
      <c r="F47" s="168">
        <f>IF(F46=Inputs!$C$1,F48,F49)</f>
        <v>83952</v>
      </c>
      <c r="G47" s="168">
        <f>IF(G46=Inputs!$C$1,G48,G49)</f>
        <v>2.1350097656249999E-4</v>
      </c>
      <c r="H47" s="168">
        <f>IF(H46=Inputs!$C$1,H48,H49)</f>
        <v>0.01</v>
      </c>
      <c r="I47" s="168">
        <f>IF(I46=Inputs!$C$1,I48,I49)</f>
        <v>9216</v>
      </c>
      <c r="J47" s="168">
        <f>IF(J46=Inputs!$C$1,J48,J49)</f>
        <v>0.26779554660245775</v>
      </c>
      <c r="K47" s="168">
        <f>IF(K46=Inputs!$C$1,K48,K49)</f>
        <v>4.1512253387452755E-5</v>
      </c>
      <c r="L47" s="168">
        <v>106</v>
      </c>
      <c r="M47" s="168">
        <v>3</v>
      </c>
    </row>
    <row r="48" spans="1:15" ht="17.25" x14ac:dyDescent="0.35">
      <c r="A48" s="18" t="s">
        <v>58</v>
      </c>
      <c r="B48" s="179"/>
      <c r="C48" s="179"/>
      <c r="D48" s="178">
        <v>200000</v>
      </c>
      <c r="E48" s="179"/>
      <c r="F48" s="178">
        <v>700000000</v>
      </c>
      <c r="G48" s="179"/>
      <c r="H48" s="179">
        <v>0.01</v>
      </c>
      <c r="I48" s="179"/>
      <c r="J48" s="179"/>
      <c r="K48" s="179"/>
      <c r="L48" s="179">
        <v>106</v>
      </c>
      <c r="M48" s="179">
        <v>3</v>
      </c>
    </row>
    <row r="49" spans="1:13" ht="17.25" x14ac:dyDescent="0.35">
      <c r="A49" s="18" t="s">
        <v>59</v>
      </c>
      <c r="B49" s="180">
        <f>B29</f>
        <v>16</v>
      </c>
      <c r="C49" s="180">
        <f>F11</f>
        <v>14.222222222222221</v>
      </c>
      <c r="D49" s="180">
        <f>F47*(1+G47)</f>
        <v>83969.923833984372</v>
      </c>
      <c r="E49" s="180">
        <f>I47*E38</f>
        <v>1179648</v>
      </c>
      <c r="F49" s="180">
        <f>(B11+2*K20/B47)*L47*M47</f>
        <v>83952</v>
      </c>
      <c r="G49" s="180">
        <f>F47*B47*H47/(J20*1024)</f>
        <v>2.1350097656249999E-4</v>
      </c>
      <c r="H49" s="180">
        <v>0</v>
      </c>
      <c r="I49" s="180">
        <f>N20</f>
        <v>9216</v>
      </c>
      <c r="J49" s="180">
        <f>B47*C47*(D47+E47)/1024^3</f>
        <v>0.26779554660245775</v>
      </c>
      <c r="K49" s="180">
        <f>J47/H20</f>
        <v>4.1512253387452755E-5</v>
      </c>
      <c r="L49" s="180">
        <v>0</v>
      </c>
      <c r="M49" s="180">
        <v>0</v>
      </c>
    </row>
    <row r="50" spans="1:13" x14ac:dyDescent="0.25">
      <c r="A50" s="18" t="s">
        <v>61</v>
      </c>
      <c r="B50" t="s">
        <v>172</v>
      </c>
    </row>
    <row r="53" spans="1:13" s="169" customFormat="1" x14ac:dyDescent="0.25"/>
    <row r="54" spans="1:13" x14ac:dyDescent="0.25">
      <c r="A54" s="12">
        <f>J47</f>
        <v>0.26779554660245775</v>
      </c>
      <c r="B54" s="12">
        <f>I38</f>
        <v>1.205078125</v>
      </c>
      <c r="C54" s="39">
        <f>H29</f>
        <v>2.5</v>
      </c>
      <c r="D54" s="39">
        <f>B3</f>
        <v>8.9265046296296298E-5</v>
      </c>
      <c r="E54" s="39"/>
      <c r="F54" s="39">
        <f>(C54+B54)/A54</f>
        <v>13.835473263116601</v>
      </c>
      <c r="G54" s="12">
        <f>J47</f>
        <v>0.26779554660245775</v>
      </c>
      <c r="H54" s="12">
        <f>I38</f>
        <v>1.205078125</v>
      </c>
      <c r="I54" s="39">
        <f>H29</f>
        <v>2.5</v>
      </c>
      <c r="J54" s="39">
        <f>B3</f>
        <v>8.9265046296296298E-5</v>
      </c>
      <c r="K54" s="39">
        <f>LPDDR_3d_SRAM!B3</f>
        <v>1.7056371720258661E-4</v>
      </c>
    </row>
    <row r="55" spans="1:13" s="170" customFormat="1" x14ac:dyDescent="0.25">
      <c r="A55" s="171" t="s">
        <v>498</v>
      </c>
      <c r="B55" s="171" t="s">
        <v>499</v>
      </c>
      <c r="C55" s="171" t="s">
        <v>500</v>
      </c>
      <c r="D55" s="171" t="s">
        <v>501</v>
      </c>
      <c r="E55" s="171" t="s">
        <v>502</v>
      </c>
      <c r="G55" s="172" t="s">
        <v>503</v>
      </c>
      <c r="H55" s="172" t="s">
        <v>499</v>
      </c>
      <c r="I55" s="172" t="s">
        <v>500</v>
      </c>
      <c r="J55" s="172" t="s">
        <v>504</v>
      </c>
      <c r="K55" s="172" t="s">
        <v>505</v>
      </c>
      <c r="L55" s="172" t="s">
        <v>502</v>
      </c>
      <c r="M55" s="172" t="s">
        <v>506</v>
      </c>
    </row>
    <row r="56" spans="1:13" s="170" customFormat="1" x14ac:dyDescent="0.25">
      <c r="A56" s="171" t="s">
        <v>507</v>
      </c>
      <c r="B56" s="171"/>
      <c r="C56" s="171"/>
      <c r="D56" s="171"/>
      <c r="E56" s="171"/>
      <c r="G56" s="12">
        <v>0.26</v>
      </c>
      <c r="H56" s="12">
        <v>0.45</v>
      </c>
      <c r="I56" s="12">
        <v>2.5</v>
      </c>
      <c r="J56" s="39">
        <v>5.5699999999999999E-5</v>
      </c>
      <c r="K56" s="39">
        <v>1.64E-4</v>
      </c>
      <c r="L56">
        <f t="shared" ref="L56:L70" si="0">(H56+I56)/G56</f>
        <v>11.346153846153847</v>
      </c>
      <c r="M56"/>
    </row>
    <row r="57" spans="1:13" x14ac:dyDescent="0.25">
      <c r="A57" s="12">
        <v>0.26271614261592424</v>
      </c>
      <c r="B57" s="12">
        <v>0.44550323486328125</v>
      </c>
      <c r="C57" s="12">
        <v>2.5</v>
      </c>
      <c r="D57" s="39">
        <v>7.4192782526115856E-5</v>
      </c>
      <c r="E57" s="39">
        <f>(C57+B57)/A57</f>
        <v>11.211732958371865</v>
      </c>
      <c r="G57">
        <v>0.26</v>
      </c>
      <c r="H57">
        <v>0.74</v>
      </c>
      <c r="I57">
        <v>2.5</v>
      </c>
      <c r="J57" s="18">
        <v>9.2299999999999994E-5</v>
      </c>
      <c r="K57" s="18">
        <v>1.64E-4</v>
      </c>
      <c r="L57">
        <f t="shared" si="0"/>
        <v>12.461538461538462</v>
      </c>
    </row>
    <row r="58" spans="1:13" x14ac:dyDescent="0.25">
      <c r="A58">
        <v>0.26271614261592424</v>
      </c>
      <c r="B58">
        <v>0.73947334289550781</v>
      </c>
      <c r="C58" s="18">
        <v>2.5</v>
      </c>
      <c r="D58" s="39">
        <v>7.4192782526115856E-5</v>
      </c>
      <c r="E58" s="39">
        <f t="shared" ref="E58:E81" si="1">(C58+B58)/A58</f>
        <v>12.330697728123353</v>
      </c>
      <c r="G58">
        <v>0.26</v>
      </c>
      <c r="H58">
        <v>1.23</v>
      </c>
      <c r="I58">
        <v>2.5</v>
      </c>
      <c r="J58" s="18">
        <v>1.54E-4</v>
      </c>
      <c r="K58" s="18">
        <v>1.64E-4</v>
      </c>
      <c r="L58">
        <f t="shared" si="0"/>
        <v>14.346153846153845</v>
      </c>
    </row>
    <row r="59" spans="1:13" x14ac:dyDescent="0.25">
      <c r="A59">
        <v>0.26271614261592424</v>
      </c>
      <c r="B59">
        <v>1.2313308715820313</v>
      </c>
      <c r="C59" s="18">
        <v>2.5</v>
      </c>
      <c r="D59" s="39">
        <v>9.1209694191261576E-5</v>
      </c>
      <c r="E59" s="39">
        <f t="shared" si="1"/>
        <v>14.202899123092791</v>
      </c>
      <c r="G59">
        <v>0.26</v>
      </c>
      <c r="H59">
        <v>2.21</v>
      </c>
      <c r="I59">
        <v>2.5</v>
      </c>
      <c r="J59" s="18">
        <v>2.7599999999999999E-4</v>
      </c>
      <c r="K59" s="18">
        <v>1.64E-4</v>
      </c>
      <c r="L59">
        <f t="shared" si="0"/>
        <v>18.115384615384613</v>
      </c>
    </row>
    <row r="60" spans="1:13" x14ac:dyDescent="0.25">
      <c r="A60">
        <v>0.26271614261592424</v>
      </c>
      <c r="B60">
        <v>2.222198486328125</v>
      </c>
      <c r="C60" s="18">
        <v>2.5</v>
      </c>
      <c r="D60" s="39">
        <v>1.6460729528356482E-4</v>
      </c>
      <c r="E60" s="39">
        <f t="shared" si="1"/>
        <v>17.974527333220269</v>
      </c>
      <c r="G60">
        <v>0.26</v>
      </c>
      <c r="H60">
        <v>2.21</v>
      </c>
      <c r="I60">
        <v>3.75</v>
      </c>
      <c r="J60" s="18">
        <v>2.7599999999999999E-4</v>
      </c>
      <c r="K60" s="18">
        <v>1.64E-4</v>
      </c>
      <c r="L60">
        <f t="shared" si="0"/>
        <v>22.923076923076923</v>
      </c>
    </row>
    <row r="61" spans="1:13" x14ac:dyDescent="0.25">
      <c r="A61">
        <v>0.26271614261592424</v>
      </c>
      <c r="B61">
        <v>2.222198486328125</v>
      </c>
      <c r="C61" s="18">
        <v>3.75</v>
      </c>
      <c r="D61" s="39">
        <v>1.6460729528356482E-4</v>
      </c>
      <c r="E61" s="39">
        <f t="shared" si="1"/>
        <v>22.732514366500624</v>
      </c>
      <c r="G61">
        <v>0.26</v>
      </c>
      <c r="H61">
        <v>2.21</v>
      </c>
      <c r="I61">
        <v>6.25</v>
      </c>
      <c r="J61" s="18">
        <v>2.7599999999999999E-4</v>
      </c>
      <c r="K61" s="18">
        <v>1.64E-4</v>
      </c>
      <c r="L61">
        <f t="shared" si="0"/>
        <v>32.53846153846154</v>
      </c>
    </row>
    <row r="62" spans="1:13" x14ac:dyDescent="0.25">
      <c r="A62">
        <v>0.26271614261592424</v>
      </c>
      <c r="B62">
        <v>2.222198486328125</v>
      </c>
      <c r="C62" s="18">
        <v>6.25</v>
      </c>
      <c r="D62" s="39">
        <v>1.8548195631528966E-4</v>
      </c>
      <c r="E62" s="39">
        <f t="shared" si="1"/>
        <v>32.248488433061333</v>
      </c>
      <c r="G62">
        <v>0.26</v>
      </c>
      <c r="H62">
        <v>2.21</v>
      </c>
      <c r="I62" s="18">
        <v>13.8</v>
      </c>
      <c r="J62" s="18">
        <v>2.7599999999999999E-4</v>
      </c>
      <c r="K62" s="18">
        <v>1.64E-4</v>
      </c>
      <c r="L62">
        <f t="shared" si="0"/>
        <v>61.57692307692308</v>
      </c>
    </row>
    <row r="63" spans="1:13" x14ac:dyDescent="0.25">
      <c r="A63">
        <v>0.26271614261592424</v>
      </c>
      <c r="B63">
        <v>2.222198486328125</v>
      </c>
      <c r="C63" s="18">
        <v>13.75</v>
      </c>
      <c r="D63" s="39">
        <v>4.0806030389363722E-4</v>
      </c>
      <c r="E63" s="39">
        <f t="shared" si="1"/>
        <v>60.796410632743466</v>
      </c>
      <c r="G63">
        <v>0.26</v>
      </c>
      <c r="H63">
        <v>2.21</v>
      </c>
      <c r="I63" s="18">
        <v>26.3</v>
      </c>
      <c r="J63" s="18">
        <v>4.17E-4</v>
      </c>
      <c r="K63" s="18">
        <v>1.64E-4</v>
      </c>
      <c r="L63">
        <f t="shared" si="0"/>
        <v>109.65384615384616</v>
      </c>
    </row>
    <row r="64" spans="1:13" x14ac:dyDescent="0.25">
      <c r="A64">
        <v>0.26271614261592424</v>
      </c>
      <c r="B64">
        <v>2.222198486328125</v>
      </c>
      <c r="C64" s="18">
        <v>26.25</v>
      </c>
      <c r="D64" s="39">
        <v>7.7902421652421654E-4</v>
      </c>
      <c r="E64" s="39">
        <f t="shared" si="1"/>
        <v>108.37628096554701</v>
      </c>
      <c r="G64">
        <v>0.26</v>
      </c>
      <c r="H64">
        <v>2.21</v>
      </c>
      <c r="I64" s="18">
        <v>51.3</v>
      </c>
      <c r="J64" s="18">
        <v>8.1300000000000003E-4</v>
      </c>
      <c r="K64" s="18">
        <v>2.6800000000000001E-4</v>
      </c>
      <c r="L64">
        <f t="shared" si="0"/>
        <v>205.80769230769229</v>
      </c>
    </row>
    <row r="65" spans="1:12" x14ac:dyDescent="0.25">
      <c r="A65">
        <v>0.26271614261592424</v>
      </c>
      <c r="B65">
        <v>2.222198486328125</v>
      </c>
      <c r="C65" s="18">
        <v>51.25</v>
      </c>
      <c r="D65" s="39">
        <v>1.5209520417853752E-3</v>
      </c>
      <c r="E65" s="39">
        <f t="shared" si="1"/>
        <v>203.53602163115411</v>
      </c>
      <c r="G65">
        <v>0.26</v>
      </c>
      <c r="H65">
        <v>2.21</v>
      </c>
      <c r="I65" s="18">
        <v>126</v>
      </c>
      <c r="J65" s="18">
        <v>2E-3</v>
      </c>
      <c r="K65" s="18">
        <v>6.6100000000000002E-4</v>
      </c>
      <c r="L65">
        <f t="shared" si="0"/>
        <v>493.11538461538464</v>
      </c>
    </row>
    <row r="66" spans="1:12" x14ac:dyDescent="0.25">
      <c r="A66">
        <v>0.26271614261592424</v>
      </c>
      <c r="B66">
        <v>2.222198486328125</v>
      </c>
      <c r="C66" s="18">
        <v>126.25</v>
      </c>
      <c r="D66" s="39">
        <v>3.7467355175688508E-3</v>
      </c>
      <c r="E66" s="39">
        <f t="shared" si="1"/>
        <v>489.01524362797539</v>
      </c>
      <c r="G66">
        <v>0.26</v>
      </c>
      <c r="H66">
        <v>2.21</v>
      </c>
      <c r="I66" s="18">
        <v>251</v>
      </c>
      <c r="J66" s="18">
        <v>3.9899999999999996E-3</v>
      </c>
      <c r="K66" s="18">
        <v>1.32E-3</v>
      </c>
      <c r="L66">
        <f t="shared" si="0"/>
        <v>973.88461538461536</v>
      </c>
    </row>
    <row r="67" spans="1:12" x14ac:dyDescent="0.25">
      <c r="A67">
        <v>0.26271614261592424</v>
      </c>
      <c r="B67">
        <v>2.222198486328125</v>
      </c>
      <c r="C67" s="18">
        <v>251.25</v>
      </c>
      <c r="D67" s="39">
        <v>7.4563746438746437E-3</v>
      </c>
      <c r="E67" s="39">
        <f t="shared" si="1"/>
        <v>964.81394695601091</v>
      </c>
      <c r="G67">
        <v>0.31</v>
      </c>
      <c r="H67">
        <v>2.21</v>
      </c>
      <c r="I67" s="18">
        <v>251</v>
      </c>
      <c r="J67" s="18">
        <v>3.9899999999999996E-3</v>
      </c>
      <c r="K67" s="18">
        <v>1.32E-3</v>
      </c>
      <c r="L67">
        <f t="shared" si="0"/>
        <v>816.80645161290329</v>
      </c>
    </row>
    <row r="68" spans="1:12" x14ac:dyDescent="0.25">
      <c r="A68">
        <v>0.26271614261592424</v>
      </c>
      <c r="B68">
        <v>4.2325439453125</v>
      </c>
      <c r="C68" s="18">
        <v>251.25</v>
      </c>
      <c r="D68" s="39">
        <v>7.4563746438746437E-3</v>
      </c>
      <c r="E68" s="39">
        <f t="shared" si="1"/>
        <v>972.46610505702029</v>
      </c>
      <c r="G68">
        <v>0.37</v>
      </c>
      <c r="H68">
        <v>2.21</v>
      </c>
      <c r="I68" s="18">
        <v>251</v>
      </c>
      <c r="J68" s="18">
        <v>3.9899999999999996E-3</v>
      </c>
      <c r="K68" s="18">
        <v>1.32E-3</v>
      </c>
      <c r="L68">
        <f t="shared" si="0"/>
        <v>684.35135135135135</v>
      </c>
    </row>
    <row r="69" spans="1:12" x14ac:dyDescent="0.25">
      <c r="A69">
        <v>0.26271614261592424</v>
      </c>
      <c r="B69">
        <v>10.492462158203125</v>
      </c>
      <c r="C69" s="18">
        <v>251.25</v>
      </c>
      <c r="D69" s="39">
        <v>7.4563746438746437E-3</v>
      </c>
      <c r="E69" s="39">
        <f t="shared" si="1"/>
        <v>996.2937928060835</v>
      </c>
      <c r="G69">
        <v>0.86</v>
      </c>
      <c r="H69">
        <v>2.21</v>
      </c>
      <c r="I69" s="18">
        <v>251</v>
      </c>
      <c r="J69" s="18">
        <v>3.9899999999999996E-3</v>
      </c>
      <c r="K69" s="18">
        <v>1.32E-3</v>
      </c>
      <c r="L69">
        <f t="shared" si="0"/>
        <v>294.43023255813955</v>
      </c>
    </row>
    <row r="70" spans="1:12" x14ac:dyDescent="0.25">
      <c r="A70">
        <v>0.26271614261592424</v>
      </c>
      <c r="B70">
        <v>21.6885986328125</v>
      </c>
      <c r="C70" s="18">
        <v>251.25</v>
      </c>
      <c r="D70" s="39">
        <v>7.4563746438746437E-3</v>
      </c>
      <c r="E70" s="39">
        <f t="shared" si="1"/>
        <v>1038.9106505413065</v>
      </c>
      <c r="G70">
        <v>2.09</v>
      </c>
      <c r="H70">
        <v>2.21</v>
      </c>
      <c r="I70" s="18">
        <v>251</v>
      </c>
      <c r="J70" s="18">
        <v>3.9899999999999996E-3</v>
      </c>
      <c r="K70" s="18">
        <v>1.32E-3</v>
      </c>
      <c r="L70">
        <f t="shared" si="0"/>
        <v>121.15311004784691</v>
      </c>
    </row>
    <row r="71" spans="1:12" x14ac:dyDescent="0.25">
      <c r="A71">
        <v>0.26271614261592424</v>
      </c>
      <c r="B71">
        <v>60.999053955078125</v>
      </c>
      <c r="C71" s="18">
        <v>251.25</v>
      </c>
      <c r="D71" s="39">
        <v>7.4563746438746437E-3</v>
      </c>
      <c r="E71" s="39">
        <f t="shared" si="1"/>
        <v>1188.5415598978557</v>
      </c>
      <c r="G71" s="173"/>
      <c r="H71" s="173"/>
      <c r="I71" s="173"/>
      <c r="J71" s="173"/>
      <c r="K71" s="173"/>
      <c r="L71" s="173"/>
    </row>
    <row r="72" spans="1:12" x14ac:dyDescent="0.25">
      <c r="A72">
        <v>0.26271614261592424</v>
      </c>
      <c r="B72">
        <v>108.892578125</v>
      </c>
      <c r="C72" s="18">
        <v>251.25</v>
      </c>
      <c r="D72" s="39">
        <v>8.0661168981481478E-3</v>
      </c>
      <c r="E72" s="39">
        <f t="shared" si="1"/>
        <v>1370.8429734807257</v>
      </c>
      <c r="G72">
        <v>0.26</v>
      </c>
      <c r="H72">
        <v>1.03</v>
      </c>
      <c r="I72" s="18">
        <v>251</v>
      </c>
      <c r="J72" s="18">
        <v>3.9899999999999996E-3</v>
      </c>
      <c r="K72" s="18">
        <v>1.32E-3</v>
      </c>
      <c r="L72" s="18">
        <f t="shared" ref="L72:L85" si="2">(I72+H72)/G72</f>
        <v>969.34615384615381</v>
      </c>
    </row>
    <row r="73" spans="1:12" x14ac:dyDescent="0.25">
      <c r="A73">
        <v>0.26271614261592424</v>
      </c>
      <c r="B73">
        <v>145.5899658203125</v>
      </c>
      <c r="C73" s="18">
        <v>251.25</v>
      </c>
      <c r="D73" s="39">
        <v>1.078444191261574E-2</v>
      </c>
      <c r="E73" s="39">
        <f t="shared" si="1"/>
        <v>1510.5275293283728</v>
      </c>
      <c r="G73">
        <v>0.26</v>
      </c>
      <c r="H73">
        <v>2.21</v>
      </c>
      <c r="I73" s="18">
        <v>251</v>
      </c>
      <c r="J73" s="18">
        <v>3.9899999999999996E-3</v>
      </c>
      <c r="K73" s="18">
        <v>1.32E-3</v>
      </c>
      <c r="L73" s="18">
        <f t="shared" si="2"/>
        <v>973.88461538461536</v>
      </c>
    </row>
    <row r="74" spans="1:12" x14ac:dyDescent="0.25">
      <c r="A74">
        <v>0.37720508190492785</v>
      </c>
      <c r="B74">
        <v>145.5899658203125</v>
      </c>
      <c r="C74" s="18">
        <v>251.25</v>
      </c>
      <c r="D74" s="39">
        <v>1.078444191261574E-2</v>
      </c>
      <c r="E74" s="39">
        <f t="shared" si="1"/>
        <v>1052.0536038810142</v>
      </c>
      <c r="G74">
        <v>0.26</v>
      </c>
      <c r="H74">
        <v>4.18</v>
      </c>
      <c r="I74" s="18">
        <v>251</v>
      </c>
      <c r="J74" s="18">
        <v>3.9899999999999996E-3</v>
      </c>
      <c r="K74" s="18">
        <v>1.32E-3</v>
      </c>
      <c r="L74" s="18">
        <f t="shared" si="2"/>
        <v>981.46153846153845</v>
      </c>
    </row>
    <row r="75" spans="1:12" x14ac:dyDescent="0.25">
      <c r="A75">
        <v>0.84445371368417033</v>
      </c>
      <c r="B75">
        <v>145.5899658203125</v>
      </c>
      <c r="C75" s="18">
        <v>251.25</v>
      </c>
      <c r="D75" s="39">
        <v>1.078444191261574E-2</v>
      </c>
      <c r="E75" s="39">
        <f t="shared" si="1"/>
        <v>469.93690641608396</v>
      </c>
      <c r="G75">
        <v>0.26</v>
      </c>
      <c r="H75">
        <v>20.420000000000002</v>
      </c>
      <c r="I75" s="18">
        <v>251</v>
      </c>
      <c r="J75" s="18">
        <v>3.9899999999999996E-3</v>
      </c>
      <c r="K75" s="18">
        <v>1.32E-3</v>
      </c>
      <c r="L75" s="18">
        <f t="shared" si="2"/>
        <v>1043.9230769230769</v>
      </c>
    </row>
    <row r="76" spans="1:12" x14ac:dyDescent="0.25">
      <c r="A76">
        <v>1.9540443641168097</v>
      </c>
      <c r="B76">
        <v>145.5899658203125</v>
      </c>
      <c r="C76" s="18">
        <v>251.25</v>
      </c>
      <c r="D76" s="39">
        <v>1.078444191261574E-2</v>
      </c>
      <c r="E76" s="39">
        <f t="shared" si="1"/>
        <v>203.08646676999911</v>
      </c>
      <c r="G76">
        <v>0.26</v>
      </c>
      <c r="H76">
        <v>53.05</v>
      </c>
      <c r="I76" s="18">
        <v>251</v>
      </c>
      <c r="J76" s="18">
        <v>6.6299999999999996E-3</v>
      </c>
      <c r="K76" s="18">
        <v>1.32E-3</v>
      </c>
      <c r="L76" s="18">
        <f t="shared" si="2"/>
        <v>1169.4230769230769</v>
      </c>
    </row>
    <row r="77" spans="1:12" x14ac:dyDescent="0.25">
      <c r="A77">
        <v>4.5424484996883949</v>
      </c>
      <c r="B77">
        <v>145.5899658203125</v>
      </c>
      <c r="C77" s="18">
        <v>251.25</v>
      </c>
      <c r="D77" s="39">
        <v>1.078444191261574E-2</v>
      </c>
      <c r="E77" s="39">
        <f t="shared" si="1"/>
        <v>87.362567973535661</v>
      </c>
      <c r="G77">
        <v>0.26</v>
      </c>
      <c r="H77">
        <v>113.8</v>
      </c>
      <c r="I77" s="18">
        <v>251</v>
      </c>
      <c r="J77" s="18">
        <v>1.4200000000000001E-2</v>
      </c>
      <c r="K77" s="18">
        <v>1.73E-3</v>
      </c>
      <c r="L77" s="18">
        <f t="shared" si="2"/>
        <v>1403.0769230769231</v>
      </c>
    </row>
    <row r="78" spans="1:12" x14ac:dyDescent="0.25">
      <c r="A78">
        <v>18.066545786680994</v>
      </c>
      <c r="B78">
        <v>145.5899658203125</v>
      </c>
      <c r="C78" s="18">
        <v>251.25</v>
      </c>
      <c r="D78" s="39">
        <v>1.078444191261574E-2</v>
      </c>
      <c r="E78" s="39">
        <f t="shared" si="1"/>
        <v>21.96545872719458</v>
      </c>
      <c r="G78">
        <v>0.37</v>
      </c>
      <c r="H78">
        <v>113.8</v>
      </c>
      <c r="I78" s="18">
        <v>251</v>
      </c>
      <c r="J78" s="18">
        <v>1.4200000000000001E-2</v>
      </c>
      <c r="K78" s="18">
        <v>1.72E-3</v>
      </c>
      <c r="L78" s="18">
        <f t="shared" si="2"/>
        <v>985.94594594594594</v>
      </c>
    </row>
    <row r="79" spans="1:12" x14ac:dyDescent="0.25">
      <c r="A79">
        <v>48.025123406339567</v>
      </c>
      <c r="B79">
        <v>145.5899658203125</v>
      </c>
      <c r="C79" s="18">
        <v>251.25</v>
      </c>
      <c r="D79" s="39">
        <v>1.078444191261574E-2</v>
      </c>
      <c r="E79" s="39">
        <f t="shared" si="1"/>
        <v>8.2631743069696633</v>
      </c>
      <c r="G79">
        <v>0.86</v>
      </c>
      <c r="H79">
        <v>113.8</v>
      </c>
      <c r="I79" s="18">
        <v>251</v>
      </c>
      <c r="J79" s="18">
        <v>1.4200000000000001E-2</v>
      </c>
      <c r="K79" s="18">
        <v>1.72E-3</v>
      </c>
      <c r="L79" s="18">
        <f t="shared" si="2"/>
        <v>424.18604651162792</v>
      </c>
    </row>
    <row r="80" spans="1:12" x14ac:dyDescent="0.25">
      <c r="A80">
        <v>81.864211753562628</v>
      </c>
      <c r="B80">
        <v>145.5899658203125</v>
      </c>
      <c r="C80">
        <v>251.25</v>
      </c>
      <c r="D80">
        <v>1.2690158386848957E-2</v>
      </c>
      <c r="E80" s="39">
        <f t="shared" si="1"/>
        <v>4.8475390811179775</v>
      </c>
      <c r="G80">
        <v>2.7</v>
      </c>
      <c r="H80">
        <v>113.8</v>
      </c>
      <c r="I80" s="18">
        <v>251</v>
      </c>
      <c r="J80" s="18">
        <v>1.4200000000000001E-2</v>
      </c>
      <c r="K80" s="18">
        <v>1.72E-3</v>
      </c>
      <c r="L80" s="18">
        <f t="shared" si="2"/>
        <v>135.11111111111111</v>
      </c>
    </row>
    <row r="81" spans="1:12" x14ac:dyDescent="0.25">
      <c r="A81">
        <v>106.57944327813607</v>
      </c>
      <c r="B81">
        <v>145.5899658203125</v>
      </c>
      <c r="C81" s="18">
        <v>251.25</v>
      </c>
      <c r="D81" s="18">
        <v>1.6521383239518846E-2</v>
      </c>
      <c r="E81" s="39">
        <f t="shared" si="1"/>
        <v>3.7234193913426181</v>
      </c>
      <c r="G81" s="18">
        <v>6.4</v>
      </c>
      <c r="H81">
        <v>113.8</v>
      </c>
      <c r="I81" s="18">
        <v>251</v>
      </c>
      <c r="J81" s="18">
        <v>1.4200000000000001E-2</v>
      </c>
      <c r="K81" s="18">
        <v>4.0099999999999997E-3</v>
      </c>
      <c r="L81" s="18">
        <f t="shared" si="2"/>
        <v>57</v>
      </c>
    </row>
    <row r="82" spans="1:12" x14ac:dyDescent="0.25">
      <c r="A82" s="183" t="s">
        <v>507</v>
      </c>
      <c r="B82" s="182"/>
      <c r="C82" s="182"/>
      <c r="D82" s="182"/>
      <c r="E82" s="182"/>
      <c r="G82" s="18">
        <v>12.64</v>
      </c>
      <c r="H82">
        <v>113.8</v>
      </c>
      <c r="I82" s="18">
        <v>251</v>
      </c>
      <c r="J82" s="18">
        <v>1.4200000000000001E-2</v>
      </c>
      <c r="K82" s="18">
        <v>7.9000000000000008E-3</v>
      </c>
      <c r="L82" s="18">
        <f t="shared" si="2"/>
        <v>28.860759493670887</v>
      </c>
    </row>
    <row r="83" spans="1:12" x14ac:dyDescent="0.25">
      <c r="A83">
        <v>0.26271759780744708</v>
      </c>
      <c r="B83">
        <v>0.44550323486328125</v>
      </c>
      <c r="C83" s="18">
        <v>2.5</v>
      </c>
      <c r="D83" s="18">
        <v>4.0725096544326008E-5</v>
      </c>
      <c r="E83" s="18">
        <f>(C83+B83)/A83</f>
        <v>11.211670856636415</v>
      </c>
      <c r="G83" s="18">
        <v>25.38</v>
      </c>
      <c r="H83">
        <v>113.8</v>
      </c>
      <c r="I83" s="18">
        <v>251</v>
      </c>
      <c r="J83" s="18">
        <v>1.4200000000000001E-2</v>
      </c>
      <c r="K83" s="18">
        <v>1.5800000000000002E-2</v>
      </c>
      <c r="L83" s="18">
        <f t="shared" si="2"/>
        <v>14.373522458628843</v>
      </c>
    </row>
    <row r="84" spans="1:12" x14ac:dyDescent="0.25">
      <c r="A84">
        <v>0.26271759780744708</v>
      </c>
      <c r="B84">
        <v>0.73947334289550781</v>
      </c>
      <c r="C84">
        <v>2.5</v>
      </c>
      <c r="D84">
        <v>5.477580317744502E-5</v>
      </c>
      <c r="E84" s="18">
        <f t="shared" ref="E84:E109" si="3">(C84+B84)/A84</f>
        <v>12.330629428447372</v>
      </c>
      <c r="G84" s="18">
        <v>65.78</v>
      </c>
      <c r="H84">
        <v>113.8</v>
      </c>
      <c r="I84" s="18">
        <v>251</v>
      </c>
      <c r="J84" s="18">
        <v>1.4200000000000001E-2</v>
      </c>
      <c r="K84" s="18">
        <v>4.07E-2</v>
      </c>
      <c r="L84" s="18">
        <f t="shared" si="2"/>
        <v>5.5457585892368506</v>
      </c>
    </row>
    <row r="85" spans="1:12" x14ac:dyDescent="0.25">
      <c r="A85">
        <v>0.26271759780744708</v>
      </c>
      <c r="B85">
        <v>1.2313308715820313</v>
      </c>
      <c r="C85">
        <v>2.5</v>
      </c>
      <c r="D85">
        <v>9.1209694191261576E-5</v>
      </c>
      <c r="E85" s="18">
        <f t="shared" si="3"/>
        <v>14.202820453302202</v>
      </c>
      <c r="G85" s="18">
        <v>109.42</v>
      </c>
      <c r="H85">
        <v>113.8</v>
      </c>
      <c r="I85" s="18">
        <v>251</v>
      </c>
      <c r="J85" s="18">
        <v>1.4200000000000001E-2</v>
      </c>
      <c r="K85" s="18">
        <v>6.7100000000000007E-2</v>
      </c>
      <c r="L85" s="18">
        <f t="shared" si="2"/>
        <v>3.3339426064704809</v>
      </c>
    </row>
    <row r="86" spans="1:12" x14ac:dyDescent="0.25">
      <c r="A86">
        <v>0.26271759780744708</v>
      </c>
      <c r="B86">
        <v>2.222198486328125</v>
      </c>
      <c r="C86">
        <v>2.5</v>
      </c>
      <c r="D86">
        <v>1.6460729528356482E-4</v>
      </c>
      <c r="E86" s="18">
        <f t="shared" si="3"/>
        <v>17.97442777239899</v>
      </c>
      <c r="G86" s="173"/>
      <c r="H86" s="173"/>
      <c r="I86" s="173"/>
      <c r="J86" s="173"/>
      <c r="K86" s="173"/>
      <c r="L86" s="173"/>
    </row>
    <row r="87" spans="1:12" x14ac:dyDescent="0.25">
      <c r="A87">
        <v>0.26271759780744708</v>
      </c>
      <c r="B87">
        <v>2.222198486328125</v>
      </c>
      <c r="C87">
        <v>3.75</v>
      </c>
      <c r="D87">
        <v>1.6460729528356482E-4</v>
      </c>
      <c r="E87" s="18">
        <f t="shared" si="3"/>
        <v>22.732388451211833</v>
      </c>
    </row>
    <row r="88" spans="1:12" x14ac:dyDescent="0.25">
      <c r="A88">
        <v>0.26271759780744708</v>
      </c>
      <c r="B88">
        <v>2.222198486328125</v>
      </c>
      <c r="C88">
        <v>6.25</v>
      </c>
      <c r="D88">
        <v>1.6460729528356482E-4</v>
      </c>
      <c r="E88" s="18">
        <f t="shared" si="3"/>
        <v>32.248309808837519</v>
      </c>
      <c r="G88">
        <v>0.26</v>
      </c>
      <c r="H88">
        <v>1.03</v>
      </c>
      <c r="I88">
        <v>2.5</v>
      </c>
      <c r="J88">
        <v>1.2899999999999999E-4</v>
      </c>
      <c r="K88">
        <v>1.65E-4</v>
      </c>
      <c r="L88">
        <v>13.576923076923077</v>
      </c>
    </row>
    <row r="89" spans="1:12" x14ac:dyDescent="0.25">
      <c r="A89">
        <v>0.26271759780744708</v>
      </c>
      <c r="B89">
        <v>2.222198486328125</v>
      </c>
      <c r="C89">
        <v>13.75</v>
      </c>
      <c r="D89">
        <v>1.6460729528356482E-4</v>
      </c>
      <c r="E89" s="18">
        <f t="shared" si="3"/>
        <v>60.796073881714563</v>
      </c>
      <c r="G89">
        <v>0.26</v>
      </c>
      <c r="H89">
        <v>1.03</v>
      </c>
      <c r="I89">
        <v>1.75</v>
      </c>
      <c r="J89">
        <v>2.1800000000000001E-4</v>
      </c>
      <c r="K89">
        <v>1.65E-4</v>
      </c>
      <c r="L89">
        <v>10.692307692307693</v>
      </c>
    </row>
    <row r="90" spans="1:12" x14ac:dyDescent="0.25">
      <c r="A90">
        <v>0.26271759780744708</v>
      </c>
      <c r="B90">
        <v>2.222198486328125</v>
      </c>
      <c r="C90">
        <v>26.25</v>
      </c>
      <c r="D90">
        <v>1.9475605413105413E-4</v>
      </c>
      <c r="E90" s="18">
        <f t="shared" si="3"/>
        <v>108.37568066984298</v>
      </c>
      <c r="G90">
        <v>0.26</v>
      </c>
      <c r="H90">
        <v>1.03</v>
      </c>
      <c r="I90">
        <v>26.3</v>
      </c>
      <c r="J90">
        <v>4.17E-4</v>
      </c>
      <c r="K90">
        <v>1.65E-4</v>
      </c>
      <c r="L90">
        <v>105.11538461538461</v>
      </c>
    </row>
    <row r="91" spans="1:12" x14ac:dyDescent="0.25">
      <c r="A91">
        <v>0.26271759780744708</v>
      </c>
      <c r="B91">
        <v>2.222198486328125</v>
      </c>
      <c r="C91">
        <v>51.25</v>
      </c>
      <c r="D91">
        <v>3.802380104463438E-4</v>
      </c>
      <c r="E91" s="18">
        <f t="shared" si="3"/>
        <v>203.53489424609981</v>
      </c>
      <c r="G91">
        <v>0.26</v>
      </c>
      <c r="H91">
        <v>1.03</v>
      </c>
      <c r="I91">
        <v>51.25</v>
      </c>
      <c r="J91">
        <v>8.1300000000000003E-4</v>
      </c>
      <c r="K91">
        <v>2.6800000000000001E-4</v>
      </c>
      <c r="L91">
        <v>201.07692307692307</v>
      </c>
    </row>
    <row r="92" spans="1:12" x14ac:dyDescent="0.25">
      <c r="A92">
        <v>0.26271759780744708</v>
      </c>
      <c r="B92">
        <v>2.222198486328125</v>
      </c>
      <c r="C92">
        <v>126.25</v>
      </c>
      <c r="D92">
        <v>9.366838793922127E-4</v>
      </c>
      <c r="E92" s="18">
        <f t="shared" si="3"/>
        <v>489.01253497487033</v>
      </c>
      <c r="G92">
        <v>0.26</v>
      </c>
      <c r="H92">
        <v>1.03</v>
      </c>
      <c r="I92">
        <v>76.25</v>
      </c>
      <c r="J92">
        <v>1.2099999999999999E-3</v>
      </c>
      <c r="K92">
        <v>3.9899999999999999E-4</v>
      </c>
      <c r="L92">
        <v>297.23076923076923</v>
      </c>
    </row>
    <row r="93" spans="1:12" x14ac:dyDescent="0.25">
      <c r="A93">
        <v>0.26271759780744708</v>
      </c>
      <c r="B93">
        <v>2.222198486328125</v>
      </c>
      <c r="C93">
        <v>251.25</v>
      </c>
      <c r="D93">
        <v>1.8640936609686609E-3</v>
      </c>
      <c r="E93" s="18">
        <f t="shared" si="3"/>
        <v>964.80860285615449</v>
      </c>
      <c r="G93">
        <v>0.26</v>
      </c>
      <c r="H93">
        <v>1.03</v>
      </c>
      <c r="I93">
        <v>101.25</v>
      </c>
      <c r="J93">
        <v>1.6100000000000001E-3</v>
      </c>
      <c r="K93">
        <v>5.2999999999999998E-4</v>
      </c>
      <c r="L93">
        <v>393.38461538461536</v>
      </c>
    </row>
    <row r="94" spans="1:12" x14ac:dyDescent="0.25">
      <c r="A94">
        <v>0.26271759780744708</v>
      </c>
      <c r="B94">
        <v>4.2325439453125</v>
      </c>
      <c r="C94">
        <v>251.25</v>
      </c>
      <c r="D94">
        <v>1.8640936609686609E-3</v>
      </c>
      <c r="E94" s="18">
        <f t="shared" si="3"/>
        <v>972.46071857189656</v>
      </c>
      <c r="G94">
        <v>0.26</v>
      </c>
      <c r="H94">
        <v>1.03</v>
      </c>
      <c r="I94">
        <v>126.25</v>
      </c>
      <c r="J94">
        <v>2E-3</v>
      </c>
      <c r="K94">
        <v>6.6100000000000002E-4</v>
      </c>
      <c r="L94">
        <v>489.53846153846155</v>
      </c>
    </row>
    <row r="95" spans="1:12" x14ac:dyDescent="0.25">
      <c r="A95">
        <v>0.26271759780744708</v>
      </c>
      <c r="B95">
        <v>10.492462158203125</v>
      </c>
      <c r="C95">
        <v>251.25</v>
      </c>
      <c r="D95">
        <v>1.8640936609686609E-3</v>
      </c>
      <c r="E95" s="18">
        <f t="shared" si="3"/>
        <v>996.28827433951096</v>
      </c>
      <c r="G95">
        <v>0.26</v>
      </c>
      <c r="H95">
        <v>1.03</v>
      </c>
      <c r="I95">
        <v>151.25</v>
      </c>
      <c r="J95">
        <v>2.3999999999999998E-3</v>
      </c>
      <c r="K95">
        <v>7.9199999999999995E-4</v>
      </c>
      <c r="L95">
        <v>585.69230769230762</v>
      </c>
    </row>
    <row r="96" spans="1:12" x14ac:dyDescent="0.25">
      <c r="A96">
        <v>0.26271759780744708</v>
      </c>
      <c r="B96">
        <v>21.6885986328125</v>
      </c>
      <c r="C96">
        <v>251.25</v>
      </c>
      <c r="D96">
        <v>1.8640936609686609E-3</v>
      </c>
      <c r="E96" s="18">
        <f t="shared" si="3"/>
        <v>1038.9048960201619</v>
      </c>
      <c r="G96">
        <v>0.26</v>
      </c>
      <c r="H96">
        <v>1.03</v>
      </c>
      <c r="I96">
        <v>176.25</v>
      </c>
      <c r="J96">
        <v>2.8E-3</v>
      </c>
      <c r="K96">
        <v>9.2299999999999999E-4</v>
      </c>
      <c r="L96">
        <v>681.84615384615381</v>
      </c>
    </row>
    <row r="97" spans="1:12" x14ac:dyDescent="0.25">
      <c r="A97">
        <v>0.26271759780744708</v>
      </c>
      <c r="B97">
        <v>60.999053955078125</v>
      </c>
      <c r="C97">
        <v>251.25</v>
      </c>
      <c r="D97">
        <v>4.5184484411168978E-3</v>
      </c>
      <c r="E97" s="18">
        <f t="shared" si="3"/>
        <v>1188.534976571817</v>
      </c>
      <c r="G97">
        <v>0.26</v>
      </c>
      <c r="H97">
        <v>1.03</v>
      </c>
      <c r="I97">
        <v>201.25</v>
      </c>
      <c r="J97">
        <v>3.1900000000000001E-3</v>
      </c>
      <c r="K97">
        <v>1.0499999999999999E-3</v>
      </c>
      <c r="L97">
        <v>778</v>
      </c>
    </row>
    <row r="98" spans="1:12" x14ac:dyDescent="0.25">
      <c r="A98">
        <v>0.26271759780744708</v>
      </c>
      <c r="B98">
        <v>108.892578125</v>
      </c>
      <c r="C98">
        <v>251.25</v>
      </c>
      <c r="D98">
        <v>8.0661168981481478E-3</v>
      </c>
      <c r="E98" s="18">
        <f t="shared" si="3"/>
        <v>1370.8353803880254</v>
      </c>
      <c r="G98">
        <v>0.26</v>
      </c>
      <c r="H98">
        <v>1.03</v>
      </c>
      <c r="I98">
        <v>226.25</v>
      </c>
      <c r="J98">
        <v>3.5899999999999999E-3</v>
      </c>
      <c r="K98">
        <v>1.1800000000000001E-3</v>
      </c>
      <c r="L98">
        <v>874.15384615384608</v>
      </c>
    </row>
    <row r="99" spans="1:12" x14ac:dyDescent="0.25">
      <c r="A99">
        <v>0.26271759780744708</v>
      </c>
      <c r="B99">
        <v>145.5899658203125</v>
      </c>
      <c r="C99">
        <v>251.25</v>
      </c>
      <c r="D99">
        <v>1.078444191261574E-2</v>
      </c>
      <c r="E99" s="18">
        <f t="shared" si="3"/>
        <v>1510.5191625235832</v>
      </c>
      <c r="G99">
        <v>0.26</v>
      </c>
      <c r="H99">
        <v>1.03</v>
      </c>
      <c r="I99">
        <v>251.25</v>
      </c>
      <c r="J99">
        <v>3.9899999999999996E-3</v>
      </c>
      <c r="K99">
        <v>1.32E-3</v>
      </c>
      <c r="L99">
        <v>970.30769230769226</v>
      </c>
    </row>
    <row r="100" spans="1:12" x14ac:dyDescent="0.25">
      <c r="A100">
        <v>0.37735060105721152</v>
      </c>
      <c r="B100">
        <v>145.5899658203125</v>
      </c>
      <c r="C100">
        <v>251.25</v>
      </c>
      <c r="D100">
        <v>1.078444191261574E-2</v>
      </c>
      <c r="E100" s="18">
        <f t="shared" si="3"/>
        <v>1051.6478964350347</v>
      </c>
      <c r="G100">
        <v>0.26</v>
      </c>
      <c r="H100">
        <v>1.03</v>
      </c>
      <c r="I100">
        <v>301.25</v>
      </c>
      <c r="J100">
        <v>4.7800000000000004E-3</v>
      </c>
      <c r="K100">
        <v>1.58E-3</v>
      </c>
      <c r="L100">
        <v>1162.6153846153845</v>
      </c>
    </row>
    <row r="101" spans="1:12" x14ac:dyDescent="0.25">
      <c r="A101">
        <v>0.78318756356559416</v>
      </c>
      <c r="B101">
        <v>145.5899658203125</v>
      </c>
      <c r="C101">
        <v>251.25</v>
      </c>
      <c r="D101">
        <v>1.078444191261574E-2</v>
      </c>
      <c r="E101" s="18">
        <f t="shared" si="3"/>
        <v>506.69850273621722</v>
      </c>
      <c r="G101">
        <v>0.26</v>
      </c>
      <c r="H101">
        <v>1.03</v>
      </c>
      <c r="I101">
        <v>351.25</v>
      </c>
      <c r="J101">
        <v>5.5799999999999999E-3</v>
      </c>
      <c r="K101">
        <v>1.8400000000000001E-3</v>
      </c>
      <c r="L101">
        <v>1354.9230769230767</v>
      </c>
    </row>
    <row r="102" spans="1:12" x14ac:dyDescent="0.25">
      <c r="A102">
        <v>1.3231121249220987</v>
      </c>
      <c r="B102">
        <v>145.5899658203125</v>
      </c>
      <c r="C102">
        <v>251.25</v>
      </c>
      <c r="D102">
        <v>1.078444191261574E-2</v>
      </c>
      <c r="E102" s="18">
        <f t="shared" si="3"/>
        <v>299.92920353872302</v>
      </c>
      <c r="G102">
        <v>0.26</v>
      </c>
      <c r="H102">
        <v>1.03</v>
      </c>
      <c r="I102">
        <v>401.25</v>
      </c>
      <c r="J102">
        <v>6.3699999999999998E-3</v>
      </c>
      <c r="K102">
        <v>2.0999999999999999E-3</v>
      </c>
      <c r="L102">
        <v>1547.2307692307691</v>
      </c>
    </row>
    <row r="103" spans="1:12" x14ac:dyDescent="0.25">
      <c r="A103">
        <v>2.4231722410078405</v>
      </c>
      <c r="B103">
        <v>145.5899658203125</v>
      </c>
      <c r="C103">
        <v>251.25</v>
      </c>
      <c r="D103">
        <v>1.078444191261574E-2</v>
      </c>
      <c r="E103" s="18">
        <f t="shared" si="3"/>
        <v>163.76878172525602</v>
      </c>
      <c r="G103">
        <v>0.26</v>
      </c>
      <c r="H103">
        <v>1.03</v>
      </c>
      <c r="I103">
        <v>451.25</v>
      </c>
      <c r="J103">
        <v>7.1599999999999997E-3</v>
      </c>
      <c r="K103">
        <v>2.3600000000000001E-3</v>
      </c>
      <c r="L103">
        <v>1739.5384615384614</v>
      </c>
    </row>
    <row r="104" spans="1:12" x14ac:dyDescent="0.25">
      <c r="A104">
        <v>5.885040536246918</v>
      </c>
      <c r="B104">
        <v>145.5899658203125</v>
      </c>
      <c r="C104">
        <v>251.25</v>
      </c>
      <c r="D104">
        <v>1.078444191261574E-2</v>
      </c>
      <c r="E104" s="18">
        <f t="shared" si="3"/>
        <v>67.431985111421213</v>
      </c>
      <c r="G104">
        <v>0.26</v>
      </c>
      <c r="H104">
        <v>1.03</v>
      </c>
      <c r="I104">
        <v>501.25</v>
      </c>
      <c r="J104">
        <v>7.9600000000000001E-3</v>
      </c>
      <c r="K104">
        <v>2.6199999999999999E-3</v>
      </c>
      <c r="L104">
        <v>1931.8461538461536</v>
      </c>
    </row>
    <row r="105" spans="1:12" x14ac:dyDescent="0.25">
      <c r="A105">
        <v>12.193780851584892</v>
      </c>
      <c r="B105">
        <v>145.5899658203125</v>
      </c>
      <c r="C105">
        <v>251.25</v>
      </c>
      <c r="D105">
        <v>1.078444191261574E-2</v>
      </c>
      <c r="E105" s="18">
        <f t="shared" si="3"/>
        <v>32.544456116638592</v>
      </c>
      <c r="G105">
        <v>0.26</v>
      </c>
      <c r="H105">
        <v>1.42</v>
      </c>
      <c r="I105">
        <v>501.25</v>
      </c>
      <c r="J105">
        <v>7.9600000000000001E-3</v>
      </c>
      <c r="K105">
        <v>2.6199999999999999E-3</v>
      </c>
      <c r="L105">
        <v>1933.3461538461538</v>
      </c>
    </row>
    <row r="106" spans="1:12" x14ac:dyDescent="0.25">
      <c r="A106">
        <v>26.832360819534017</v>
      </c>
      <c r="B106">
        <v>145.5899658203125</v>
      </c>
      <c r="C106">
        <v>251.25</v>
      </c>
      <c r="D106">
        <v>1.078444191261574E-2</v>
      </c>
      <c r="E106" s="18">
        <f t="shared" si="3"/>
        <v>14.789603065094896</v>
      </c>
      <c r="G106">
        <v>0.26</v>
      </c>
      <c r="H106">
        <v>1.82</v>
      </c>
      <c r="I106">
        <v>501.25</v>
      </c>
      <c r="J106">
        <v>7.9600000000000001E-3</v>
      </c>
      <c r="K106">
        <v>2.6199999999999999E-3</v>
      </c>
      <c r="L106">
        <v>1934.8846153846152</v>
      </c>
    </row>
    <row r="107" spans="1:12" x14ac:dyDescent="0.25">
      <c r="A107">
        <v>64.193918104524968</v>
      </c>
      <c r="B107">
        <v>145.5899658203125</v>
      </c>
      <c r="C107">
        <v>251.25</v>
      </c>
      <c r="D107">
        <v>1.078444191261574E-2</v>
      </c>
      <c r="E107" s="18">
        <f t="shared" si="3"/>
        <v>6.1818935116898501</v>
      </c>
      <c r="G107">
        <v>0.26</v>
      </c>
      <c r="H107">
        <v>2.21</v>
      </c>
      <c r="I107">
        <v>501.25</v>
      </c>
      <c r="J107">
        <v>7.9600000000000001E-3</v>
      </c>
      <c r="K107">
        <v>2.6199999999999999E-3</v>
      </c>
      <c r="L107">
        <v>1936.3846153846152</v>
      </c>
    </row>
    <row r="108" spans="1:12" x14ac:dyDescent="0.25">
      <c r="A108">
        <v>86.916895421566778</v>
      </c>
      <c r="B108">
        <v>145.5899658203125</v>
      </c>
      <c r="C108">
        <v>251.25</v>
      </c>
      <c r="D108">
        <v>1.3473398763225357E-2</v>
      </c>
      <c r="E108" s="18">
        <f t="shared" si="3"/>
        <v>4.5657402268632366</v>
      </c>
      <c r="G108">
        <v>0.26</v>
      </c>
      <c r="H108">
        <v>5.17</v>
      </c>
      <c r="I108">
        <v>501.25</v>
      </c>
      <c r="J108">
        <v>7.9600000000000001E-3</v>
      </c>
      <c r="K108">
        <v>2.6199999999999999E-3</v>
      </c>
      <c r="L108">
        <v>1947.7692307692307</v>
      </c>
    </row>
    <row r="109" spans="1:12" x14ac:dyDescent="0.25">
      <c r="A109">
        <v>112.33467185497284</v>
      </c>
      <c r="B109">
        <v>145.5899658203125</v>
      </c>
      <c r="C109">
        <v>251.25</v>
      </c>
      <c r="D109">
        <v>1.741352842272095E-2</v>
      </c>
      <c r="E109" s="18">
        <f t="shared" si="3"/>
        <v>3.5326578986463222</v>
      </c>
      <c r="G109">
        <v>0.26</v>
      </c>
      <c r="H109">
        <v>7.16</v>
      </c>
      <c r="I109">
        <v>501.25</v>
      </c>
      <c r="J109">
        <v>7.9600000000000001E-3</v>
      </c>
      <c r="K109">
        <v>2.6199999999999999E-3</v>
      </c>
      <c r="L109">
        <v>1955.4230769230769</v>
      </c>
    </row>
    <row r="110" spans="1:12" x14ac:dyDescent="0.25">
      <c r="G110">
        <v>0.26</v>
      </c>
      <c r="H110">
        <v>64.599999999999994</v>
      </c>
      <c r="I110">
        <v>501.25</v>
      </c>
      <c r="J110">
        <v>8.0700000000000008E-3</v>
      </c>
      <c r="K110">
        <v>2.6199999999999999E-3</v>
      </c>
      <c r="L110">
        <v>2176.3461538461538</v>
      </c>
    </row>
    <row r="111" spans="1:12" x14ac:dyDescent="0.25">
      <c r="G111">
        <v>0.26</v>
      </c>
      <c r="H111">
        <v>114</v>
      </c>
      <c r="I111">
        <v>501.25</v>
      </c>
      <c r="J111">
        <v>1.42E-3</v>
      </c>
      <c r="K111">
        <v>2.6199999999999999E-3</v>
      </c>
      <c r="L111">
        <v>2366.3461538461538</v>
      </c>
    </row>
    <row r="112" spans="1:12" x14ac:dyDescent="0.25">
      <c r="G112">
        <v>0.26</v>
      </c>
      <c r="H112">
        <v>259</v>
      </c>
      <c r="I112">
        <v>501.25</v>
      </c>
      <c r="J112">
        <v>3.2399999999999998E-2</v>
      </c>
      <c r="K112">
        <v>3.8E-3</v>
      </c>
      <c r="L112">
        <v>2924.0384615384614</v>
      </c>
    </row>
    <row r="113" spans="7:12" x14ac:dyDescent="0.25">
      <c r="G113">
        <v>0.26</v>
      </c>
      <c r="H113">
        <v>436</v>
      </c>
      <c r="I113">
        <v>501.25</v>
      </c>
      <c r="J113">
        <v>5.45E-2</v>
      </c>
      <c r="K113">
        <v>6.2599999999999999E-3</v>
      </c>
      <c r="L113">
        <v>3604.8076923076924</v>
      </c>
    </row>
    <row r="114" spans="7:12" x14ac:dyDescent="0.25">
      <c r="G114">
        <v>0.26</v>
      </c>
      <c r="H114">
        <v>645</v>
      </c>
      <c r="I114">
        <v>501.25</v>
      </c>
      <c r="J114">
        <v>8.0600000000000005E-2</v>
      </c>
      <c r="K114">
        <v>9.0900000000000009E-3</v>
      </c>
      <c r="L114">
        <v>4408.6538461538457</v>
      </c>
    </row>
    <row r="115" spans="7:12" x14ac:dyDescent="0.25">
      <c r="G115">
        <v>0.372</v>
      </c>
      <c r="H115">
        <v>645</v>
      </c>
      <c r="I115">
        <v>501.25</v>
      </c>
      <c r="J115">
        <v>8.0600000000000005E-2</v>
      </c>
      <c r="K115">
        <v>9.0900000000000009E-3</v>
      </c>
      <c r="L115">
        <v>3081.3172043010754</v>
      </c>
    </row>
    <row r="116" spans="7:12" x14ac:dyDescent="0.25">
      <c r="G116">
        <v>1.47</v>
      </c>
      <c r="H116">
        <v>645</v>
      </c>
      <c r="I116">
        <v>501.25</v>
      </c>
      <c r="J116">
        <v>8.0600000000000005E-2</v>
      </c>
      <c r="K116">
        <v>9.0900000000000009E-3</v>
      </c>
      <c r="L116">
        <v>779.76190476190482</v>
      </c>
    </row>
    <row r="117" spans="7:12" x14ac:dyDescent="0.25">
      <c r="G117">
        <v>140</v>
      </c>
      <c r="H117">
        <v>645</v>
      </c>
      <c r="I117">
        <v>501.25</v>
      </c>
      <c r="J117">
        <v>8.0600000000000005E-2</v>
      </c>
      <c r="K117">
        <v>8.5500000000000003E-3</v>
      </c>
      <c r="L117">
        <v>8.1875</v>
      </c>
    </row>
    <row r="118" spans="7:12" x14ac:dyDescent="0.25">
      <c r="G118">
        <v>1060</v>
      </c>
      <c r="H118">
        <v>645</v>
      </c>
      <c r="I118">
        <v>501.25</v>
      </c>
      <c r="J118">
        <v>0.16400000000000001</v>
      </c>
      <c r="K118">
        <v>0.60299999999999998</v>
      </c>
      <c r="L118">
        <v>1.0813679245283019</v>
      </c>
    </row>
    <row r="119" spans="7:12" x14ac:dyDescent="0.25">
      <c r="G119">
        <v>3020</v>
      </c>
      <c r="H119">
        <v>645</v>
      </c>
      <c r="I119">
        <v>501.25</v>
      </c>
      <c r="J119">
        <v>0.46800000000000003</v>
      </c>
      <c r="K119">
        <v>1.64</v>
      </c>
      <c r="L119">
        <v>0.37955298013245031</v>
      </c>
    </row>
  </sheetData>
  <conditionalFormatting sqref="A28:I28">
    <cfRule type="containsText" dxfId="44" priority="28" operator="containsText" text="calculated">
      <formula>NOT(ISERROR(SEARCH("calculated",A28)))</formula>
    </cfRule>
  </conditionalFormatting>
  <conditionalFormatting sqref="A10:J10">
    <cfRule type="containsText" dxfId="43" priority="7" operator="containsText" text="calculated">
      <formula>NOT(ISERROR(SEARCH("calculated",A10)))</formula>
    </cfRule>
  </conditionalFormatting>
  <conditionalFormatting sqref="A37:J37">
    <cfRule type="containsText" dxfId="42" priority="20" operator="containsText" text="calculated">
      <formula>NOT(ISERROR(SEARCH("calculated",A37)))</formula>
    </cfRule>
  </conditionalFormatting>
  <conditionalFormatting sqref="A46:M46">
    <cfRule type="containsText" dxfId="41" priority="2" operator="containsText" text="calculated">
      <formula>NOT(ISERROR(SEARCH("calculated",A46)))</formula>
    </cfRule>
  </conditionalFormatting>
  <conditionalFormatting sqref="A19:XFD19">
    <cfRule type="containsText" dxfId="40" priority="1" operator="containsText" text="calculated">
      <formula>NOT(ISERROR(SEARCH("calculated",A19)))</formula>
    </cfRule>
  </conditionalFormatting>
  <pageMargins left="0.7" right="0.7" top="0.75" bottom="0.75" header="0.3" footer="0.3"/>
  <pageSetup paperSize="9" orientation="portrait" r:id="rId1"/>
  <headerFooter>
    <oddFooter>&amp;R&amp;1#&amp;"Calibri"&amp;8&amp;K000000strictly confidential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C6D83B8-CC9A-4A22-8213-2DA85E042FA2}">
          <x14:formula1>
            <xm:f>Inputs!$C$1:$D$1</xm:f>
          </x14:formula1>
          <xm:sqref>B10:J10 B19:Q19 B28:I28 B37:J37 B46:M46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14710-D468-4466-A0EE-BA2988F7FDDC}">
  <sheetPr codeName="Sheet10"/>
  <dimension ref="A2:Y119"/>
  <sheetViews>
    <sheetView workbookViewId="0"/>
  </sheetViews>
  <sheetFormatPr defaultRowHeight="15" x14ac:dyDescent="0.25"/>
  <cols>
    <col min="1" max="1" width="34.140625" customWidth="1"/>
    <col min="2" max="2" width="17.85546875" customWidth="1"/>
    <col min="3" max="3" width="24" customWidth="1"/>
    <col min="4" max="4" width="19.85546875" customWidth="1"/>
    <col min="5" max="5" width="20.5703125" customWidth="1"/>
    <col min="6" max="6" width="19.85546875" customWidth="1"/>
    <col min="7" max="7" width="17.28515625" customWidth="1"/>
    <col min="8" max="8" width="19.7109375" customWidth="1"/>
    <col min="9" max="9" width="21.7109375" customWidth="1"/>
    <col min="10" max="10" width="23.7109375" customWidth="1"/>
    <col min="11" max="12" width="19.85546875" customWidth="1"/>
    <col min="13" max="13" width="27.85546875" customWidth="1"/>
    <col min="14" max="14" width="20.85546875" customWidth="1"/>
    <col min="15" max="15" width="25.7109375" customWidth="1"/>
    <col min="16" max="16" width="27" customWidth="1"/>
    <col min="17" max="17" width="25.7109375" customWidth="1"/>
    <col min="18" max="18" width="18.5703125" customWidth="1"/>
  </cols>
  <sheetData>
    <row r="2" spans="1:25" s="155" customFormat="1" ht="53.25" customHeight="1" x14ac:dyDescent="0.25">
      <c r="A2" s="111" t="s">
        <v>122</v>
      </c>
    </row>
    <row r="3" spans="1:25" s="18" customFormat="1" x14ac:dyDescent="0.25">
      <c r="A3" s="39" t="s">
        <v>123</v>
      </c>
      <c r="B3" s="39">
        <f>MAX(H29/F20,I38/G20,J47/H20)</f>
        <v>5.8054924011230469E-4</v>
      </c>
      <c r="Y3"/>
    </row>
    <row r="4" spans="1:25" s="18" customFormat="1" x14ac:dyDescent="0.25">
      <c r="Y4"/>
    </row>
    <row r="5" spans="1:25" s="18" customFormat="1" x14ac:dyDescent="0.25">
      <c r="Y5"/>
    </row>
    <row r="6" spans="1:25" s="18" customFormat="1" x14ac:dyDescent="0.25">
      <c r="Y6"/>
    </row>
    <row r="7" spans="1:25" s="155" customFormat="1" ht="53.25" customHeight="1" x14ac:dyDescent="0.25">
      <c r="A7" s="111" t="s">
        <v>124</v>
      </c>
    </row>
    <row r="8" spans="1:25" s="18" customFormat="1" x14ac:dyDescent="0.25">
      <c r="A8" s="24" t="s">
        <v>125</v>
      </c>
      <c r="Y8"/>
    </row>
    <row r="9" spans="1:25" s="18" customFormat="1" ht="51.75" x14ac:dyDescent="0.25">
      <c r="A9" t="s">
        <v>9</v>
      </c>
      <c r="B9" s="28" t="s">
        <v>126</v>
      </c>
      <c r="C9" s="28" t="s">
        <v>127</v>
      </c>
      <c r="D9" s="28" t="s">
        <v>128</v>
      </c>
      <c r="E9" s="28" t="s">
        <v>129</v>
      </c>
      <c r="F9" s="28" t="s">
        <v>130</v>
      </c>
      <c r="G9" s="28" t="s">
        <v>481</v>
      </c>
      <c r="H9" s="28" t="s">
        <v>482</v>
      </c>
      <c r="I9" s="28" t="s">
        <v>483</v>
      </c>
      <c r="J9" s="28" t="s">
        <v>484</v>
      </c>
      <c r="X9"/>
    </row>
    <row r="10" spans="1:25" s="18" customFormat="1" ht="17.25" x14ac:dyDescent="0.35">
      <c r="A10" s="18" t="s">
        <v>56</v>
      </c>
      <c r="B10" s="16" t="s">
        <v>1</v>
      </c>
      <c r="C10" s="16" t="s">
        <v>2</v>
      </c>
      <c r="D10" s="16" t="s">
        <v>2</v>
      </c>
      <c r="E10" s="16" t="s">
        <v>2</v>
      </c>
      <c r="F10" s="16" t="s">
        <v>2</v>
      </c>
      <c r="G10" s="16" t="s">
        <v>1</v>
      </c>
      <c r="H10" s="16" t="s">
        <v>1</v>
      </c>
      <c r="I10" s="16" t="s">
        <v>1</v>
      </c>
      <c r="J10" s="16" t="s">
        <v>1</v>
      </c>
      <c r="X10"/>
    </row>
    <row r="11" spans="1:25" s="18" customFormat="1" ht="17.25" x14ac:dyDescent="0.35">
      <c r="A11" t="s">
        <v>57</v>
      </c>
      <c r="B11" s="73">
        <f>IF(B10=Inputs!$C$1,B12,B13)</f>
        <v>256</v>
      </c>
      <c r="C11" s="73">
        <f>IF(C10=Inputs!$C$1,C12,C13)</f>
        <v>16777216</v>
      </c>
      <c r="D11" s="73">
        <f>IF(D10=Inputs!$C$1,D12,D13)</f>
        <v>16777216</v>
      </c>
      <c r="E11" s="73">
        <f>IF(E10=Inputs!$C$1,E12,E13)</f>
        <v>131072</v>
      </c>
      <c r="F11" s="73">
        <f>IF(F10=Inputs!$C$1,F12,F13)</f>
        <v>16</v>
      </c>
      <c r="G11" s="73">
        <f>IF(G10=Inputs!$C$1,G12,G13)</f>
        <v>32</v>
      </c>
      <c r="H11" s="73">
        <f>IF(H10=Inputs!$C$1,H12,H13)</f>
        <v>4</v>
      </c>
      <c r="I11" s="73">
        <f>IF(I10=Inputs!$C$1,I12,I13)</f>
        <v>1</v>
      </c>
      <c r="J11" s="73">
        <f>IF(J10=Inputs!$C$1,J12,J13)</f>
        <v>2</v>
      </c>
      <c r="X11"/>
    </row>
    <row r="12" spans="1:25" s="18" customFormat="1" ht="17.25" x14ac:dyDescent="0.35">
      <c r="A12" s="18" t="s">
        <v>58</v>
      </c>
      <c r="B12" s="35">
        <v>256</v>
      </c>
      <c r="C12" s="35"/>
      <c r="D12" s="35"/>
      <c r="E12" s="35"/>
      <c r="F12" s="35"/>
      <c r="G12" s="35">
        <v>32</v>
      </c>
      <c r="H12" s="35">
        <v>4</v>
      </c>
      <c r="I12" s="35">
        <v>1</v>
      </c>
      <c r="J12" s="35">
        <v>2</v>
      </c>
      <c r="X12"/>
    </row>
    <row r="13" spans="1:25" s="18" customFormat="1" ht="17.25" x14ac:dyDescent="0.35">
      <c r="A13" s="18" t="s">
        <v>59</v>
      </c>
      <c r="B13" s="5">
        <f>B26</f>
        <v>0</v>
      </c>
      <c r="C13" s="73">
        <f>B11*B11*B11</f>
        <v>16777216</v>
      </c>
      <c r="D13" s="73">
        <f>C11</f>
        <v>16777216</v>
      </c>
      <c r="E13" s="73">
        <f>D11/D20</f>
        <v>131072</v>
      </c>
      <c r="F13" s="157">
        <f>E11/N20</f>
        <v>16</v>
      </c>
      <c r="G13" s="5">
        <f>G26</f>
        <v>0</v>
      </c>
      <c r="H13" s="5">
        <f>H26</f>
        <v>0</v>
      </c>
      <c r="I13" s="5">
        <f>I26</f>
        <v>0</v>
      </c>
      <c r="J13" s="5">
        <f>J26</f>
        <v>0</v>
      </c>
      <c r="X13"/>
    </row>
    <row r="14" spans="1:25" s="18" customFormat="1" x14ac:dyDescent="0.25">
      <c r="A14" s="18" t="s">
        <v>61</v>
      </c>
      <c r="Y14"/>
    </row>
    <row r="15" spans="1:25" s="18" customFormat="1" x14ac:dyDescent="0.25">
      <c r="Y15"/>
    </row>
    <row r="16" spans="1:25" s="155" customFormat="1" ht="53.25" customHeight="1" x14ac:dyDescent="0.25">
      <c r="A16" s="111" t="s">
        <v>131</v>
      </c>
    </row>
    <row r="17" spans="1:25" x14ac:dyDescent="0.25">
      <c r="A17" s="24" t="s">
        <v>125</v>
      </c>
    </row>
    <row r="18" spans="1:25" ht="34.5" x14ac:dyDescent="0.25">
      <c r="A18" t="s">
        <v>9</v>
      </c>
      <c r="B18" s="28" t="s">
        <v>132</v>
      </c>
      <c r="C18" s="28" t="s">
        <v>133</v>
      </c>
      <c r="D18" s="28" t="s">
        <v>134</v>
      </c>
      <c r="E18" s="28" t="s">
        <v>135</v>
      </c>
      <c r="F18" s="28" t="s">
        <v>485</v>
      </c>
      <c r="G18" s="28" t="s">
        <v>486</v>
      </c>
      <c r="H18" s="28" t="s">
        <v>137</v>
      </c>
      <c r="I18" s="28" t="s">
        <v>138</v>
      </c>
      <c r="J18" s="28" t="s">
        <v>487</v>
      </c>
      <c r="K18" s="28" t="s">
        <v>488</v>
      </c>
      <c r="L18" s="28" t="s">
        <v>139</v>
      </c>
      <c r="M18" s="28" t="s">
        <v>140</v>
      </c>
      <c r="N18" s="28" t="s">
        <v>141</v>
      </c>
      <c r="O18" s="28" t="s">
        <v>136</v>
      </c>
      <c r="P18" s="28" t="s">
        <v>489</v>
      </c>
      <c r="Q18" s="28" t="s">
        <v>490</v>
      </c>
    </row>
    <row r="19" spans="1:25" s="18" customFormat="1" ht="17.25" x14ac:dyDescent="0.35">
      <c r="A19" s="18" t="s">
        <v>56</v>
      </c>
      <c r="B19" s="16" t="s">
        <v>1</v>
      </c>
      <c r="C19" s="16" t="s">
        <v>1</v>
      </c>
      <c r="D19" s="16" t="s">
        <v>1</v>
      </c>
      <c r="E19" s="16" t="s">
        <v>1</v>
      </c>
      <c r="F19" s="16" t="s">
        <v>2</v>
      </c>
      <c r="G19" s="16" t="s">
        <v>2</v>
      </c>
      <c r="H19" s="16" t="s">
        <v>1</v>
      </c>
      <c r="I19" s="16" t="s">
        <v>1</v>
      </c>
      <c r="J19" s="16" t="s">
        <v>2</v>
      </c>
      <c r="K19" s="16" t="s">
        <v>1</v>
      </c>
      <c r="L19" s="16" t="s">
        <v>1</v>
      </c>
      <c r="M19" s="16" t="s">
        <v>2</v>
      </c>
      <c r="N19" s="16" t="s">
        <v>2</v>
      </c>
      <c r="O19" s="16" t="s">
        <v>1</v>
      </c>
      <c r="P19" s="16" t="s">
        <v>1</v>
      </c>
      <c r="Q19" s="16" t="s">
        <v>1</v>
      </c>
    </row>
    <row r="20" spans="1:25" s="17" customFormat="1" ht="17.25" x14ac:dyDescent="0.35">
      <c r="A20" t="s">
        <v>57</v>
      </c>
      <c r="B20" s="73">
        <f>IF(B19=Inputs!$C$1,B21,B22)</f>
        <v>2048</v>
      </c>
      <c r="C20" s="73">
        <f>IF(C19=Inputs!$C$1,C21,C22)</f>
        <v>512</v>
      </c>
      <c r="D20" s="73">
        <f>IF(D19=Inputs!$C$1,D21,D22)</f>
        <v>128</v>
      </c>
      <c r="E20" s="73">
        <f>IF(E19=Inputs!$C$1,E21,E22)</f>
        <v>1.25</v>
      </c>
      <c r="F20" s="73">
        <f>IF(F19=Inputs!$C$1,F21,F22)</f>
        <v>23040</v>
      </c>
      <c r="G20" s="73">
        <f>IF(G19=Inputs!$C$1,G21,G22)</f>
        <v>2048</v>
      </c>
      <c r="H20" s="73">
        <f>IF(H19=Inputs!$C$1,H21,H22)</f>
        <v>6451</v>
      </c>
      <c r="I20" s="73">
        <f>IF(I19=Inputs!$C$1,I21,I22)</f>
        <v>768</v>
      </c>
      <c r="J20" s="73">
        <f>IF(J19=Inputs!$C$1,J21,J22)</f>
        <v>392448</v>
      </c>
      <c r="K20" s="73">
        <f>IF(K19=Inputs!$C$1,K21,K22)</f>
        <v>64</v>
      </c>
      <c r="L20" s="73">
        <v>1</v>
      </c>
      <c r="M20" s="73">
        <f>IF(M19=Inputs!$C$1,M21,M22)</f>
        <v>16</v>
      </c>
      <c r="N20" s="73">
        <f>IF(N19=Inputs!$C$1,N21,N22)</f>
        <v>8192</v>
      </c>
      <c r="O20" s="73">
        <f>IF(O19=Inputs!$C$1,O21,O22)</f>
        <v>45</v>
      </c>
      <c r="P20" s="73">
        <f>IF(P19=Inputs!$C$1,P21,P22)</f>
        <v>64</v>
      </c>
      <c r="Q20" s="73">
        <f>IF(Q19=Inputs!$C$1,Q21,Q22)</f>
        <v>4</v>
      </c>
    </row>
    <row r="21" spans="1:25" s="18" customFormat="1" ht="17.25" x14ac:dyDescent="0.35">
      <c r="A21" s="18" t="s">
        <v>58</v>
      </c>
      <c r="B21" s="35">
        <v>2048</v>
      </c>
      <c r="C21" s="35">
        <v>512</v>
      </c>
      <c r="D21" s="35">
        <v>128</v>
      </c>
      <c r="E21" s="35">
        <v>1.25</v>
      </c>
      <c r="F21" s="35"/>
      <c r="G21" s="35"/>
      <c r="H21" s="35">
        <v>6451</v>
      </c>
      <c r="I21" s="35">
        <v>768</v>
      </c>
      <c r="J21" s="35">
        <v>1060096</v>
      </c>
      <c r="K21" s="35">
        <v>64</v>
      </c>
      <c r="L21" s="35">
        <v>1</v>
      </c>
      <c r="M21" s="35"/>
      <c r="N21" s="35"/>
      <c r="O21" s="35">
        <v>45</v>
      </c>
      <c r="P21" s="35">
        <v>64</v>
      </c>
      <c r="Q21" s="35">
        <v>4</v>
      </c>
    </row>
    <row r="22" spans="1:25" s="18" customFormat="1" ht="17.25" x14ac:dyDescent="0.35">
      <c r="A22" s="18" t="s">
        <v>59</v>
      </c>
      <c r="B22" s="5">
        <v>0</v>
      </c>
      <c r="C22" s="5">
        <v>0</v>
      </c>
      <c r="D22" s="5">
        <v>0</v>
      </c>
      <c r="E22" s="5">
        <v>0</v>
      </c>
      <c r="F22" s="5">
        <f>O20*C20</f>
        <v>23040</v>
      </c>
      <c r="G22" s="5">
        <f>Q20*C20</f>
        <v>2048</v>
      </c>
      <c r="H22" s="5">
        <v>0</v>
      </c>
      <c r="I22" s="5">
        <v>0</v>
      </c>
      <c r="J22" s="5">
        <f>I20*C20-I20</f>
        <v>392448</v>
      </c>
      <c r="K22" s="5">
        <v>0</v>
      </c>
      <c r="L22" s="73">
        <v>1</v>
      </c>
      <c r="M22" s="73">
        <f>B20/D20</f>
        <v>16</v>
      </c>
      <c r="N22" s="39">
        <f>M20*C20</f>
        <v>8192</v>
      </c>
      <c r="O22" s="5">
        <v>0</v>
      </c>
      <c r="P22" s="5">
        <v>0</v>
      </c>
      <c r="Q22" s="5">
        <v>0</v>
      </c>
    </row>
    <row r="23" spans="1:25" s="18" customFormat="1" x14ac:dyDescent="0.25">
      <c r="A23" s="18" t="s">
        <v>61</v>
      </c>
      <c r="Y23"/>
    </row>
    <row r="25" spans="1:25" s="155" customFormat="1" ht="53.25" customHeight="1" x14ac:dyDescent="0.25">
      <c r="A25" s="111" t="s">
        <v>144</v>
      </c>
    </row>
    <row r="26" spans="1:25" x14ac:dyDescent="0.25">
      <c r="A26" s="24" t="s">
        <v>125</v>
      </c>
    </row>
    <row r="27" spans="1:25" ht="69" x14ac:dyDescent="0.25">
      <c r="A27" t="s">
        <v>9</v>
      </c>
      <c r="B27" s="28" t="s">
        <v>145</v>
      </c>
      <c r="C27" s="28" t="s">
        <v>132</v>
      </c>
      <c r="D27" s="28" t="s">
        <v>508</v>
      </c>
      <c r="E27" s="28" t="s">
        <v>147</v>
      </c>
      <c r="F27" s="28" t="s">
        <v>148</v>
      </c>
      <c r="G27" s="28" t="s">
        <v>149</v>
      </c>
      <c r="H27" s="28" t="s">
        <v>150</v>
      </c>
      <c r="I27" s="28" t="s">
        <v>151</v>
      </c>
      <c r="J27" s="28"/>
      <c r="K27" s="28"/>
      <c r="L27" s="28"/>
      <c r="M27" s="28"/>
      <c r="N27" s="28"/>
      <c r="O27" s="28"/>
    </row>
    <row r="28" spans="1:25" ht="17.25" x14ac:dyDescent="0.35">
      <c r="A28" s="18" t="s">
        <v>56</v>
      </c>
      <c r="B28" s="16" t="s">
        <v>1</v>
      </c>
      <c r="C28" s="16" t="s">
        <v>2</v>
      </c>
      <c r="D28" s="16" t="s">
        <v>2</v>
      </c>
      <c r="E28" s="16" t="s">
        <v>1</v>
      </c>
      <c r="F28" s="16" t="s">
        <v>1</v>
      </c>
      <c r="G28" s="16" t="s">
        <v>1</v>
      </c>
      <c r="H28" s="16" t="s">
        <v>2</v>
      </c>
      <c r="I28" s="16" t="s">
        <v>2</v>
      </c>
    </row>
    <row r="29" spans="1:25" ht="17.25" x14ac:dyDescent="0.35">
      <c r="A29" t="s">
        <v>57</v>
      </c>
      <c r="B29" s="73">
        <f>IF(B28=Inputs!$C$1,B30,B31)</f>
        <v>16</v>
      </c>
      <c r="C29" s="73">
        <f>IF(C28=Inputs!$C$1,C30,C31)</f>
        <v>2048</v>
      </c>
      <c r="D29" s="73">
        <f>IF(D28=Inputs!$C$1,D30,D31)</f>
        <v>9</v>
      </c>
      <c r="E29" s="73">
        <f>IF(E28=Inputs!$C$1,E30,E31)</f>
        <v>1</v>
      </c>
      <c r="F29" s="73">
        <f>IF(F28=Inputs!$C$1,F30,F31)</f>
        <v>5</v>
      </c>
      <c r="G29" s="73">
        <f>IF(G28=Inputs!$C$1,G30,G31)</f>
        <v>2</v>
      </c>
      <c r="H29" s="73">
        <f>IF(H28=Inputs!$C$1,H30,H31)</f>
        <v>2.5</v>
      </c>
      <c r="I29" s="73">
        <f>IF(I28=Inputs!$C$1,I30,I31)</f>
        <v>1.0850694444444444E-4</v>
      </c>
    </row>
    <row r="30" spans="1:25" ht="17.25" x14ac:dyDescent="0.35">
      <c r="A30" s="18" t="s">
        <v>58</v>
      </c>
      <c r="B30" s="35">
        <v>16</v>
      </c>
      <c r="C30" s="35"/>
      <c r="D30" s="35">
        <v>50</v>
      </c>
      <c r="E30" s="35">
        <v>1</v>
      </c>
      <c r="F30" s="35">
        <v>5</v>
      </c>
      <c r="G30" s="35">
        <v>2</v>
      </c>
      <c r="H30" s="35"/>
      <c r="I30" s="35"/>
    </row>
    <row r="31" spans="1:25" ht="17.25" x14ac:dyDescent="0.35">
      <c r="A31" s="18" t="s">
        <v>59</v>
      </c>
      <c r="B31" s="5">
        <v>0</v>
      </c>
      <c r="C31" s="5">
        <f>B20</f>
        <v>2048</v>
      </c>
      <c r="D31" s="5">
        <f>F29+2*G29</f>
        <v>9</v>
      </c>
      <c r="E31" s="5">
        <v>0</v>
      </c>
      <c r="F31" s="5">
        <v>0</v>
      </c>
      <c r="G31" s="5">
        <v>0</v>
      </c>
      <c r="H31" s="5">
        <f>C11*B29*(D29+E29)/1024^3</f>
        <v>2.5</v>
      </c>
      <c r="I31" s="5">
        <f>H29/F20</f>
        <v>1.0850694444444444E-4</v>
      </c>
    </row>
    <row r="32" spans="1:25" s="18" customFormat="1" x14ac:dyDescent="0.25">
      <c r="A32" s="18" t="s">
        <v>61</v>
      </c>
      <c r="X32"/>
    </row>
    <row r="34" spans="1:15" s="155" customFormat="1" ht="53.25" customHeight="1" x14ac:dyDescent="0.25">
      <c r="A34" s="111" t="s">
        <v>491</v>
      </c>
    </row>
    <row r="35" spans="1:15" x14ac:dyDescent="0.25">
      <c r="A35" s="24" t="s">
        <v>125</v>
      </c>
      <c r="B35" s="4"/>
    </row>
    <row r="36" spans="1:15" ht="69" x14ac:dyDescent="0.25">
      <c r="A36" t="s">
        <v>9</v>
      </c>
      <c r="B36" s="28" t="s">
        <v>159</v>
      </c>
      <c r="C36" s="28" t="s">
        <v>154</v>
      </c>
      <c r="D36" s="28" t="s">
        <v>492</v>
      </c>
      <c r="E36" s="28" t="s">
        <v>155</v>
      </c>
      <c r="F36" s="28" t="s">
        <v>493</v>
      </c>
      <c r="G36" s="28" t="s">
        <v>164</v>
      </c>
      <c r="H36" s="28" t="s">
        <v>494</v>
      </c>
      <c r="I36" s="28" t="s">
        <v>495</v>
      </c>
      <c r="J36" s="28" t="s">
        <v>151</v>
      </c>
      <c r="K36" s="28"/>
      <c r="L36" s="28"/>
      <c r="M36" s="28"/>
      <c r="N36" s="28"/>
      <c r="O36" s="28"/>
    </row>
    <row r="37" spans="1:15" ht="17.25" x14ac:dyDescent="0.35">
      <c r="A37" s="18" t="s">
        <v>56</v>
      </c>
      <c r="B37" s="16" t="s">
        <v>2</v>
      </c>
      <c r="C37" s="16" t="s">
        <v>2</v>
      </c>
      <c r="D37" s="16" t="s">
        <v>2</v>
      </c>
      <c r="E37" s="16" t="s">
        <v>2</v>
      </c>
      <c r="F37" s="16" t="s">
        <v>2</v>
      </c>
      <c r="G37" s="16" t="s">
        <v>2</v>
      </c>
      <c r="H37" s="16" t="s">
        <v>1</v>
      </c>
      <c r="I37" s="16" t="s">
        <v>2</v>
      </c>
      <c r="J37" s="16" t="s">
        <v>2</v>
      </c>
    </row>
    <row r="38" spans="1:15" ht="17.25" x14ac:dyDescent="0.35">
      <c r="A38" t="s">
        <v>57</v>
      </c>
      <c r="B38" s="73">
        <f>IF(B37=Inputs!$C$1,B39,B40)</f>
        <v>16</v>
      </c>
      <c r="C38" s="73">
        <f>IF(C37=Inputs!$C$1,C39,C40)</f>
        <v>131072</v>
      </c>
      <c r="D38" s="73">
        <f>IF(D37=Inputs!$C$1,D39,D40)</f>
        <v>480.74999999999994</v>
      </c>
      <c r="E38" s="73">
        <f>IF(E37=Inputs!$C$1,E39,E40)</f>
        <v>128</v>
      </c>
      <c r="F38" s="73">
        <f>IF(F37=Inputs!$C$1,F39,F40)</f>
        <v>480</v>
      </c>
      <c r="G38" s="73">
        <f>IF(G37=Inputs!$C$1,G39,G40)</f>
        <v>1.5624999999999999E-3</v>
      </c>
      <c r="H38" s="73">
        <f>IF(H37=Inputs!$C$1,H39,H40)</f>
        <v>0.01</v>
      </c>
      <c r="I38" s="73">
        <f>IF(I37=Inputs!$C$1,I39,I40)</f>
        <v>1.18896484375</v>
      </c>
      <c r="J38" s="73">
        <f>IF(J37=Inputs!$C$1,J39,J40)</f>
        <v>5.8054924011230469E-4</v>
      </c>
    </row>
    <row r="39" spans="1:15" ht="17.25" x14ac:dyDescent="0.35">
      <c r="A39" s="18" t="s">
        <v>58</v>
      </c>
      <c r="B39" s="35"/>
      <c r="C39" s="35"/>
      <c r="D39" s="16">
        <v>1000</v>
      </c>
      <c r="E39" s="35"/>
      <c r="F39" s="16">
        <v>50000</v>
      </c>
      <c r="G39" s="35"/>
      <c r="H39" s="35">
        <v>0.01</v>
      </c>
      <c r="I39" s="35"/>
      <c r="J39" s="35"/>
    </row>
    <row r="40" spans="1:15" ht="17.25" x14ac:dyDescent="0.35">
      <c r="A40" s="18" t="s">
        <v>59</v>
      </c>
      <c r="B40" s="5">
        <f>B29</f>
        <v>16</v>
      </c>
      <c r="C40" s="5">
        <f>E11</f>
        <v>131072</v>
      </c>
      <c r="D40" s="5">
        <f>F38*(1+G38)</f>
        <v>480.74999999999994</v>
      </c>
      <c r="E40" s="5">
        <f>E29*D20</f>
        <v>128</v>
      </c>
      <c r="F40" s="5">
        <f>G11*H11*I11+(G11*I11+G11*H11)*J11+P20*H11*I11*2/B38</f>
        <v>480</v>
      </c>
      <c r="G40" s="5">
        <f>L20*C29*F38*H38*B38/(D20*I20*1024)</f>
        <v>1.5624999999999999E-3</v>
      </c>
      <c r="H40" s="5">
        <v>0</v>
      </c>
      <c r="I40" s="5">
        <f>C38*B38*(D38+E38)/1024^3</f>
        <v>1.18896484375</v>
      </c>
      <c r="J40" s="5">
        <f>I38/G20</f>
        <v>5.8054924011230469E-4</v>
      </c>
    </row>
    <row r="41" spans="1:15" x14ac:dyDescent="0.25">
      <c r="A41" s="18" t="s">
        <v>61</v>
      </c>
      <c r="B41" t="s">
        <v>156</v>
      </c>
    </row>
    <row r="43" spans="1:15" s="155" customFormat="1" ht="53.25" customHeight="1" x14ac:dyDescent="0.25">
      <c r="A43" s="111" t="s">
        <v>496</v>
      </c>
    </row>
    <row r="44" spans="1:15" x14ac:dyDescent="0.25">
      <c r="A44" s="24" t="s">
        <v>125</v>
      </c>
    </row>
    <row r="45" spans="1:15" ht="69" x14ac:dyDescent="0.25">
      <c r="A45" t="s">
        <v>9</v>
      </c>
      <c r="B45" s="28" t="s">
        <v>159</v>
      </c>
      <c r="C45" s="28" t="s">
        <v>160</v>
      </c>
      <c r="D45" s="28" t="s">
        <v>178</v>
      </c>
      <c r="E45" s="28" t="s">
        <v>162</v>
      </c>
      <c r="F45" s="28" t="s">
        <v>163</v>
      </c>
      <c r="G45" s="28" t="s">
        <v>497</v>
      </c>
      <c r="H45" s="28" t="s">
        <v>165</v>
      </c>
      <c r="I45" s="28" t="s">
        <v>141</v>
      </c>
      <c r="J45" s="28" t="s">
        <v>179</v>
      </c>
      <c r="K45" s="28" t="s">
        <v>151</v>
      </c>
      <c r="L45" s="28" t="s">
        <v>167</v>
      </c>
      <c r="M45" s="28" t="s">
        <v>168</v>
      </c>
      <c r="N45" s="28"/>
    </row>
    <row r="46" spans="1:15" ht="17.25" x14ac:dyDescent="0.35">
      <c r="A46" s="18" t="s">
        <v>56</v>
      </c>
      <c r="B46" s="16" t="s">
        <v>2</v>
      </c>
      <c r="C46" s="16" t="s">
        <v>2</v>
      </c>
      <c r="D46" s="16" t="s">
        <v>2</v>
      </c>
      <c r="E46" s="16" t="s">
        <v>2</v>
      </c>
      <c r="F46" s="16" t="s">
        <v>2</v>
      </c>
      <c r="G46" s="16" t="s">
        <v>2</v>
      </c>
      <c r="H46" s="16" t="s">
        <v>1</v>
      </c>
      <c r="I46" s="16" t="s">
        <v>2</v>
      </c>
      <c r="J46" s="16" t="s">
        <v>2</v>
      </c>
      <c r="K46" s="16" t="s">
        <v>2</v>
      </c>
      <c r="L46" s="16" t="s">
        <v>1</v>
      </c>
      <c r="M46" s="16" t="s">
        <v>1</v>
      </c>
    </row>
    <row r="47" spans="1:15" ht="17.25" x14ac:dyDescent="0.35">
      <c r="A47" t="s">
        <v>57</v>
      </c>
      <c r="B47" s="73">
        <f>IF(B46=Inputs!$C$1,B48,B49)</f>
        <v>16</v>
      </c>
      <c r="C47" s="73">
        <f>IF(C46=Inputs!$C$1,C48,C49)</f>
        <v>16</v>
      </c>
      <c r="D47" s="73">
        <f>IF(D46=Inputs!$C$1,D48,D49)</f>
        <v>83954.806079684451</v>
      </c>
      <c r="E47" s="73">
        <f>IF(E46=Inputs!$C$1,E48,E49)</f>
        <v>1048576</v>
      </c>
      <c r="F47" s="73">
        <f>IF(F46=Inputs!$C$1,F48,F49)</f>
        <v>83952</v>
      </c>
      <c r="G47" s="73">
        <f>IF(G46=Inputs!$C$1,G48,G49)</f>
        <v>3.342481042074364E-5</v>
      </c>
      <c r="H47" s="73">
        <f>IF(H46=Inputs!$C$1,H48,H49)</f>
        <v>0.01</v>
      </c>
      <c r="I47" s="73">
        <f>IF(I46=Inputs!$C$1,I48,I49)</f>
        <v>8192</v>
      </c>
      <c r="J47" s="73">
        <f>IF(J46=Inputs!$C$1,J48,J49)</f>
        <v>0.2700163855742656</v>
      </c>
      <c r="K47" s="73">
        <f>IF(K46=Inputs!$C$1,K48,K49)</f>
        <v>4.1856516133043809E-5</v>
      </c>
      <c r="L47" s="73">
        <v>106</v>
      </c>
      <c r="M47" s="73">
        <v>3</v>
      </c>
    </row>
    <row r="48" spans="1:15" ht="17.25" x14ac:dyDescent="0.35">
      <c r="A48" s="18" t="s">
        <v>58</v>
      </c>
      <c r="B48" s="35"/>
      <c r="C48" s="35"/>
      <c r="D48" s="16">
        <v>200000</v>
      </c>
      <c r="E48" s="35"/>
      <c r="F48" s="16">
        <v>700000000</v>
      </c>
      <c r="G48" s="35"/>
      <c r="H48" s="35">
        <v>0.01</v>
      </c>
      <c r="I48" s="35"/>
      <c r="J48" s="35"/>
      <c r="K48" s="35"/>
      <c r="L48" s="35">
        <v>106</v>
      </c>
      <c r="M48" s="35">
        <v>3</v>
      </c>
    </row>
    <row r="49" spans="1:13" ht="17.25" x14ac:dyDescent="0.35">
      <c r="A49" s="18" t="s">
        <v>59</v>
      </c>
      <c r="B49" s="5">
        <f>B29</f>
        <v>16</v>
      </c>
      <c r="C49" s="5">
        <f>F11</f>
        <v>16</v>
      </c>
      <c r="D49" s="5">
        <f>F47*(1+G47)</f>
        <v>83954.806079684451</v>
      </c>
      <c r="E49" s="5">
        <f>I47*E38</f>
        <v>1048576</v>
      </c>
      <c r="F49" s="5">
        <f>(B11+2*K20/B47)*L47*M47</f>
        <v>83952</v>
      </c>
      <c r="G49" s="5">
        <f>F47*B47*H47/(J20*1024)</f>
        <v>3.342481042074364E-5</v>
      </c>
      <c r="H49" s="5">
        <v>0</v>
      </c>
      <c r="I49" s="5">
        <f>N20</f>
        <v>8192</v>
      </c>
      <c r="J49" s="5">
        <f>B47*C47*(D47+E47)/1024^3</f>
        <v>0.2700163855742656</v>
      </c>
      <c r="K49" s="5">
        <f>J47/H20</f>
        <v>4.1856516133043809E-5</v>
      </c>
      <c r="L49" s="5">
        <v>0</v>
      </c>
      <c r="M49" s="5">
        <v>0</v>
      </c>
    </row>
    <row r="50" spans="1:13" x14ac:dyDescent="0.25">
      <c r="A50" s="18" t="s">
        <v>61</v>
      </c>
      <c r="B50" t="s">
        <v>172</v>
      </c>
    </row>
    <row r="53" spans="1:13" s="169" customFormat="1" x14ac:dyDescent="0.25"/>
    <row r="54" spans="1:13" x14ac:dyDescent="0.25">
      <c r="A54" s="12">
        <f>J47</f>
        <v>0.2700163855742656</v>
      </c>
      <c r="B54" s="12">
        <f>I38</f>
        <v>1.18896484375</v>
      </c>
      <c r="C54" s="39">
        <f>H29</f>
        <v>2.5</v>
      </c>
      <c r="D54" s="39">
        <f>B3</f>
        <v>5.8054924011230469E-4</v>
      </c>
      <c r="E54" s="39">
        <f>LPDDR_3d_SRAM!B3</f>
        <v>1.7056371720258661E-4</v>
      </c>
      <c r="F54" s="39">
        <f>(C54+B54)/A54</f>
        <v>13.662003644350625</v>
      </c>
      <c r="G54" s="12">
        <f>J47</f>
        <v>0.2700163855742656</v>
      </c>
      <c r="H54" s="12">
        <f>I38</f>
        <v>1.18896484375</v>
      </c>
      <c r="I54" s="39">
        <f>H29</f>
        <v>2.5</v>
      </c>
      <c r="J54" s="39">
        <f>B3</f>
        <v>5.8054924011230469E-4</v>
      </c>
      <c r="K54" s="39">
        <f>LPDDR_3d_SRAM!B3</f>
        <v>1.7056371720258661E-4</v>
      </c>
    </row>
    <row r="55" spans="1:13" s="170" customFormat="1" x14ac:dyDescent="0.25">
      <c r="A55" s="171" t="s">
        <v>498</v>
      </c>
      <c r="B55" s="171" t="s">
        <v>499</v>
      </c>
      <c r="C55" s="171" t="s">
        <v>500</v>
      </c>
      <c r="D55" s="171" t="s">
        <v>504</v>
      </c>
      <c r="E55" s="171" t="s">
        <v>505</v>
      </c>
      <c r="F55" s="171" t="s">
        <v>502</v>
      </c>
      <c r="G55" s="172" t="s">
        <v>503</v>
      </c>
      <c r="H55" s="172" t="s">
        <v>499</v>
      </c>
      <c r="I55" s="172" t="s">
        <v>500</v>
      </c>
      <c r="J55" s="172" t="s">
        <v>504</v>
      </c>
      <c r="K55" s="172" t="s">
        <v>505</v>
      </c>
      <c r="L55" s="172" t="s">
        <v>502</v>
      </c>
      <c r="M55" s="172" t="s">
        <v>506</v>
      </c>
    </row>
    <row r="56" spans="1:13" s="170" customFormat="1" x14ac:dyDescent="0.25">
      <c r="A56" s="171" t="s">
        <v>509</v>
      </c>
      <c r="B56" s="171"/>
      <c r="C56" s="171"/>
      <c r="D56" s="171"/>
      <c r="E56" s="171"/>
      <c r="G56" s="12">
        <v>0.26</v>
      </c>
      <c r="H56" s="12">
        <v>0.45</v>
      </c>
      <c r="I56" s="12">
        <v>2.5</v>
      </c>
      <c r="J56" s="39">
        <v>5.5699999999999999E-5</v>
      </c>
      <c r="K56" s="39">
        <v>1.64E-4</v>
      </c>
      <c r="L56">
        <f>(H56+I56)/G56</f>
        <v>11.346153846153847</v>
      </c>
      <c r="M56"/>
    </row>
    <row r="57" spans="1:13" x14ac:dyDescent="0.25">
      <c r="A57" s="12">
        <v>0.27</v>
      </c>
      <c r="B57" s="12">
        <v>0.45</v>
      </c>
      <c r="C57" s="12">
        <v>2.5</v>
      </c>
      <c r="D57" s="39">
        <v>1.0900000000000001E-4</v>
      </c>
      <c r="E57" s="39">
        <v>1.7100000000000001E-4</v>
      </c>
      <c r="F57">
        <f>(C57+B57)/A57</f>
        <v>10.925925925925926</v>
      </c>
      <c r="G57">
        <v>0.26</v>
      </c>
      <c r="H57">
        <v>0.74</v>
      </c>
      <c r="I57">
        <v>2.5</v>
      </c>
      <c r="J57" s="18">
        <v>9.2299999999999994E-5</v>
      </c>
      <c r="K57" s="18">
        <v>1.64E-4</v>
      </c>
      <c r="L57">
        <f t="shared" ref="L57:L70" si="0">(H57+I57)/G57</f>
        <v>12.461538461538462</v>
      </c>
    </row>
    <row r="58" spans="1:13" x14ac:dyDescent="0.25">
      <c r="A58">
        <v>0.27001596422479601</v>
      </c>
      <c r="B58">
        <v>0.64087931315104174</v>
      </c>
      <c r="C58" s="18">
        <v>2.5</v>
      </c>
      <c r="D58" s="39">
        <v>1.5646467606226605E-4</v>
      </c>
      <c r="E58" s="39">
        <v>1.705634864797709E-4</v>
      </c>
      <c r="F58">
        <f t="shared" ref="F58:F79" si="1">(C58+B58)/A58</f>
        <v>11.632198570808095</v>
      </c>
      <c r="G58">
        <v>0.26</v>
      </c>
      <c r="H58">
        <v>1.23</v>
      </c>
      <c r="I58">
        <v>2.5</v>
      </c>
      <c r="J58" s="18">
        <v>1.54E-4</v>
      </c>
      <c r="K58" s="18">
        <v>1.64E-4</v>
      </c>
      <c r="L58">
        <f t="shared" si="0"/>
        <v>14.346153846153845</v>
      </c>
    </row>
    <row r="59" spans="1:13" x14ac:dyDescent="0.25">
      <c r="A59">
        <v>0.27001596422479601</v>
      </c>
      <c r="B59">
        <v>1.2281519571940105</v>
      </c>
      <c r="C59" s="18">
        <v>2.5</v>
      </c>
      <c r="D59" s="39">
        <v>2.9984178642431897E-4</v>
      </c>
      <c r="E59" s="39">
        <v>1.705634864797709E-4</v>
      </c>
      <c r="F59">
        <f t="shared" si="1"/>
        <v>13.807153839578973</v>
      </c>
      <c r="G59">
        <v>0.26</v>
      </c>
      <c r="H59">
        <v>2.21</v>
      </c>
      <c r="I59">
        <v>2.5</v>
      </c>
      <c r="J59" s="18">
        <v>2.7599999999999999E-4</v>
      </c>
      <c r="K59" s="18">
        <v>1.64E-4</v>
      </c>
      <c r="L59">
        <f t="shared" si="0"/>
        <v>18.115384615384613</v>
      </c>
    </row>
    <row r="60" spans="1:13" x14ac:dyDescent="0.25">
      <c r="A60">
        <v>0.27001596422479601</v>
      </c>
      <c r="B60">
        <v>2.2094828287760415</v>
      </c>
      <c r="C60" s="18">
        <v>2.5</v>
      </c>
      <c r="D60" s="39">
        <v>5.3942451874415076E-4</v>
      </c>
      <c r="E60" s="39">
        <v>1.705634864797709E-4</v>
      </c>
      <c r="F60">
        <f t="shared" si="1"/>
        <v>17.441497736242223</v>
      </c>
      <c r="G60">
        <v>0.26</v>
      </c>
      <c r="H60">
        <v>2.21</v>
      </c>
      <c r="I60">
        <v>3.75</v>
      </c>
      <c r="J60" s="18">
        <v>2.7599999999999999E-4</v>
      </c>
      <c r="K60" s="18">
        <v>1.64E-4</v>
      </c>
      <c r="L60">
        <f t="shared" si="0"/>
        <v>22.923076923076923</v>
      </c>
    </row>
    <row r="61" spans="1:13" x14ac:dyDescent="0.25">
      <c r="A61">
        <v>0.27001596422479601</v>
      </c>
      <c r="B61">
        <v>2.2094828287760415</v>
      </c>
      <c r="C61" s="18">
        <v>3.75</v>
      </c>
      <c r="D61" s="39">
        <v>5.3942451874415076E-4</v>
      </c>
      <c r="E61" s="39">
        <v>1.705634864797709E-4</v>
      </c>
      <c r="F61">
        <f t="shared" si="1"/>
        <v>22.070853647062886</v>
      </c>
      <c r="G61">
        <v>0.26</v>
      </c>
      <c r="H61">
        <v>2.21</v>
      </c>
      <c r="I61">
        <v>6.25</v>
      </c>
      <c r="J61" s="18">
        <v>2.7599999999999999E-4</v>
      </c>
      <c r="K61" s="18">
        <v>1.64E-4</v>
      </c>
      <c r="L61">
        <f t="shared" si="0"/>
        <v>32.53846153846154</v>
      </c>
    </row>
    <row r="62" spans="1:13" x14ac:dyDescent="0.25">
      <c r="A62">
        <v>0.27001596422479601</v>
      </c>
      <c r="B62">
        <v>2.2094828287760415</v>
      </c>
      <c r="C62" s="18">
        <v>6.25</v>
      </c>
      <c r="D62" s="39">
        <v>5.3942451874415076E-4</v>
      </c>
      <c r="E62" s="39">
        <v>1.705634864797709E-4</v>
      </c>
      <c r="F62">
        <f t="shared" si="1"/>
        <v>31.329565468704214</v>
      </c>
      <c r="G62">
        <v>0.26</v>
      </c>
      <c r="H62">
        <v>2.21</v>
      </c>
      <c r="I62" s="18">
        <v>13.8</v>
      </c>
      <c r="J62" s="18">
        <v>2.7599999999999999E-4</v>
      </c>
      <c r="K62" s="18">
        <v>1.64E-4</v>
      </c>
      <c r="L62">
        <f t="shared" si="0"/>
        <v>61.57692307692308</v>
      </c>
    </row>
    <row r="63" spans="1:13" x14ac:dyDescent="0.25">
      <c r="A63">
        <v>0.27001596422479601</v>
      </c>
      <c r="B63">
        <v>2.2094828287760415</v>
      </c>
      <c r="C63" s="18">
        <v>13.75</v>
      </c>
      <c r="D63" s="39">
        <v>5.3942451874415076E-4</v>
      </c>
      <c r="E63" s="39">
        <v>1.705634864797709E-4</v>
      </c>
      <c r="F63">
        <f t="shared" si="1"/>
        <v>59.105700933628185</v>
      </c>
      <c r="G63">
        <v>0.26</v>
      </c>
      <c r="H63">
        <v>2.21</v>
      </c>
      <c r="I63" s="18">
        <v>26.3</v>
      </c>
      <c r="J63" s="18">
        <v>4.17E-4</v>
      </c>
      <c r="K63" s="18">
        <v>1.64E-4</v>
      </c>
      <c r="L63">
        <f t="shared" si="0"/>
        <v>109.65384615384616</v>
      </c>
    </row>
    <row r="64" spans="1:13" x14ac:dyDescent="0.25">
      <c r="A64">
        <v>0.27001596422479601</v>
      </c>
      <c r="B64">
        <v>2.2094828287760415</v>
      </c>
      <c r="C64" s="18">
        <v>26.25</v>
      </c>
      <c r="D64" s="39">
        <v>8.1380208333333337E-4</v>
      </c>
      <c r="E64" s="39">
        <v>2.6842686518324606E-4</v>
      </c>
      <c r="F64">
        <f t="shared" si="1"/>
        <v>105.39926004183482</v>
      </c>
      <c r="G64">
        <v>0.26</v>
      </c>
      <c r="H64">
        <v>2.21</v>
      </c>
      <c r="I64" s="18">
        <v>51.3</v>
      </c>
      <c r="J64" s="18">
        <v>8.1300000000000003E-4</v>
      </c>
      <c r="K64" s="18">
        <v>2.6800000000000001E-4</v>
      </c>
      <c r="L64">
        <f t="shared" si="0"/>
        <v>205.80769230769229</v>
      </c>
    </row>
    <row r="65" spans="1:12" x14ac:dyDescent="0.25">
      <c r="A65">
        <v>0.27001596422479601</v>
      </c>
      <c r="B65">
        <v>2.2094828287760415</v>
      </c>
      <c r="C65" s="18">
        <v>51.25</v>
      </c>
      <c r="D65" s="39">
        <v>1.5888516865079365E-3</v>
      </c>
      <c r="E65" s="39">
        <v>5.2407149869109946E-4</v>
      </c>
      <c r="F65">
        <f t="shared" si="1"/>
        <v>197.98637825824807</v>
      </c>
      <c r="G65">
        <v>0.26</v>
      </c>
      <c r="H65">
        <v>2.21</v>
      </c>
      <c r="I65" s="18">
        <v>126</v>
      </c>
      <c r="J65" s="18">
        <v>2E-3</v>
      </c>
      <c r="K65" s="18">
        <v>6.6100000000000002E-4</v>
      </c>
      <c r="L65">
        <f t="shared" si="0"/>
        <v>493.11538461538464</v>
      </c>
    </row>
    <row r="66" spans="1:12" x14ac:dyDescent="0.25">
      <c r="A66">
        <v>0.27001596422479601</v>
      </c>
      <c r="B66">
        <v>2.2094828287760415</v>
      </c>
      <c r="C66" s="18">
        <v>126.25</v>
      </c>
      <c r="D66" s="39">
        <v>3.914000496031746E-3</v>
      </c>
      <c r="E66" s="39">
        <v>1.2910053992146596E-3</v>
      </c>
      <c r="F66">
        <f t="shared" si="1"/>
        <v>475.74773290748777</v>
      </c>
      <c r="G66">
        <v>0.26</v>
      </c>
      <c r="H66">
        <v>2.21</v>
      </c>
      <c r="I66" s="18">
        <v>251</v>
      </c>
      <c r="J66" s="18">
        <v>3.9899999999999996E-3</v>
      </c>
      <c r="K66" s="18">
        <v>1.32E-3</v>
      </c>
      <c r="L66">
        <f t="shared" si="0"/>
        <v>973.88461538461536</v>
      </c>
    </row>
    <row r="67" spans="1:12" x14ac:dyDescent="0.25">
      <c r="A67">
        <v>0.27001596422479601</v>
      </c>
      <c r="B67">
        <v>2.2094828287760415</v>
      </c>
      <c r="C67" s="18">
        <v>251.25</v>
      </c>
      <c r="D67" s="39">
        <v>7.789248511904762E-3</v>
      </c>
      <c r="E67" s="39">
        <v>2.5692285667539266E-3</v>
      </c>
      <c r="F67">
        <f t="shared" si="1"/>
        <v>938.68332398955408</v>
      </c>
      <c r="G67">
        <v>0.31</v>
      </c>
      <c r="H67">
        <v>2.21</v>
      </c>
      <c r="I67" s="18">
        <v>251</v>
      </c>
      <c r="J67" s="18">
        <v>3.9899999999999996E-3</v>
      </c>
      <c r="K67" s="18">
        <v>1.32E-3</v>
      </c>
      <c r="L67">
        <f t="shared" si="0"/>
        <v>816.80645161290329</v>
      </c>
    </row>
    <row r="68" spans="1:12" x14ac:dyDescent="0.25">
      <c r="A68">
        <v>0.27001596422479601</v>
      </c>
      <c r="B68">
        <v>4.181681315104167</v>
      </c>
      <c r="C68" s="18">
        <v>251.25</v>
      </c>
      <c r="D68" s="39">
        <v>7.789248511904762E-3</v>
      </c>
      <c r="E68" s="39">
        <v>2.5692285667539266E-3</v>
      </c>
      <c r="F68">
        <f t="shared" si="1"/>
        <v>945.98733096554975</v>
      </c>
      <c r="G68">
        <v>0.37</v>
      </c>
      <c r="H68">
        <v>2.21</v>
      </c>
      <c r="I68" s="18">
        <v>251</v>
      </c>
      <c r="J68" s="18">
        <v>3.9899999999999996E-3</v>
      </c>
      <c r="K68" s="18">
        <v>1.32E-3</v>
      </c>
      <c r="L68">
        <f t="shared" si="0"/>
        <v>684.35135135135135</v>
      </c>
    </row>
    <row r="69" spans="1:12" x14ac:dyDescent="0.25">
      <c r="A69">
        <v>0.27001596422479601</v>
      </c>
      <c r="B69">
        <v>20.417032877604164</v>
      </c>
      <c r="C69" s="18">
        <v>251.25</v>
      </c>
      <c r="D69" s="39">
        <v>7.789248511904762E-3</v>
      </c>
      <c r="E69" s="39">
        <v>2.5692285667539266E-3</v>
      </c>
      <c r="F69">
        <f t="shared" si="1"/>
        <v>1006.1147075416386</v>
      </c>
      <c r="G69">
        <v>0.86</v>
      </c>
      <c r="H69">
        <v>2.21</v>
      </c>
      <c r="I69" s="18">
        <v>251</v>
      </c>
      <c r="J69" s="18">
        <v>3.9899999999999996E-3</v>
      </c>
      <c r="K69" s="18">
        <v>1.32E-3</v>
      </c>
      <c r="L69">
        <f t="shared" si="0"/>
        <v>294.43023255813955</v>
      </c>
    </row>
    <row r="70" spans="1:12" x14ac:dyDescent="0.25">
      <c r="A70">
        <v>0.27001596422479601</v>
      </c>
      <c r="B70">
        <v>53.051767985026039</v>
      </c>
      <c r="C70" s="18">
        <v>251.25</v>
      </c>
      <c r="D70" s="39">
        <v>1.2952091793219248E-2</v>
      </c>
      <c r="E70" s="39">
        <v>2.5692285667539266E-3</v>
      </c>
      <c r="F70">
        <f t="shared" si="1"/>
        <v>1126.9769506357266</v>
      </c>
      <c r="G70">
        <v>2.09</v>
      </c>
      <c r="H70">
        <v>2.21</v>
      </c>
      <c r="I70" s="18">
        <v>251</v>
      </c>
      <c r="J70" s="18">
        <v>3.9899999999999996E-3</v>
      </c>
      <c r="K70" s="18">
        <v>1.32E-3</v>
      </c>
      <c r="L70">
        <f t="shared" si="0"/>
        <v>121.15311004784691</v>
      </c>
    </row>
    <row r="71" spans="1:12" x14ac:dyDescent="0.25">
      <c r="A71">
        <v>0.27001596422479601</v>
      </c>
      <c r="B71">
        <v>113.80082194010417</v>
      </c>
      <c r="C71" s="18">
        <v>251.25</v>
      </c>
      <c r="D71" s="39">
        <v>2.7783403793970745E-2</v>
      </c>
      <c r="E71" s="39">
        <v>3.3516595140099525E-3</v>
      </c>
      <c r="F71">
        <f t="shared" si="1"/>
        <v>1351.96014423869</v>
      </c>
      <c r="G71" s="173"/>
      <c r="H71" s="173"/>
      <c r="I71" s="173"/>
      <c r="J71" s="173"/>
      <c r="K71" s="173"/>
      <c r="L71" s="173"/>
    </row>
    <row r="72" spans="1:12" x14ac:dyDescent="0.25">
      <c r="A72">
        <v>0.36921807481715918</v>
      </c>
      <c r="B72">
        <v>113.80082194010417</v>
      </c>
      <c r="C72" s="18">
        <v>251.25</v>
      </c>
      <c r="D72" s="39">
        <v>2.7783403793970745E-2</v>
      </c>
      <c r="E72" s="39">
        <v>3.3516595140099525E-3</v>
      </c>
      <c r="F72">
        <f t="shared" si="1"/>
        <v>988.71330208002769</v>
      </c>
      <c r="G72">
        <v>0.26</v>
      </c>
      <c r="H72">
        <v>1.03</v>
      </c>
      <c r="I72" s="18">
        <v>251</v>
      </c>
      <c r="J72" s="18">
        <v>3.9899999999999996E-3</v>
      </c>
      <c r="K72" s="18">
        <v>1.32E-3</v>
      </c>
      <c r="L72" s="18">
        <f>(I72+H72)/G72</f>
        <v>969.34615384615381</v>
      </c>
    </row>
    <row r="73" spans="1:12" x14ac:dyDescent="0.25">
      <c r="A73">
        <v>0.84626607941335397</v>
      </c>
      <c r="B73">
        <v>113.80082194010417</v>
      </c>
      <c r="C73" s="18">
        <v>251.25</v>
      </c>
      <c r="D73" s="39">
        <v>2.7783403793970745E-2</v>
      </c>
      <c r="E73" s="39">
        <v>3.3516595140099525E-3</v>
      </c>
      <c r="F73">
        <f t="shared" si="1"/>
        <v>431.36648250531749</v>
      </c>
      <c r="G73">
        <v>0.26</v>
      </c>
      <c r="H73">
        <v>2.21</v>
      </c>
      <c r="I73" s="18">
        <v>251</v>
      </c>
      <c r="J73" s="18">
        <v>3.9899999999999996E-3</v>
      </c>
      <c r="K73" s="18">
        <v>1.32E-3</v>
      </c>
      <c r="L73" s="18">
        <f t="shared" ref="L73:L85" si="2">(I73+H73)/G73</f>
        <v>973.88461538461536</v>
      </c>
    </row>
    <row r="74" spans="1:12" x14ac:dyDescent="0.25">
      <c r="A74">
        <v>2.637699897566788</v>
      </c>
      <c r="B74">
        <v>113.80082194010417</v>
      </c>
      <c r="C74" s="18">
        <v>251.25</v>
      </c>
      <c r="D74" s="39">
        <v>2.7783403793970745E-2</v>
      </c>
      <c r="E74" s="39">
        <v>3.3516595140099525E-3</v>
      </c>
      <c r="F74">
        <f t="shared" si="1"/>
        <v>138.39740535944003</v>
      </c>
      <c r="G74">
        <v>0.26</v>
      </c>
      <c r="H74">
        <v>4.18</v>
      </c>
      <c r="I74" s="18">
        <v>251</v>
      </c>
      <c r="J74" s="18">
        <v>3.9899999999999996E-3</v>
      </c>
      <c r="K74" s="18">
        <v>1.32E-3</v>
      </c>
      <c r="L74" s="18">
        <f t="shared" si="2"/>
        <v>981.46153846153845</v>
      </c>
    </row>
    <row r="75" spans="1:12" x14ac:dyDescent="0.25">
      <c r="A75">
        <v>6.2324276434838328</v>
      </c>
      <c r="B75">
        <v>113.80082194010417</v>
      </c>
      <c r="C75" s="18">
        <v>251.25</v>
      </c>
      <c r="D75" s="39">
        <v>2.7783403793970745E-2</v>
      </c>
      <c r="E75" s="39">
        <v>3.9074887796768515E-3</v>
      </c>
      <c r="F75">
        <f t="shared" si="1"/>
        <v>58.572813488139637</v>
      </c>
      <c r="G75">
        <v>0.26</v>
      </c>
      <c r="H75">
        <v>20.420000000000002</v>
      </c>
      <c r="I75" s="18">
        <v>251</v>
      </c>
      <c r="J75" s="18">
        <v>3.9899999999999996E-3</v>
      </c>
      <c r="K75" s="18">
        <v>1.32E-3</v>
      </c>
      <c r="L75" s="18">
        <f t="shared" si="2"/>
        <v>1043.9230769230769</v>
      </c>
    </row>
    <row r="76" spans="1:12" x14ac:dyDescent="0.25">
      <c r="A76">
        <v>12.258781618857206</v>
      </c>
      <c r="B76">
        <v>113.80082194010417</v>
      </c>
      <c r="C76" s="18">
        <v>251.25</v>
      </c>
      <c r="D76" s="39">
        <v>2.7783403793970745E-2</v>
      </c>
      <c r="E76" s="39">
        <v>7.6795683233642697E-3</v>
      </c>
      <c r="F76">
        <f t="shared" si="1"/>
        <v>29.778719720282865</v>
      </c>
      <c r="G76">
        <v>0.26</v>
      </c>
      <c r="H76">
        <v>53.05</v>
      </c>
      <c r="I76" s="18">
        <v>251</v>
      </c>
      <c r="J76" s="18">
        <v>6.6299999999999996E-3</v>
      </c>
      <c r="K76" s="18">
        <v>1.32E-3</v>
      </c>
      <c r="L76" s="18">
        <f t="shared" si="2"/>
        <v>1169.4230769230769</v>
      </c>
    </row>
    <row r="77" spans="1:12" x14ac:dyDescent="0.25">
      <c r="A77">
        <v>24.443268565272572</v>
      </c>
      <c r="B77">
        <v>113.80082194010417</v>
      </c>
      <c r="C77" s="18">
        <v>251.25</v>
      </c>
      <c r="D77" s="39">
        <v>2.7783403793970745E-2</v>
      </c>
      <c r="E77" s="39">
        <v>1.528808793806492E-2</v>
      </c>
      <c r="F77">
        <f t="shared" si="1"/>
        <v>14.934615678148093</v>
      </c>
      <c r="G77">
        <v>0.26</v>
      </c>
      <c r="H77">
        <v>113.8</v>
      </c>
      <c r="I77" s="18">
        <v>251</v>
      </c>
      <c r="J77" s="18">
        <v>1.4200000000000001E-2</v>
      </c>
      <c r="K77" s="18">
        <v>1.73E-3</v>
      </c>
      <c r="L77" s="18">
        <f t="shared" si="2"/>
        <v>1403.0769230769231</v>
      </c>
    </row>
    <row r="78" spans="1:12" x14ac:dyDescent="0.25">
      <c r="A78">
        <v>49.339358440777779</v>
      </c>
      <c r="B78">
        <v>113.80082194010417</v>
      </c>
      <c r="C78" s="18">
        <v>251.25</v>
      </c>
      <c r="D78" s="39">
        <v>2.7783403793970745E-2</v>
      </c>
      <c r="E78" s="39">
        <v>3.0762569276769482E-2</v>
      </c>
      <c r="F78">
        <f t="shared" si="1"/>
        <v>7.3987752065782546</v>
      </c>
      <c r="G78">
        <v>0.37</v>
      </c>
      <c r="H78">
        <v>113.8</v>
      </c>
      <c r="I78" s="18">
        <v>251</v>
      </c>
      <c r="J78" s="18">
        <v>1.4200000000000001E-2</v>
      </c>
      <c r="K78" s="18">
        <v>1.72E-3</v>
      </c>
      <c r="L78" s="18">
        <f t="shared" si="2"/>
        <v>985.94594594594594</v>
      </c>
    </row>
    <row r="79" spans="1:12" x14ac:dyDescent="0.25">
      <c r="A79">
        <v>101.24000212248615</v>
      </c>
      <c r="B79">
        <v>113.80082194010417</v>
      </c>
      <c r="C79" s="18">
        <v>251.25</v>
      </c>
      <c r="D79" s="39">
        <v>2.7783403793970745E-2</v>
      </c>
      <c r="E79" s="39">
        <v>6.2741300391391655E-2</v>
      </c>
      <c r="F79">
        <f t="shared" si="1"/>
        <v>3.6057962691312877</v>
      </c>
      <c r="G79">
        <v>0.86</v>
      </c>
      <c r="H79">
        <v>113.8</v>
      </c>
      <c r="I79" s="18">
        <v>251</v>
      </c>
      <c r="J79" s="18">
        <v>1.4200000000000001E-2</v>
      </c>
      <c r="K79" s="18">
        <v>1.72E-3</v>
      </c>
      <c r="L79" s="18">
        <f t="shared" si="2"/>
        <v>424.18604651162792</v>
      </c>
    </row>
    <row r="80" spans="1:12" x14ac:dyDescent="0.25">
      <c r="C80" s="18"/>
      <c r="D80" s="39"/>
      <c r="E80" s="39"/>
      <c r="G80">
        <v>2.7</v>
      </c>
      <c r="H80">
        <v>113.8</v>
      </c>
      <c r="I80" s="18">
        <v>251</v>
      </c>
      <c r="J80" s="18">
        <v>1.4200000000000001E-2</v>
      </c>
      <c r="K80" s="18">
        <v>1.72E-3</v>
      </c>
      <c r="L80" s="18">
        <f t="shared" si="2"/>
        <v>135.11111111111111</v>
      </c>
    </row>
    <row r="81" spans="1:12" x14ac:dyDescent="0.25">
      <c r="A81" s="171" t="s">
        <v>510</v>
      </c>
      <c r="B81" s="171" t="s">
        <v>511</v>
      </c>
      <c r="C81" s="171" t="s">
        <v>512</v>
      </c>
      <c r="D81" s="171" t="s">
        <v>513</v>
      </c>
      <c r="E81" s="18"/>
      <c r="G81" s="18">
        <v>6.4</v>
      </c>
      <c r="H81">
        <v>113.8</v>
      </c>
      <c r="I81" s="18">
        <v>251</v>
      </c>
      <c r="J81" s="18">
        <v>1.4200000000000001E-2</v>
      </c>
      <c r="K81" s="18">
        <v>4.0099999999999997E-3</v>
      </c>
      <c r="L81" s="18">
        <f t="shared" si="2"/>
        <v>57</v>
      </c>
    </row>
    <row r="82" spans="1:12" x14ac:dyDescent="0.25">
      <c r="A82">
        <v>80000</v>
      </c>
      <c r="B82">
        <v>100</v>
      </c>
      <c r="C82">
        <v>5</v>
      </c>
      <c r="D82" s="18"/>
      <c r="E82" s="18"/>
      <c r="G82" s="18">
        <v>12.64</v>
      </c>
      <c r="H82">
        <v>113.8</v>
      </c>
      <c r="I82" s="18">
        <v>251</v>
      </c>
      <c r="J82" s="18">
        <v>1.4200000000000001E-2</v>
      </c>
      <c r="K82" s="18">
        <v>7.9000000000000008E-3</v>
      </c>
      <c r="L82" s="18">
        <f t="shared" si="2"/>
        <v>28.860759493670887</v>
      </c>
    </row>
    <row r="83" spans="1:12" x14ac:dyDescent="0.25">
      <c r="A83">
        <v>80000</v>
      </c>
      <c r="B83">
        <v>250</v>
      </c>
      <c r="C83">
        <v>5</v>
      </c>
      <c r="D83" s="18"/>
      <c r="E83" s="18"/>
      <c r="G83" s="18">
        <v>25.38</v>
      </c>
      <c r="H83">
        <v>113.8</v>
      </c>
      <c r="I83" s="18">
        <v>251</v>
      </c>
      <c r="J83" s="18">
        <v>1.4200000000000001E-2</v>
      </c>
      <c r="K83" s="18">
        <v>1.5800000000000002E-2</v>
      </c>
      <c r="L83" s="18">
        <f t="shared" si="2"/>
        <v>14.373522458628843</v>
      </c>
    </row>
    <row r="84" spans="1:12" x14ac:dyDescent="0.25">
      <c r="A84">
        <v>80000</v>
      </c>
      <c r="B84">
        <v>500</v>
      </c>
      <c r="C84">
        <v>5</v>
      </c>
      <c r="G84" s="18">
        <v>65.78</v>
      </c>
      <c r="H84">
        <v>113.8</v>
      </c>
      <c r="I84" s="18">
        <v>251</v>
      </c>
      <c r="J84" s="18">
        <v>1.4200000000000001E-2</v>
      </c>
      <c r="K84" s="18">
        <v>4.07E-2</v>
      </c>
      <c r="L84" s="18">
        <f t="shared" si="2"/>
        <v>5.5457585892368506</v>
      </c>
    </row>
    <row r="85" spans="1:12" x14ac:dyDescent="0.25">
      <c r="A85">
        <v>80000</v>
      </c>
      <c r="B85">
        <v>1000</v>
      </c>
      <c r="C85">
        <v>5</v>
      </c>
      <c r="G85" s="18">
        <v>109.42</v>
      </c>
      <c r="H85">
        <v>113.8</v>
      </c>
      <c r="I85" s="18">
        <v>251</v>
      </c>
      <c r="J85" s="18">
        <v>1.4200000000000001E-2</v>
      </c>
      <c r="K85" s="18">
        <v>6.7100000000000007E-2</v>
      </c>
      <c r="L85" s="18">
        <f t="shared" si="2"/>
        <v>3.3339426064704809</v>
      </c>
    </row>
    <row r="86" spans="1:12" x14ac:dyDescent="0.25">
      <c r="A86">
        <v>80000</v>
      </c>
      <c r="B86">
        <v>1000</v>
      </c>
      <c r="C86">
        <v>10</v>
      </c>
      <c r="G86" s="173"/>
      <c r="H86" s="173"/>
      <c r="I86" s="173"/>
      <c r="J86" s="173"/>
      <c r="K86" s="173"/>
      <c r="L86" s="173"/>
    </row>
    <row r="87" spans="1:12" x14ac:dyDescent="0.25">
      <c r="A87">
        <v>80000</v>
      </c>
      <c r="B87">
        <v>1000</v>
      </c>
      <c r="C87">
        <v>20</v>
      </c>
    </row>
    <row r="88" spans="1:12" x14ac:dyDescent="0.25">
      <c r="A88">
        <v>80000</v>
      </c>
      <c r="B88">
        <v>1000</v>
      </c>
      <c r="C88">
        <v>50</v>
      </c>
      <c r="G88">
        <v>0.26</v>
      </c>
      <c r="H88">
        <v>1.03</v>
      </c>
      <c r="I88">
        <v>2.5</v>
      </c>
      <c r="J88">
        <v>1.2899999999999999E-4</v>
      </c>
      <c r="K88">
        <v>1.65E-4</v>
      </c>
      <c r="L88">
        <v>13.576923076923077</v>
      </c>
    </row>
    <row r="89" spans="1:12" x14ac:dyDescent="0.25">
      <c r="A89">
        <v>80000</v>
      </c>
      <c r="B89">
        <v>1000</v>
      </c>
      <c r="C89">
        <v>100</v>
      </c>
      <c r="G89">
        <v>0.26</v>
      </c>
      <c r="H89">
        <v>1.03</v>
      </c>
      <c r="I89">
        <v>1.75</v>
      </c>
      <c r="J89">
        <v>2.1800000000000001E-4</v>
      </c>
      <c r="K89">
        <v>1.65E-4</v>
      </c>
      <c r="L89">
        <v>10.692307692307693</v>
      </c>
    </row>
    <row r="90" spans="1:12" x14ac:dyDescent="0.25">
      <c r="A90">
        <v>80000</v>
      </c>
      <c r="B90">
        <v>1000</v>
      </c>
      <c r="C90">
        <v>250</v>
      </c>
      <c r="G90">
        <v>0.26</v>
      </c>
      <c r="H90">
        <v>1.03</v>
      </c>
      <c r="I90">
        <v>26.3</v>
      </c>
      <c r="J90">
        <v>4.17E-4</v>
      </c>
      <c r="K90">
        <v>1.65E-4</v>
      </c>
      <c r="L90">
        <v>105.11538461538461</v>
      </c>
    </row>
    <row r="91" spans="1:12" x14ac:dyDescent="0.25">
      <c r="A91">
        <v>80000</v>
      </c>
      <c r="B91">
        <v>1000</v>
      </c>
      <c r="C91">
        <v>500</v>
      </c>
      <c r="G91">
        <v>0.26</v>
      </c>
      <c r="H91">
        <v>1.03</v>
      </c>
      <c r="I91">
        <v>51.25</v>
      </c>
      <c r="J91">
        <v>8.1300000000000003E-4</v>
      </c>
      <c r="K91">
        <v>2.6800000000000001E-4</v>
      </c>
      <c r="L91">
        <v>201.07692307692307</v>
      </c>
    </row>
    <row r="92" spans="1:12" x14ac:dyDescent="0.25">
      <c r="A92">
        <v>80000</v>
      </c>
      <c r="B92">
        <v>1000</v>
      </c>
      <c r="C92">
        <v>1000</v>
      </c>
      <c r="G92">
        <v>0.26</v>
      </c>
      <c r="H92">
        <v>1.03</v>
      </c>
      <c r="I92">
        <v>76.25</v>
      </c>
      <c r="J92">
        <v>1.2099999999999999E-3</v>
      </c>
      <c r="K92">
        <v>3.9899999999999999E-4</v>
      </c>
      <c r="L92">
        <v>297.23076923076923</v>
      </c>
    </row>
    <row r="93" spans="1:12" x14ac:dyDescent="0.25">
      <c r="A93">
        <v>80000</v>
      </c>
      <c r="B93">
        <v>2000</v>
      </c>
      <c r="C93">
        <v>1000</v>
      </c>
      <c r="G93">
        <v>0.26</v>
      </c>
      <c r="H93">
        <v>1.03</v>
      </c>
      <c r="I93">
        <v>101.25</v>
      </c>
      <c r="J93">
        <v>1.6100000000000001E-3</v>
      </c>
      <c r="K93">
        <v>5.2999999999999998E-4</v>
      </c>
      <c r="L93">
        <v>393.38461538461536</v>
      </c>
    </row>
    <row r="94" spans="1:12" x14ac:dyDescent="0.25">
      <c r="A94">
        <v>80000</v>
      </c>
      <c r="B94">
        <v>5000</v>
      </c>
      <c r="C94">
        <v>1000</v>
      </c>
      <c r="G94">
        <v>0.26</v>
      </c>
      <c r="H94">
        <v>1.03</v>
      </c>
      <c r="I94">
        <v>126.25</v>
      </c>
      <c r="J94">
        <v>2E-3</v>
      </c>
      <c r="K94">
        <v>6.6100000000000002E-4</v>
      </c>
      <c r="L94">
        <v>489.53846153846155</v>
      </c>
    </row>
    <row r="95" spans="1:12" x14ac:dyDescent="0.25">
      <c r="A95">
        <v>80000</v>
      </c>
      <c r="B95">
        <v>10000</v>
      </c>
      <c r="C95">
        <v>1000</v>
      </c>
      <c r="G95">
        <v>0.26</v>
      </c>
      <c r="H95">
        <v>1.03</v>
      </c>
      <c r="I95">
        <v>151.25</v>
      </c>
      <c r="J95">
        <v>2.3999999999999998E-3</v>
      </c>
      <c r="K95">
        <v>7.9199999999999995E-4</v>
      </c>
      <c r="L95">
        <v>585.69230769230762</v>
      </c>
    </row>
    <row r="96" spans="1:12" x14ac:dyDescent="0.25">
      <c r="A96">
        <v>80000</v>
      </c>
      <c r="B96">
        <v>20000</v>
      </c>
      <c r="C96">
        <v>1000</v>
      </c>
      <c r="G96">
        <v>0.26</v>
      </c>
      <c r="H96">
        <v>1.03</v>
      </c>
      <c r="I96">
        <v>176.25</v>
      </c>
      <c r="J96">
        <v>2.8E-3</v>
      </c>
      <c r="K96">
        <v>9.2299999999999999E-4</v>
      </c>
      <c r="L96">
        <v>681.84615384615381</v>
      </c>
    </row>
    <row r="97" spans="1:12" x14ac:dyDescent="0.25">
      <c r="A97">
        <v>80000</v>
      </c>
      <c r="B97">
        <v>50000</v>
      </c>
      <c r="C97">
        <v>1000</v>
      </c>
      <c r="G97">
        <v>0.26</v>
      </c>
      <c r="H97">
        <v>1.03</v>
      </c>
      <c r="I97">
        <v>201.25</v>
      </c>
      <c r="J97">
        <v>3.1900000000000001E-3</v>
      </c>
      <c r="K97">
        <v>1.0499999999999999E-3</v>
      </c>
      <c r="L97">
        <v>778</v>
      </c>
    </row>
    <row r="98" spans="1:12" x14ac:dyDescent="0.25">
      <c r="A98">
        <v>1000000</v>
      </c>
      <c r="B98">
        <v>50000</v>
      </c>
      <c r="C98">
        <v>1000</v>
      </c>
      <c r="G98">
        <v>0.26</v>
      </c>
      <c r="H98">
        <v>1.03</v>
      </c>
      <c r="I98">
        <v>226.25</v>
      </c>
      <c r="J98">
        <v>3.5899999999999999E-3</v>
      </c>
      <c r="K98">
        <v>1.1800000000000001E-3</v>
      </c>
      <c r="L98">
        <v>874.15384615384608</v>
      </c>
    </row>
    <row r="99" spans="1:12" x14ac:dyDescent="0.25">
      <c r="A99">
        <v>2500000</v>
      </c>
      <c r="B99">
        <v>50000</v>
      </c>
      <c r="C99">
        <v>1000</v>
      </c>
      <c r="G99">
        <v>0.26</v>
      </c>
      <c r="H99">
        <v>1.03</v>
      </c>
      <c r="I99">
        <v>251.25</v>
      </c>
      <c r="J99">
        <v>3.9899999999999996E-3</v>
      </c>
      <c r="K99">
        <v>1.32E-3</v>
      </c>
      <c r="L99">
        <v>970.30769230769226</v>
      </c>
    </row>
    <row r="100" spans="1:12" x14ac:dyDescent="0.25">
      <c r="A100">
        <v>5000000</v>
      </c>
      <c r="B100">
        <v>50000</v>
      </c>
      <c r="C100">
        <v>1000</v>
      </c>
      <c r="G100">
        <v>0.26</v>
      </c>
      <c r="H100">
        <v>1.03</v>
      </c>
      <c r="I100">
        <v>301.25</v>
      </c>
      <c r="J100">
        <v>4.7800000000000004E-3</v>
      </c>
      <c r="K100">
        <v>1.58E-3</v>
      </c>
      <c r="L100">
        <v>1162.6153846153845</v>
      </c>
    </row>
    <row r="101" spans="1:12" x14ac:dyDescent="0.25">
      <c r="A101">
        <v>10000000</v>
      </c>
      <c r="B101">
        <v>50000</v>
      </c>
      <c r="C101">
        <v>1000</v>
      </c>
      <c r="G101">
        <v>0.26</v>
      </c>
      <c r="H101">
        <v>1.03</v>
      </c>
      <c r="I101">
        <v>351.25</v>
      </c>
      <c r="J101">
        <v>5.5799999999999999E-3</v>
      </c>
      <c r="K101">
        <v>1.8400000000000001E-3</v>
      </c>
      <c r="L101">
        <v>1354.9230769230767</v>
      </c>
    </row>
    <row r="102" spans="1:12" x14ac:dyDescent="0.25">
      <c r="A102">
        <v>25000000</v>
      </c>
      <c r="B102">
        <v>50000</v>
      </c>
      <c r="C102">
        <v>1000</v>
      </c>
      <c r="G102">
        <v>0.26</v>
      </c>
      <c r="H102">
        <v>1.03</v>
      </c>
      <c r="I102">
        <v>401.25</v>
      </c>
      <c r="J102">
        <v>6.3699999999999998E-3</v>
      </c>
      <c r="K102">
        <v>2.0999999999999999E-3</v>
      </c>
      <c r="L102">
        <v>1547.2307692307691</v>
      </c>
    </row>
    <row r="103" spans="1:12" x14ac:dyDescent="0.25">
      <c r="A103">
        <v>50000000</v>
      </c>
      <c r="B103">
        <v>50000</v>
      </c>
      <c r="C103">
        <v>1000</v>
      </c>
      <c r="G103">
        <v>0.26</v>
      </c>
      <c r="H103">
        <v>1.03</v>
      </c>
      <c r="I103">
        <v>451.25</v>
      </c>
      <c r="J103">
        <v>7.1599999999999997E-3</v>
      </c>
      <c r="K103">
        <v>2.3600000000000001E-3</v>
      </c>
      <c r="L103">
        <v>1739.5384615384614</v>
      </c>
    </row>
    <row r="104" spans="1:12" x14ac:dyDescent="0.25">
      <c r="A104">
        <v>100000000</v>
      </c>
      <c r="B104">
        <v>50000</v>
      </c>
      <c r="C104">
        <v>1000</v>
      </c>
      <c r="G104">
        <v>0.26</v>
      </c>
      <c r="H104">
        <v>1.03</v>
      </c>
      <c r="I104">
        <v>501.25</v>
      </c>
      <c r="J104">
        <v>7.9600000000000001E-3</v>
      </c>
      <c r="K104">
        <v>2.6199999999999999E-3</v>
      </c>
      <c r="L104">
        <v>1931.8461538461536</v>
      </c>
    </row>
    <row r="105" spans="1:12" x14ac:dyDescent="0.25">
      <c r="A105">
        <v>200000000</v>
      </c>
      <c r="B105">
        <v>50000</v>
      </c>
      <c r="C105">
        <v>1000</v>
      </c>
      <c r="G105">
        <v>0.26</v>
      </c>
      <c r="H105">
        <v>1.42</v>
      </c>
      <c r="I105">
        <v>501.25</v>
      </c>
      <c r="J105">
        <v>7.9600000000000001E-3</v>
      </c>
      <c r="K105">
        <v>2.6199999999999999E-3</v>
      </c>
      <c r="L105">
        <v>1933.3461538461538</v>
      </c>
    </row>
    <row r="106" spans="1:12" x14ac:dyDescent="0.25">
      <c r="A106">
        <v>500000000</v>
      </c>
      <c r="B106">
        <v>50000</v>
      </c>
      <c r="C106">
        <v>1000</v>
      </c>
      <c r="G106">
        <v>0.26</v>
      </c>
      <c r="H106">
        <v>1.82</v>
      </c>
      <c r="I106">
        <v>501.25</v>
      </c>
      <c r="J106">
        <v>7.9600000000000001E-3</v>
      </c>
      <c r="K106">
        <v>2.6199999999999999E-3</v>
      </c>
      <c r="L106">
        <v>1934.8846153846152</v>
      </c>
    </row>
    <row r="107" spans="1:12" x14ac:dyDescent="0.25">
      <c r="A107">
        <v>700000000</v>
      </c>
      <c r="B107">
        <v>50000</v>
      </c>
      <c r="C107">
        <v>1000</v>
      </c>
      <c r="G107">
        <v>0.26</v>
      </c>
      <c r="H107">
        <v>2.21</v>
      </c>
      <c r="I107">
        <v>501.25</v>
      </c>
      <c r="J107">
        <v>7.9600000000000001E-3</v>
      </c>
      <c r="K107">
        <v>2.6199999999999999E-3</v>
      </c>
      <c r="L107">
        <v>1936.3846153846152</v>
      </c>
    </row>
    <row r="108" spans="1:12" x14ac:dyDescent="0.25">
      <c r="G108">
        <v>0.26</v>
      </c>
      <c r="H108">
        <v>5.17</v>
      </c>
      <c r="I108">
        <v>501.25</v>
      </c>
      <c r="J108">
        <v>7.9600000000000001E-3</v>
      </c>
      <c r="K108">
        <v>2.6199999999999999E-3</v>
      </c>
      <c r="L108">
        <v>1947.7692307692307</v>
      </c>
    </row>
    <row r="109" spans="1:12" x14ac:dyDescent="0.25">
      <c r="G109">
        <v>0.26</v>
      </c>
      <c r="H109">
        <v>7.16</v>
      </c>
      <c r="I109">
        <v>501.25</v>
      </c>
      <c r="J109">
        <v>7.9600000000000001E-3</v>
      </c>
      <c r="K109">
        <v>2.6199999999999999E-3</v>
      </c>
      <c r="L109">
        <v>1955.4230769230769</v>
      </c>
    </row>
    <row r="110" spans="1:12" x14ac:dyDescent="0.25">
      <c r="G110">
        <v>0.26</v>
      </c>
      <c r="H110">
        <v>64.599999999999994</v>
      </c>
      <c r="I110">
        <v>501.25</v>
      </c>
      <c r="J110">
        <v>8.0700000000000008E-3</v>
      </c>
      <c r="K110">
        <v>2.6199999999999999E-3</v>
      </c>
      <c r="L110">
        <v>2176.3461538461538</v>
      </c>
    </row>
    <row r="111" spans="1:12" x14ac:dyDescent="0.25">
      <c r="G111">
        <v>0.26</v>
      </c>
      <c r="H111">
        <v>114</v>
      </c>
      <c r="I111">
        <v>501.25</v>
      </c>
      <c r="J111">
        <v>1.42E-3</v>
      </c>
      <c r="K111">
        <v>2.6199999999999999E-3</v>
      </c>
      <c r="L111">
        <v>2366.3461538461538</v>
      </c>
    </row>
    <row r="112" spans="1:12" x14ac:dyDescent="0.25">
      <c r="G112">
        <v>0.26</v>
      </c>
      <c r="H112">
        <v>259</v>
      </c>
      <c r="I112">
        <v>501.25</v>
      </c>
      <c r="J112">
        <v>3.2399999999999998E-2</v>
      </c>
      <c r="K112">
        <v>3.8E-3</v>
      </c>
      <c r="L112">
        <v>2924.0384615384614</v>
      </c>
    </row>
    <row r="113" spans="7:12" x14ac:dyDescent="0.25">
      <c r="G113">
        <v>0.26</v>
      </c>
      <c r="H113">
        <v>436</v>
      </c>
      <c r="I113">
        <v>501.25</v>
      </c>
      <c r="J113">
        <v>5.45E-2</v>
      </c>
      <c r="K113">
        <v>6.2599999999999999E-3</v>
      </c>
      <c r="L113">
        <v>3604.8076923076924</v>
      </c>
    </row>
    <row r="114" spans="7:12" x14ac:dyDescent="0.25">
      <c r="G114">
        <v>0.26</v>
      </c>
      <c r="H114">
        <v>645</v>
      </c>
      <c r="I114">
        <v>501.25</v>
      </c>
      <c r="J114">
        <v>8.0600000000000005E-2</v>
      </c>
      <c r="K114">
        <v>9.0900000000000009E-3</v>
      </c>
      <c r="L114">
        <v>4408.6538461538457</v>
      </c>
    </row>
    <row r="115" spans="7:12" x14ac:dyDescent="0.25">
      <c r="G115">
        <v>0.372</v>
      </c>
      <c r="H115">
        <v>645</v>
      </c>
      <c r="I115">
        <v>501.25</v>
      </c>
      <c r="J115">
        <v>8.0600000000000005E-2</v>
      </c>
      <c r="K115">
        <v>9.0900000000000009E-3</v>
      </c>
      <c r="L115">
        <v>3081.3172043010754</v>
      </c>
    </row>
    <row r="116" spans="7:12" x14ac:dyDescent="0.25">
      <c r="G116">
        <v>1.47</v>
      </c>
      <c r="H116">
        <v>645</v>
      </c>
      <c r="I116">
        <v>501.25</v>
      </c>
      <c r="J116">
        <v>8.0600000000000005E-2</v>
      </c>
      <c r="K116">
        <v>9.0900000000000009E-3</v>
      </c>
      <c r="L116">
        <v>779.76190476190482</v>
      </c>
    </row>
    <row r="117" spans="7:12" x14ac:dyDescent="0.25">
      <c r="G117">
        <v>140</v>
      </c>
      <c r="H117">
        <v>645</v>
      </c>
      <c r="I117">
        <v>501.25</v>
      </c>
      <c r="J117">
        <v>8.0600000000000005E-2</v>
      </c>
      <c r="K117">
        <v>8.5500000000000003E-3</v>
      </c>
      <c r="L117">
        <v>8.1875</v>
      </c>
    </row>
    <row r="118" spans="7:12" x14ac:dyDescent="0.25">
      <c r="G118">
        <v>1060</v>
      </c>
      <c r="H118">
        <v>645</v>
      </c>
      <c r="I118">
        <v>501.25</v>
      </c>
      <c r="J118">
        <v>0.16400000000000001</v>
      </c>
      <c r="K118">
        <v>0.60299999999999998</v>
      </c>
      <c r="L118">
        <v>1.0813679245283019</v>
      </c>
    </row>
    <row r="119" spans="7:12" x14ac:dyDescent="0.25">
      <c r="G119">
        <v>3020</v>
      </c>
      <c r="H119">
        <v>645</v>
      </c>
      <c r="I119">
        <v>501.25</v>
      </c>
      <c r="J119">
        <v>0.46800000000000003</v>
      </c>
      <c r="K119">
        <v>1.64</v>
      </c>
      <c r="L119">
        <v>0.37955298013245031</v>
      </c>
    </row>
  </sheetData>
  <conditionalFormatting sqref="A28:I28">
    <cfRule type="containsText" dxfId="39" priority="28" operator="containsText" text="calculated">
      <formula>NOT(ISERROR(SEARCH("calculated",A28)))</formula>
    </cfRule>
  </conditionalFormatting>
  <conditionalFormatting sqref="A10:J10">
    <cfRule type="containsText" dxfId="38" priority="7" operator="containsText" text="calculated">
      <formula>NOT(ISERROR(SEARCH("calculated",A10)))</formula>
    </cfRule>
  </conditionalFormatting>
  <conditionalFormatting sqref="A37:J37">
    <cfRule type="containsText" dxfId="37" priority="20" operator="containsText" text="calculated">
      <formula>NOT(ISERROR(SEARCH("calculated",A37)))</formula>
    </cfRule>
  </conditionalFormatting>
  <conditionalFormatting sqref="A46:M46">
    <cfRule type="containsText" dxfId="36" priority="2" operator="containsText" text="calculated">
      <formula>NOT(ISERROR(SEARCH("calculated",A46)))</formula>
    </cfRule>
  </conditionalFormatting>
  <conditionalFormatting sqref="A19:XFD19">
    <cfRule type="containsText" dxfId="35" priority="1" operator="containsText" text="calculated">
      <formula>NOT(ISERROR(SEARCH("calculated",A19)))</formula>
    </cfRule>
  </conditionalFormatting>
  <pageMargins left="0.7" right="0.7" top="0.75" bottom="0.75" header="0.3" footer="0.3"/>
  <pageSetup paperSize="9" orientation="portrait" r:id="rId1"/>
  <headerFooter>
    <oddFooter>&amp;R&amp;1#&amp;"Calibri"&amp;8&amp;K000000strictly confidential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DE313D4-7C7C-4464-95D0-EB153D656D0E}">
          <x14:formula1>
            <xm:f>Inputs!$C$1:$D$1</xm:f>
          </x14:formula1>
          <xm:sqref>B10:J10 B19:Q19 B28:I28 B37:J37 B46:M46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CEEEF-AA23-40C0-83E0-88A14BBE322C}">
  <sheetPr codeName="Sheet11"/>
  <dimension ref="A2:Y54"/>
  <sheetViews>
    <sheetView workbookViewId="0"/>
  </sheetViews>
  <sheetFormatPr defaultRowHeight="15" x14ac:dyDescent="0.25"/>
  <cols>
    <col min="1" max="1" width="34.140625" customWidth="1"/>
    <col min="2" max="2" width="17.85546875" customWidth="1"/>
    <col min="3" max="3" width="24" customWidth="1"/>
    <col min="4" max="4" width="19.85546875" customWidth="1"/>
    <col min="5" max="5" width="24.5703125" customWidth="1"/>
    <col min="6" max="6" width="19.85546875" customWidth="1"/>
    <col min="7" max="7" width="22.7109375" customWidth="1"/>
    <col min="8" max="8" width="25.7109375" customWidth="1"/>
    <col min="9" max="9" width="23.42578125" customWidth="1"/>
    <col min="10" max="10" width="23.7109375" customWidth="1"/>
    <col min="11" max="12" width="19.85546875" customWidth="1"/>
    <col min="13" max="13" width="27.85546875" customWidth="1"/>
    <col min="14" max="14" width="20.85546875" customWidth="1"/>
    <col min="15" max="15" width="25.7109375" customWidth="1"/>
    <col min="16" max="16" width="27" customWidth="1"/>
    <col min="17" max="17" width="25.7109375" customWidth="1"/>
    <col min="18" max="18" width="18.5703125" customWidth="1"/>
  </cols>
  <sheetData>
    <row r="2" spans="1:25" s="155" customFormat="1" ht="53.25" customHeight="1" x14ac:dyDescent="0.25">
      <c r="A2" s="111" t="s">
        <v>122</v>
      </c>
    </row>
    <row r="3" spans="1:25" s="18" customFormat="1" x14ac:dyDescent="0.25">
      <c r="A3" s="39" t="s">
        <v>123</v>
      </c>
      <c r="B3" s="39">
        <f>MAX(H29/F20,I38/G20,J47/H20)</f>
        <v>1.7056371720258661E-4</v>
      </c>
      <c r="Y3"/>
    </row>
    <row r="4" spans="1:25" s="18" customFormat="1" x14ac:dyDescent="0.25">
      <c r="Y4"/>
    </row>
    <row r="5" spans="1:25" s="18" customFormat="1" x14ac:dyDescent="0.25">
      <c r="Y5"/>
    </row>
    <row r="6" spans="1:25" s="18" customFormat="1" x14ac:dyDescent="0.25">
      <c r="Y6"/>
    </row>
    <row r="7" spans="1:25" s="155" customFormat="1" ht="53.25" customHeight="1" x14ac:dyDescent="0.25">
      <c r="A7" s="111" t="s">
        <v>124</v>
      </c>
    </row>
    <row r="8" spans="1:25" s="18" customFormat="1" x14ac:dyDescent="0.25">
      <c r="A8" s="24" t="s">
        <v>125</v>
      </c>
      <c r="Y8"/>
    </row>
    <row r="9" spans="1:25" s="18" customFormat="1" ht="51.75" x14ac:dyDescent="0.25">
      <c r="A9" t="s">
        <v>9</v>
      </c>
      <c r="B9" s="28" t="s">
        <v>126</v>
      </c>
      <c r="C9" s="28" t="s">
        <v>127</v>
      </c>
      <c r="D9" s="28" t="s">
        <v>128</v>
      </c>
      <c r="E9" s="28" t="s">
        <v>129</v>
      </c>
      <c r="F9" s="28" t="s">
        <v>130</v>
      </c>
      <c r="G9" s="28" t="s">
        <v>481</v>
      </c>
      <c r="H9" s="28" t="s">
        <v>482</v>
      </c>
      <c r="I9" s="28" t="s">
        <v>483</v>
      </c>
      <c r="J9" s="28" t="s">
        <v>484</v>
      </c>
      <c r="X9"/>
    </row>
    <row r="10" spans="1:25" s="18" customFormat="1" ht="17.25" x14ac:dyDescent="0.35">
      <c r="A10" s="18" t="s">
        <v>56</v>
      </c>
      <c r="B10" s="16" t="s">
        <v>1</v>
      </c>
      <c r="C10" s="16" t="s">
        <v>2</v>
      </c>
      <c r="D10" s="16" t="s">
        <v>2</v>
      </c>
      <c r="E10" s="16" t="s">
        <v>2</v>
      </c>
      <c r="F10" s="16" t="s">
        <v>2</v>
      </c>
      <c r="G10" s="16" t="s">
        <v>1</v>
      </c>
      <c r="H10" s="16" t="s">
        <v>1</v>
      </c>
      <c r="I10" s="16" t="s">
        <v>1</v>
      </c>
      <c r="J10" s="16" t="s">
        <v>1</v>
      </c>
      <c r="X10"/>
    </row>
    <row r="11" spans="1:25" s="18" customFormat="1" ht="17.25" x14ac:dyDescent="0.35">
      <c r="A11" t="s">
        <v>57</v>
      </c>
      <c r="B11" s="73">
        <f>IF(B10=Inputs!$C$1,B12,B13)</f>
        <v>256</v>
      </c>
      <c r="C11" s="73">
        <f>IF(C10=Inputs!$C$1,C12,C13)</f>
        <v>16777216</v>
      </c>
      <c r="D11" s="73">
        <f>IF(D10=Inputs!$C$1,D12,D13)</f>
        <v>16777216</v>
      </c>
      <c r="E11" s="73">
        <f>IF(E10=Inputs!$C$1,E12,E13)</f>
        <v>131072</v>
      </c>
      <c r="F11" s="73">
        <f>IF(F10=Inputs!$C$1,F12,F13)</f>
        <v>16</v>
      </c>
      <c r="G11" s="73">
        <f>IF(G10=Inputs!$C$1,G12,G13)</f>
        <v>32</v>
      </c>
      <c r="H11" s="73">
        <f>IF(H10=Inputs!$C$1,H12,H13)</f>
        <v>4</v>
      </c>
      <c r="I11" s="73">
        <f>IF(I10=Inputs!$C$1,I12,I13)</f>
        <v>1</v>
      </c>
      <c r="J11" s="73">
        <f>IF(J10=Inputs!$C$1,J12,J13)</f>
        <v>2</v>
      </c>
      <c r="X11"/>
    </row>
    <row r="12" spans="1:25" s="18" customFormat="1" ht="17.25" x14ac:dyDescent="0.35">
      <c r="A12" s="18" t="s">
        <v>58</v>
      </c>
      <c r="B12" s="35">
        <v>256</v>
      </c>
      <c r="C12" s="35"/>
      <c r="D12" s="35"/>
      <c r="E12" s="35"/>
      <c r="F12" s="35"/>
      <c r="G12" s="35">
        <v>32</v>
      </c>
      <c r="H12" s="35">
        <v>4</v>
      </c>
      <c r="I12" s="35">
        <v>1</v>
      </c>
      <c r="J12" s="35">
        <v>2</v>
      </c>
      <c r="X12"/>
    </row>
    <row r="13" spans="1:25" s="18" customFormat="1" ht="17.25" x14ac:dyDescent="0.35">
      <c r="A13" s="18" t="s">
        <v>59</v>
      </c>
      <c r="B13" s="5">
        <f>B26</f>
        <v>0</v>
      </c>
      <c r="C13" s="73">
        <f>B11*B11*B11</f>
        <v>16777216</v>
      </c>
      <c r="D13" s="73">
        <f>C11</f>
        <v>16777216</v>
      </c>
      <c r="E13" s="73">
        <f>D11/D20</f>
        <v>131072</v>
      </c>
      <c r="F13" s="157">
        <f>E11/N20</f>
        <v>16</v>
      </c>
      <c r="G13" s="5">
        <f>G26</f>
        <v>0</v>
      </c>
      <c r="H13" s="5">
        <f>H26</f>
        <v>0</v>
      </c>
      <c r="I13" s="5">
        <f>I26</f>
        <v>0</v>
      </c>
      <c r="J13" s="5">
        <f>J26</f>
        <v>0</v>
      </c>
      <c r="X13"/>
    </row>
    <row r="14" spans="1:25" s="18" customFormat="1" x14ac:dyDescent="0.25">
      <c r="A14" s="18" t="s">
        <v>61</v>
      </c>
      <c r="Y14"/>
    </row>
    <row r="15" spans="1:25" s="18" customFormat="1" x14ac:dyDescent="0.25">
      <c r="Y15"/>
    </row>
    <row r="16" spans="1:25" s="155" customFormat="1" ht="53.25" customHeight="1" x14ac:dyDescent="0.25">
      <c r="A16" s="111" t="s">
        <v>131</v>
      </c>
    </row>
    <row r="17" spans="1:25" x14ac:dyDescent="0.25">
      <c r="A17" s="24" t="s">
        <v>125</v>
      </c>
    </row>
    <row r="18" spans="1:25" ht="34.5" x14ac:dyDescent="0.25">
      <c r="A18" t="s">
        <v>9</v>
      </c>
      <c r="B18" s="28" t="s">
        <v>132</v>
      </c>
      <c r="C18" s="28" t="s">
        <v>133</v>
      </c>
      <c r="D18" s="28" t="s">
        <v>134</v>
      </c>
      <c r="E18" s="28" t="s">
        <v>135</v>
      </c>
      <c r="F18" s="28" t="s">
        <v>485</v>
      </c>
      <c r="G18" s="28" t="s">
        <v>486</v>
      </c>
      <c r="H18" s="28" t="s">
        <v>137</v>
      </c>
      <c r="I18" s="28" t="s">
        <v>138</v>
      </c>
      <c r="J18" s="28" t="s">
        <v>487</v>
      </c>
      <c r="K18" s="28" t="s">
        <v>488</v>
      </c>
      <c r="L18" s="28" t="s">
        <v>139</v>
      </c>
      <c r="M18" s="28" t="s">
        <v>140</v>
      </c>
      <c r="N18" s="28" t="s">
        <v>141</v>
      </c>
      <c r="O18" s="28" t="s">
        <v>136</v>
      </c>
      <c r="P18" s="28" t="s">
        <v>489</v>
      </c>
      <c r="Q18" s="28" t="s">
        <v>490</v>
      </c>
    </row>
    <row r="19" spans="1:25" s="18" customFormat="1" ht="17.25" x14ac:dyDescent="0.35">
      <c r="A19" s="18" t="s">
        <v>56</v>
      </c>
      <c r="B19" s="16" t="s">
        <v>1</v>
      </c>
      <c r="C19" s="16" t="s">
        <v>1</v>
      </c>
      <c r="D19" s="16" t="s">
        <v>1</v>
      </c>
      <c r="E19" s="16" t="s">
        <v>1</v>
      </c>
      <c r="F19" s="16" t="s">
        <v>2</v>
      </c>
      <c r="G19" s="16" t="s">
        <v>2</v>
      </c>
      <c r="H19" s="16" t="s">
        <v>1</v>
      </c>
      <c r="I19" s="16" t="s">
        <v>1</v>
      </c>
      <c r="J19" s="16" t="s">
        <v>2</v>
      </c>
      <c r="K19" s="16" t="s">
        <v>1</v>
      </c>
      <c r="L19" s="16" t="s">
        <v>1</v>
      </c>
      <c r="M19" s="16" t="s">
        <v>2</v>
      </c>
      <c r="N19" s="16" t="s">
        <v>2</v>
      </c>
      <c r="O19" s="16" t="s">
        <v>1</v>
      </c>
      <c r="P19" s="16" t="s">
        <v>1</v>
      </c>
      <c r="Q19" s="16" t="s">
        <v>1</v>
      </c>
    </row>
    <row r="20" spans="1:25" s="17" customFormat="1" ht="17.25" x14ac:dyDescent="0.35">
      <c r="A20" t="s">
        <v>57</v>
      </c>
      <c r="B20" s="73">
        <f>IF(B19=Inputs!$C$1,B21,B22)</f>
        <v>2048</v>
      </c>
      <c r="C20" s="73">
        <f>IF(C19=Inputs!$C$1,C21,C22)</f>
        <v>512</v>
      </c>
      <c r="D20" s="73">
        <f>IF(D19=Inputs!$C$1,D21,D22)</f>
        <v>128</v>
      </c>
      <c r="E20" s="73">
        <f>IF(E19=Inputs!$C$1,E21,E22)</f>
        <v>1.25</v>
      </c>
      <c r="F20" s="73">
        <f>IF(F19=Inputs!$C$1,F21,F22)</f>
        <v>78336</v>
      </c>
      <c r="G20" s="73">
        <f>IF(G19=Inputs!$C$1,G21,G22)</f>
        <v>16384</v>
      </c>
      <c r="H20" s="73">
        <f>IF(H19=Inputs!$C$1,H21,H22)</f>
        <v>1593.75</v>
      </c>
      <c r="I20" s="73">
        <f>IF(I19=Inputs!$C$1,I21,I22)</f>
        <v>1024</v>
      </c>
      <c r="J20" s="73">
        <f>IF(J19=Inputs!$C$1,J21,J22)</f>
        <v>523264</v>
      </c>
      <c r="K20" s="73">
        <f>IF(K19=Inputs!$C$1,K21,K22)</f>
        <v>256</v>
      </c>
      <c r="L20" s="73">
        <v>1</v>
      </c>
      <c r="M20" s="73">
        <f>IF(M19=Inputs!$C$1,M21,M22)</f>
        <v>16</v>
      </c>
      <c r="N20" s="73">
        <f>IF(N19=Inputs!$C$1,N21,N22)</f>
        <v>8192</v>
      </c>
      <c r="O20" s="73">
        <f>IF(O19=Inputs!$C$1,O21,O22)</f>
        <v>153</v>
      </c>
      <c r="P20" s="168">
        <f>IF(P19=Inputs!$C$1,P21,P22)</f>
        <v>256</v>
      </c>
      <c r="Q20" s="168">
        <f>IF(Q19=Inputs!$C$1,Q21,Q22)</f>
        <v>32</v>
      </c>
    </row>
    <row r="21" spans="1:25" s="18" customFormat="1" ht="17.25" x14ac:dyDescent="0.35">
      <c r="A21" s="18" t="s">
        <v>58</v>
      </c>
      <c r="B21" s="35">
        <v>2048</v>
      </c>
      <c r="C21" s="35">
        <v>512</v>
      </c>
      <c r="D21" s="35">
        <v>128</v>
      </c>
      <c r="E21" s="35">
        <v>1.25</v>
      </c>
      <c r="F21" s="35"/>
      <c r="G21" s="35"/>
      <c r="H21" s="35">
        <v>1593.75</v>
      </c>
      <c r="I21" s="35">
        <v>1024</v>
      </c>
      <c r="J21" s="35">
        <v>1361920</v>
      </c>
      <c r="K21" s="35">
        <v>256</v>
      </c>
      <c r="L21" s="35">
        <v>1</v>
      </c>
      <c r="M21" s="35"/>
      <c r="N21" s="35"/>
      <c r="O21" s="35">
        <v>153</v>
      </c>
      <c r="P21" s="35">
        <v>256</v>
      </c>
      <c r="Q21" s="35">
        <v>32</v>
      </c>
    </row>
    <row r="22" spans="1:25" s="18" customFormat="1" ht="17.25" x14ac:dyDescent="0.35">
      <c r="A22" s="18" t="s">
        <v>59</v>
      </c>
      <c r="B22" s="5">
        <v>0</v>
      </c>
      <c r="C22" s="5">
        <v>0</v>
      </c>
      <c r="D22" s="5">
        <v>128</v>
      </c>
      <c r="E22" s="5">
        <v>0</v>
      </c>
      <c r="F22" s="5">
        <f>O20*C20</f>
        <v>78336</v>
      </c>
      <c r="G22" s="5">
        <f>Q20*C20</f>
        <v>16384</v>
      </c>
      <c r="H22" s="5">
        <v>0</v>
      </c>
      <c r="I22" s="5">
        <v>0</v>
      </c>
      <c r="J22" s="5">
        <f>I20*C20-I20</f>
        <v>523264</v>
      </c>
      <c r="K22" s="5">
        <v>0</v>
      </c>
      <c r="L22" s="73">
        <v>1</v>
      </c>
      <c r="M22" s="73">
        <f>B20/D20</f>
        <v>16</v>
      </c>
      <c r="N22" s="39">
        <f>M20*C20</f>
        <v>8192</v>
      </c>
      <c r="O22" s="5">
        <v>0</v>
      </c>
      <c r="P22" s="5">
        <v>0</v>
      </c>
      <c r="Q22" s="5">
        <v>0</v>
      </c>
    </row>
    <row r="23" spans="1:25" s="18" customFormat="1" x14ac:dyDescent="0.25">
      <c r="A23" s="18" t="s">
        <v>61</v>
      </c>
      <c r="Y23"/>
    </row>
    <row r="25" spans="1:25" s="155" customFormat="1" ht="53.25" customHeight="1" x14ac:dyDescent="0.25">
      <c r="A25" s="111" t="s">
        <v>144</v>
      </c>
    </row>
    <row r="26" spans="1:25" x14ac:dyDescent="0.25">
      <c r="A26" s="24" t="s">
        <v>125</v>
      </c>
    </row>
    <row r="27" spans="1:25" ht="69" x14ac:dyDescent="0.25">
      <c r="A27" t="s">
        <v>9</v>
      </c>
      <c r="B27" s="28" t="s">
        <v>145</v>
      </c>
      <c r="C27" s="28" t="s">
        <v>132</v>
      </c>
      <c r="D27" s="28" t="s">
        <v>146</v>
      </c>
      <c r="E27" s="28" t="s">
        <v>147</v>
      </c>
      <c r="F27" s="28" t="s">
        <v>148</v>
      </c>
      <c r="G27" s="28" t="s">
        <v>149</v>
      </c>
      <c r="H27" s="28" t="s">
        <v>150</v>
      </c>
      <c r="I27" s="28" t="s">
        <v>151</v>
      </c>
      <c r="J27" s="28"/>
      <c r="K27" s="28"/>
      <c r="L27" s="28"/>
      <c r="M27" s="28"/>
      <c r="N27" s="28"/>
      <c r="O27" s="28"/>
    </row>
    <row r="28" spans="1:25" ht="17.25" x14ac:dyDescent="0.35">
      <c r="A28" s="18" t="s">
        <v>56</v>
      </c>
      <c r="B28" s="16" t="s">
        <v>1</v>
      </c>
      <c r="C28" s="16" t="s">
        <v>2</v>
      </c>
      <c r="D28" s="16" t="s">
        <v>2</v>
      </c>
      <c r="E28" s="16" t="s">
        <v>1</v>
      </c>
      <c r="F28" s="16" t="s">
        <v>1</v>
      </c>
      <c r="G28" s="16" t="s">
        <v>1</v>
      </c>
      <c r="H28" s="16" t="s">
        <v>2</v>
      </c>
      <c r="I28" s="16" t="s">
        <v>2</v>
      </c>
    </row>
    <row r="29" spans="1:25" ht="17.25" x14ac:dyDescent="0.35">
      <c r="A29" t="s">
        <v>57</v>
      </c>
      <c r="B29" s="73">
        <f>IF(B28=Inputs!$C$1,B30,B31)</f>
        <v>16</v>
      </c>
      <c r="C29" s="73">
        <f>IF(C28=Inputs!$C$1,C30,C31)</f>
        <v>2048</v>
      </c>
      <c r="D29" s="73">
        <f>IF(D28=Inputs!$C$1,D30,D31)</f>
        <v>9</v>
      </c>
      <c r="E29" s="73">
        <f>IF(E28=Inputs!$C$1,E30,E31)</f>
        <v>1</v>
      </c>
      <c r="F29" s="73">
        <f>IF(F28=Inputs!$C$1,F30,F31)</f>
        <v>5</v>
      </c>
      <c r="G29" s="73">
        <f>IF(G28=Inputs!$C$1,G30,G31)</f>
        <v>2</v>
      </c>
      <c r="H29" s="73">
        <f>IF(H28=Inputs!$C$1,H30,H31)</f>
        <v>2.5</v>
      </c>
      <c r="I29" s="73">
        <f>IF(I28=Inputs!$C$1,I30,I31)</f>
        <v>3.1913807189542485E-5</v>
      </c>
    </row>
    <row r="30" spans="1:25" ht="17.25" x14ac:dyDescent="0.35">
      <c r="A30" s="18" t="s">
        <v>58</v>
      </c>
      <c r="B30" s="35">
        <v>16</v>
      </c>
      <c r="C30" s="35"/>
      <c r="D30" s="35">
        <v>50</v>
      </c>
      <c r="E30" s="35">
        <v>1</v>
      </c>
      <c r="F30" s="16">
        <v>5</v>
      </c>
      <c r="G30" s="35">
        <v>2</v>
      </c>
      <c r="H30" s="35"/>
      <c r="I30" s="35"/>
    </row>
    <row r="31" spans="1:25" ht="17.25" x14ac:dyDescent="0.35">
      <c r="A31" s="18" t="s">
        <v>59</v>
      </c>
      <c r="B31" s="5">
        <v>0</v>
      </c>
      <c r="C31" s="5">
        <f>B20</f>
        <v>2048</v>
      </c>
      <c r="D31" s="5">
        <f>F29+2*G29</f>
        <v>9</v>
      </c>
      <c r="E31" s="5">
        <v>0</v>
      </c>
      <c r="F31" s="5">
        <v>0</v>
      </c>
      <c r="G31" s="5">
        <v>0</v>
      </c>
      <c r="H31" s="5">
        <f>C11*B29*(D29+E29)/1024^3</f>
        <v>2.5</v>
      </c>
      <c r="I31" s="5">
        <f>H29/F20</f>
        <v>3.1913807189542485E-5</v>
      </c>
    </row>
    <row r="32" spans="1:25" s="18" customFormat="1" x14ac:dyDescent="0.25">
      <c r="A32" s="18" t="s">
        <v>61</v>
      </c>
      <c r="X32"/>
    </row>
    <row r="34" spans="1:15" s="155" customFormat="1" ht="53.25" customHeight="1" x14ac:dyDescent="0.25">
      <c r="A34" s="111" t="s">
        <v>491</v>
      </c>
    </row>
    <row r="35" spans="1:15" x14ac:dyDescent="0.25">
      <c r="A35" s="24" t="s">
        <v>125</v>
      </c>
      <c r="B35" s="4"/>
    </row>
    <row r="36" spans="1:15" ht="69" x14ac:dyDescent="0.25">
      <c r="A36" t="s">
        <v>9</v>
      </c>
      <c r="B36" s="28" t="s">
        <v>159</v>
      </c>
      <c r="C36" s="28" t="s">
        <v>154</v>
      </c>
      <c r="D36" s="28" t="s">
        <v>492</v>
      </c>
      <c r="E36" s="28" t="s">
        <v>155</v>
      </c>
      <c r="F36" s="28" t="s">
        <v>493</v>
      </c>
      <c r="G36" s="28" t="s">
        <v>164</v>
      </c>
      <c r="H36" s="28" t="s">
        <v>494</v>
      </c>
      <c r="I36" s="28" t="s">
        <v>495</v>
      </c>
      <c r="J36" s="28" t="s">
        <v>151</v>
      </c>
      <c r="K36" s="28"/>
      <c r="L36" s="28"/>
      <c r="M36" s="28"/>
      <c r="N36" s="28"/>
      <c r="O36" s="28"/>
    </row>
    <row r="37" spans="1:15" ht="17.25" x14ac:dyDescent="0.35">
      <c r="A37" s="18" t="s">
        <v>56</v>
      </c>
      <c r="B37" s="16" t="s">
        <v>2</v>
      </c>
      <c r="C37" s="16" t="s">
        <v>2</v>
      </c>
      <c r="D37" s="16" t="s">
        <v>2</v>
      </c>
      <c r="E37" s="16" t="s">
        <v>2</v>
      </c>
      <c r="F37" s="16" t="s">
        <v>2</v>
      </c>
      <c r="G37" s="16" t="s">
        <v>2</v>
      </c>
      <c r="H37" s="16" t="s">
        <v>1</v>
      </c>
      <c r="I37" s="16" t="s">
        <v>2</v>
      </c>
      <c r="J37" s="16" t="s">
        <v>2</v>
      </c>
    </row>
    <row r="38" spans="1:15" ht="17.25" x14ac:dyDescent="0.35">
      <c r="A38" t="s">
        <v>57</v>
      </c>
      <c r="B38" s="73">
        <f>IF(B37=Inputs!$C$1,B39,B40)</f>
        <v>16</v>
      </c>
      <c r="C38" s="73">
        <f>IF(C37=Inputs!$C$1,C39,C40)</f>
        <v>131072</v>
      </c>
      <c r="D38" s="73">
        <f>IF(D37=Inputs!$C$1,D39,D40)</f>
        <v>576.81000000000006</v>
      </c>
      <c r="E38" s="73">
        <f>IF(E37=Inputs!$C$1,E39,E40)</f>
        <v>128</v>
      </c>
      <c r="F38" s="73">
        <f>IF(F37=Inputs!$C$1,F39,F40)</f>
        <v>576</v>
      </c>
      <c r="G38" s="73">
        <f>IF(G37=Inputs!$C$1,G39,G40)</f>
        <v>1.4062499999999999E-3</v>
      </c>
      <c r="H38" s="73">
        <f>IF(H37=Inputs!$C$1,H39,H40)</f>
        <v>0.01</v>
      </c>
      <c r="I38" s="73">
        <f>IF(I37=Inputs!$C$1,I39,I40)</f>
        <v>1.3765820312500001</v>
      </c>
      <c r="J38" s="73">
        <f>IF(J37=Inputs!$C$1,J39,J40)</f>
        <v>8.401989936828614E-5</v>
      </c>
    </row>
    <row r="39" spans="1:15" ht="17.25" x14ac:dyDescent="0.35">
      <c r="A39" s="18" t="s">
        <v>58</v>
      </c>
      <c r="B39" s="35"/>
      <c r="C39" s="35"/>
      <c r="D39" s="16">
        <v>2000</v>
      </c>
      <c r="E39" s="35"/>
      <c r="F39" s="16">
        <v>5</v>
      </c>
      <c r="G39" s="16">
        <v>0</v>
      </c>
      <c r="H39" s="35">
        <v>0.01</v>
      </c>
      <c r="I39" s="35">
        <v>1.19</v>
      </c>
      <c r="J39" s="35"/>
    </row>
    <row r="40" spans="1:15" ht="17.25" x14ac:dyDescent="0.35">
      <c r="A40" s="18" t="s">
        <v>59</v>
      </c>
      <c r="B40" s="5">
        <f>B29</f>
        <v>16</v>
      </c>
      <c r="C40" s="5">
        <f>E11</f>
        <v>131072</v>
      </c>
      <c r="D40" s="5">
        <f>F38*(1+G38)</f>
        <v>576.81000000000006</v>
      </c>
      <c r="E40" s="5">
        <f>E29*D20</f>
        <v>128</v>
      </c>
      <c r="F40" s="5">
        <f>G11*H11*I11+(G11*I11+G11*H11)*J11+P20*H11*I11*2/B38</f>
        <v>576</v>
      </c>
      <c r="G40" s="5">
        <f>L20*C29*F38*H38*B38/(D20*I20*1024)</f>
        <v>1.4062499999999999E-3</v>
      </c>
      <c r="H40" s="5">
        <v>0</v>
      </c>
      <c r="I40" s="5">
        <f>C38*B38*(D38+E38)/1024^3</f>
        <v>1.3765820312500001</v>
      </c>
      <c r="J40" s="5">
        <f>I38/G20</f>
        <v>8.401989936828614E-5</v>
      </c>
    </row>
    <row r="41" spans="1:15" x14ac:dyDescent="0.25">
      <c r="A41" s="18" t="s">
        <v>61</v>
      </c>
      <c r="B41" t="s">
        <v>156</v>
      </c>
    </row>
    <row r="43" spans="1:15" s="155" customFormat="1" ht="53.25" customHeight="1" x14ac:dyDescent="0.25">
      <c r="A43" s="111" t="s">
        <v>496</v>
      </c>
    </row>
    <row r="44" spans="1:15" x14ac:dyDescent="0.25">
      <c r="A44" s="24" t="s">
        <v>125</v>
      </c>
    </row>
    <row r="45" spans="1:15" ht="69" x14ac:dyDescent="0.25">
      <c r="A45" t="s">
        <v>9</v>
      </c>
      <c r="B45" s="28" t="s">
        <v>159</v>
      </c>
      <c r="C45" s="28" t="s">
        <v>160</v>
      </c>
      <c r="D45" s="28" t="s">
        <v>178</v>
      </c>
      <c r="E45" s="28" t="s">
        <v>162</v>
      </c>
      <c r="F45" s="28" t="s">
        <v>163</v>
      </c>
      <c r="G45" s="28" t="s">
        <v>497</v>
      </c>
      <c r="H45" s="28" t="s">
        <v>165</v>
      </c>
      <c r="I45" s="28" t="s">
        <v>141</v>
      </c>
      <c r="J45" s="28" t="s">
        <v>179</v>
      </c>
      <c r="K45" s="28" t="s">
        <v>151</v>
      </c>
      <c r="L45" s="28" t="s">
        <v>167</v>
      </c>
      <c r="M45" s="28" t="s">
        <v>168</v>
      </c>
      <c r="N45" s="28"/>
    </row>
    <row r="46" spans="1:15" ht="17.25" x14ac:dyDescent="0.35">
      <c r="A46" s="18" t="s">
        <v>56</v>
      </c>
      <c r="B46" s="16" t="s">
        <v>2</v>
      </c>
      <c r="C46" s="16" t="s">
        <v>2</v>
      </c>
      <c r="D46" s="16" t="s">
        <v>2</v>
      </c>
      <c r="E46" s="16" t="s">
        <v>2</v>
      </c>
      <c r="F46" s="16" t="s">
        <v>2</v>
      </c>
      <c r="G46" s="16" t="s">
        <v>2</v>
      </c>
      <c r="H46" s="16" t="s">
        <v>1</v>
      </c>
      <c r="I46" s="16" t="s">
        <v>2</v>
      </c>
      <c r="J46" s="16" t="s">
        <v>2</v>
      </c>
      <c r="K46" s="16" t="s">
        <v>2</v>
      </c>
      <c r="L46" s="16" t="s">
        <v>1</v>
      </c>
      <c r="M46" s="16" t="s">
        <v>1</v>
      </c>
    </row>
    <row r="47" spans="1:15" ht="17.25" x14ac:dyDescent="0.35">
      <c r="A47" t="s">
        <v>57</v>
      </c>
      <c r="B47" s="73">
        <f>IF(B46=Inputs!$C$1,B48,B49)</f>
        <v>16</v>
      </c>
      <c r="C47" s="73">
        <f>IF(C46=Inputs!$C$1,C48,C49)</f>
        <v>16</v>
      </c>
      <c r="D47" s="73">
        <f>IF(D46=Inputs!$C$1,D48,D49)</f>
        <v>91586.504600048924</v>
      </c>
      <c r="E47" s="73">
        <f>IF(E46=Inputs!$C$1,E48,E49)</f>
        <v>1048576</v>
      </c>
      <c r="F47" s="73">
        <f>IF(F46=Inputs!$C$1,F48,F49)</f>
        <v>91584</v>
      </c>
      <c r="G47" s="73">
        <f>IF(G46=Inputs!$C$1,G48,G49)</f>
        <v>2.7347572162426617E-5</v>
      </c>
      <c r="H47" s="73">
        <f>IF(H46=Inputs!$C$1,H48,H49)</f>
        <v>0.01</v>
      </c>
      <c r="I47" s="73">
        <f>IF(I46=Inputs!$C$1,I48,I49)</f>
        <v>8192</v>
      </c>
      <c r="J47" s="73">
        <f>IF(J46=Inputs!$C$1,J48,J49)</f>
        <v>0.2718359242916224</v>
      </c>
      <c r="K47" s="73">
        <f>IF(K46=Inputs!$C$1,K48,K49)</f>
        <v>1.7056371720258661E-4</v>
      </c>
      <c r="L47" s="73">
        <v>106</v>
      </c>
      <c r="M47" s="73">
        <v>3</v>
      </c>
    </row>
    <row r="48" spans="1:15" ht="17.25" x14ac:dyDescent="0.35">
      <c r="A48" s="18" t="s">
        <v>58</v>
      </c>
      <c r="B48" s="35"/>
      <c r="C48" s="35"/>
      <c r="D48" s="16">
        <v>1000000</v>
      </c>
      <c r="E48" s="35"/>
      <c r="F48" s="16">
        <v>700000000</v>
      </c>
      <c r="G48" s="35">
        <v>0</v>
      </c>
      <c r="H48" s="35">
        <v>0.01</v>
      </c>
      <c r="I48" s="35"/>
      <c r="J48" s="35"/>
      <c r="K48" s="35"/>
      <c r="L48" s="35">
        <v>106</v>
      </c>
      <c r="M48" s="35">
        <v>3</v>
      </c>
    </row>
    <row r="49" spans="1:13" ht="17.25" x14ac:dyDescent="0.35">
      <c r="A49" s="18" t="s">
        <v>59</v>
      </c>
      <c r="B49" s="5">
        <f>B29</f>
        <v>16</v>
      </c>
      <c r="C49" s="5">
        <f>F11</f>
        <v>16</v>
      </c>
      <c r="D49" s="5">
        <f>F47*(1+G47)</f>
        <v>91586.504600048924</v>
      </c>
      <c r="E49" s="5">
        <f>I47*E38</f>
        <v>1048576</v>
      </c>
      <c r="F49" s="5">
        <f>(B11+2*K20/B47)*L47*M47</f>
        <v>91584</v>
      </c>
      <c r="G49" s="5">
        <f>F47*B47*H47/(J20*1024)</f>
        <v>2.7347572162426617E-5</v>
      </c>
      <c r="H49" s="5">
        <v>0</v>
      </c>
      <c r="I49" s="5">
        <f>N20</f>
        <v>8192</v>
      </c>
      <c r="J49" s="5">
        <f>B47*C47*(D47+E47)/1024^3</f>
        <v>0.2718359242916224</v>
      </c>
      <c r="K49" s="5">
        <f>J47/H20</f>
        <v>1.7056371720258661E-4</v>
      </c>
      <c r="L49" s="5">
        <v>0</v>
      </c>
      <c r="M49" s="5">
        <v>0</v>
      </c>
    </row>
    <row r="50" spans="1:13" x14ac:dyDescent="0.25">
      <c r="A50" s="18" t="s">
        <v>61</v>
      </c>
      <c r="B50" t="s">
        <v>172</v>
      </c>
      <c r="F50">
        <f>G47/H47</f>
        <v>2.7347572162426618E-3</v>
      </c>
    </row>
    <row r="51" spans="1:13" x14ac:dyDescent="0.25">
      <c r="F51" s="18">
        <f>B3</f>
        <v>1.7056371720258661E-4</v>
      </c>
    </row>
    <row r="52" spans="1:13" x14ac:dyDescent="0.25">
      <c r="A52" s="18" t="s">
        <v>503</v>
      </c>
      <c r="B52" t="s">
        <v>499</v>
      </c>
      <c r="C52" t="s">
        <v>500</v>
      </c>
    </row>
    <row r="53" spans="1:13" x14ac:dyDescent="0.25">
      <c r="A53">
        <f>J47</f>
        <v>0.2718359242916224</v>
      </c>
      <c r="B53">
        <f>I38</f>
        <v>1.3765820312500001</v>
      </c>
      <c r="C53">
        <f>H29</f>
        <v>2.5</v>
      </c>
    </row>
    <row r="54" spans="1:13" x14ac:dyDescent="0.25">
      <c r="A54" s="18" t="s">
        <v>514</v>
      </c>
    </row>
  </sheetData>
  <conditionalFormatting sqref="A28:I28">
    <cfRule type="containsText" dxfId="34" priority="28" operator="containsText" text="calculated">
      <formula>NOT(ISERROR(SEARCH("calculated",A28)))</formula>
    </cfRule>
  </conditionalFormatting>
  <conditionalFormatting sqref="A10:J10">
    <cfRule type="containsText" dxfId="33" priority="7" operator="containsText" text="calculated">
      <formula>NOT(ISERROR(SEARCH("calculated",A10)))</formula>
    </cfRule>
  </conditionalFormatting>
  <conditionalFormatting sqref="A37:J37">
    <cfRule type="containsText" dxfId="32" priority="20" operator="containsText" text="calculated">
      <formula>NOT(ISERROR(SEARCH("calculated",A37)))</formula>
    </cfRule>
  </conditionalFormatting>
  <conditionalFormatting sqref="A46:M46">
    <cfRule type="containsText" dxfId="31" priority="2" operator="containsText" text="calculated">
      <formula>NOT(ISERROR(SEARCH("calculated",A46)))</formula>
    </cfRule>
  </conditionalFormatting>
  <conditionalFormatting sqref="A19:XFD19">
    <cfRule type="containsText" dxfId="30" priority="1" operator="containsText" text="calculated">
      <formula>NOT(ISERROR(SEARCH("calculated",A19)))</formula>
    </cfRule>
  </conditionalFormatting>
  <pageMargins left="0.7" right="0.7" top="0.75" bottom="0.75" header="0.3" footer="0.3"/>
  <pageSetup paperSize="9" orientation="portrait" r:id="rId1"/>
  <headerFooter>
    <oddFooter>&amp;R&amp;1#&amp;"Calibri"&amp;8&amp;K000000strictly confidential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FE7F335-D45B-4796-8C6A-A60019BFD7DB}">
          <x14:formula1>
            <xm:f>Inputs!$C$1:$D$1</xm:f>
          </x14:formula1>
          <xm:sqref>B10:J10 B19:Q19 B28:I28 B37:J37 B46:M46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284D-073C-4821-A57D-1453F896917C}">
  <sheetPr codeName="Sheet12"/>
  <dimension ref="A2:Y59"/>
  <sheetViews>
    <sheetView workbookViewId="0"/>
  </sheetViews>
  <sheetFormatPr defaultRowHeight="15" x14ac:dyDescent="0.25"/>
  <cols>
    <col min="1" max="1" width="34.140625" customWidth="1"/>
    <col min="2" max="2" width="17.85546875" customWidth="1"/>
    <col min="3" max="3" width="24" customWidth="1"/>
    <col min="4" max="4" width="19.85546875" customWidth="1"/>
    <col min="5" max="5" width="24.5703125" customWidth="1"/>
    <col min="6" max="6" width="19.85546875" customWidth="1"/>
    <col min="7" max="7" width="22.7109375" customWidth="1"/>
    <col min="8" max="8" width="25.7109375" customWidth="1"/>
    <col min="9" max="9" width="23.42578125" customWidth="1"/>
    <col min="10" max="10" width="23.7109375" customWidth="1"/>
    <col min="11" max="12" width="19.85546875" customWidth="1"/>
    <col min="13" max="13" width="27.85546875" customWidth="1"/>
    <col min="14" max="14" width="20.85546875" customWidth="1"/>
    <col min="15" max="15" width="25.7109375" customWidth="1"/>
    <col min="16" max="16" width="27" customWidth="1"/>
    <col min="17" max="17" width="25.7109375" customWidth="1"/>
    <col min="18" max="18" width="18.5703125" customWidth="1"/>
  </cols>
  <sheetData>
    <row r="2" spans="1:25" s="108" customFormat="1" ht="53.25" customHeight="1" x14ac:dyDescent="0.25">
      <c r="A2" s="156" t="s">
        <v>515</v>
      </c>
    </row>
    <row r="3" spans="1:25" x14ac:dyDescent="0.25">
      <c r="A3" s="24" t="s">
        <v>125</v>
      </c>
    </row>
    <row r="4" spans="1:25" ht="69" x14ac:dyDescent="0.25">
      <c r="A4" t="s">
        <v>9</v>
      </c>
      <c r="B4" s="28" t="s">
        <v>516</v>
      </c>
      <c r="C4" s="28" t="s">
        <v>517</v>
      </c>
      <c r="D4" s="28" t="s">
        <v>518</v>
      </c>
      <c r="E4" s="28" t="s">
        <v>519</v>
      </c>
      <c r="F4" s="28" t="s">
        <v>520</v>
      </c>
      <c r="G4" s="28" t="s">
        <v>521</v>
      </c>
      <c r="H4" s="28" t="s">
        <v>522</v>
      </c>
      <c r="I4" s="28" t="s">
        <v>523</v>
      </c>
      <c r="J4" s="28" t="s">
        <v>524</v>
      </c>
      <c r="K4" s="28" t="s">
        <v>525</v>
      </c>
      <c r="L4" s="28" t="s">
        <v>526</v>
      </c>
      <c r="M4" s="28" t="s">
        <v>527</v>
      </c>
      <c r="N4" s="28" t="s">
        <v>528</v>
      </c>
      <c r="O4" s="28" t="s">
        <v>529</v>
      </c>
      <c r="P4" s="28" t="s">
        <v>530</v>
      </c>
    </row>
    <row r="5" spans="1:25" s="18" customFormat="1" ht="17.25" x14ac:dyDescent="0.35">
      <c r="A5" s="18" t="s">
        <v>56</v>
      </c>
      <c r="B5" s="16" t="s">
        <v>2</v>
      </c>
      <c r="C5" s="16" t="s">
        <v>2</v>
      </c>
      <c r="D5" s="16" t="s">
        <v>2</v>
      </c>
      <c r="E5" s="16" t="s">
        <v>2</v>
      </c>
      <c r="F5" s="16" t="s">
        <v>2</v>
      </c>
      <c r="G5" s="16" t="s">
        <v>2</v>
      </c>
      <c r="H5" s="16" t="s">
        <v>2</v>
      </c>
      <c r="I5" s="16" t="s">
        <v>2</v>
      </c>
      <c r="J5" s="16" t="s">
        <v>2</v>
      </c>
      <c r="K5" s="16" t="s">
        <v>2</v>
      </c>
      <c r="L5" s="16" t="s">
        <v>2</v>
      </c>
      <c r="M5" s="16" t="s">
        <v>2</v>
      </c>
      <c r="N5" s="16" t="s">
        <v>2</v>
      </c>
      <c r="O5" s="16" t="s">
        <v>2</v>
      </c>
      <c r="P5" s="16" t="s">
        <v>2</v>
      </c>
    </row>
    <row r="6" spans="1:25" s="17" customFormat="1" ht="17.25" x14ac:dyDescent="0.35">
      <c r="A6" t="s">
        <v>57</v>
      </c>
      <c r="B6" s="73">
        <f>IF(B5=Inputs!$C$1,B7,B8)</f>
        <v>0</v>
      </c>
      <c r="C6" s="73">
        <f>IF(C5=Inputs!$C$1,C7,C8)</f>
        <v>0</v>
      </c>
      <c r="D6" s="73">
        <f>IF(D5=Inputs!$C$1,D7,D8)</f>
        <v>0</v>
      </c>
      <c r="E6" s="73">
        <f>IF(E5=Inputs!$C$1,E7,E8)</f>
        <v>0</v>
      </c>
      <c r="F6" s="73">
        <f>IF(F5=Inputs!$C$1,F7,F8)</f>
        <v>0</v>
      </c>
      <c r="G6" s="73">
        <f>IF(G5=Inputs!$C$1,G7,G8)</f>
        <v>0</v>
      </c>
      <c r="H6" s="73">
        <f>IF(H5=Inputs!$C$1,H7,H8)</f>
        <v>0</v>
      </c>
      <c r="I6" s="73">
        <f>IF(I5=Inputs!$C$1,I7,I8)</f>
        <v>0</v>
      </c>
      <c r="J6" s="73">
        <f>IF(J5=Inputs!$C$1,J7,J8)</f>
        <v>0</v>
      </c>
      <c r="K6" s="73">
        <f>IF(K5=Inputs!$C$1,K7,K8)</f>
        <v>0</v>
      </c>
      <c r="L6" s="73">
        <f>IF(L5=Inputs!$C$1,L7,L8)</f>
        <v>0</v>
      </c>
      <c r="M6" s="73">
        <f>IF(M5=Inputs!$C$1,M7,M8)</f>
        <v>0</v>
      </c>
      <c r="N6" s="73">
        <f>IF(N5=Inputs!$C$1,N7,N8)</f>
        <v>0</v>
      </c>
      <c r="O6" s="73">
        <f>IF(O5=Inputs!$C$1,O7,O8)</f>
        <v>0</v>
      </c>
      <c r="P6" s="73">
        <f>IF(P5=Inputs!$C$1,P7,P8)</f>
        <v>0</v>
      </c>
    </row>
    <row r="7" spans="1:25" s="18" customFormat="1" ht="17.25" x14ac:dyDescent="0.35">
      <c r="A7" s="18" t="s">
        <v>58</v>
      </c>
      <c r="B7" s="35"/>
      <c r="C7" s="35"/>
      <c r="D7" s="35"/>
      <c r="E7" s="35"/>
      <c r="F7" s="35"/>
      <c r="G7" s="35"/>
      <c r="H7" s="35"/>
      <c r="I7" s="35"/>
      <c r="J7" s="35"/>
      <c r="K7" s="35"/>
      <c r="L7" s="35"/>
      <c r="M7" s="35"/>
      <c r="N7" s="35"/>
      <c r="O7" s="35"/>
      <c r="P7" s="35"/>
    </row>
    <row r="8" spans="1:25" s="18" customFormat="1" ht="17.25" x14ac:dyDescent="0.35">
      <c r="A8" s="18" t="s">
        <v>59</v>
      </c>
      <c r="B8" s="5">
        <f>B26</f>
        <v>0</v>
      </c>
      <c r="C8" s="5">
        <f>B6/60/60/24</f>
        <v>0</v>
      </c>
      <c r="D8" s="5">
        <f>C6/365</f>
        <v>0</v>
      </c>
      <c r="E8" s="5">
        <f>D39*C39*B39/(Inputs!J16*Inputs!K16*Inputs!L16)</f>
        <v>0</v>
      </c>
      <c r="F8" s="5">
        <f>B39*F39*C39/(Inputs!J16*Inputs!K16*Inputs!L16)</f>
        <v>0</v>
      </c>
      <c r="G8" s="5">
        <f>SUM(E6:F6)</f>
        <v>0</v>
      </c>
      <c r="H8" s="5">
        <f>B114*C39*B39</f>
        <v>0</v>
      </c>
      <c r="I8" s="5">
        <f>B124*C39*B39</f>
        <v>0</v>
      </c>
      <c r="J8" s="5">
        <f>C124*D39*C39</f>
        <v>0</v>
      </c>
      <c r="K8" s="5">
        <f>C124*D39*C39</f>
        <v>0</v>
      </c>
      <c r="L8" s="5">
        <f>MAX(E101,F101)*C39*B39</f>
        <v>0</v>
      </c>
      <c r="M8" s="5">
        <f>G101*(B101+C101+MAX(E101,F101))*C39*B39</f>
        <v>0</v>
      </c>
      <c r="N8" s="5">
        <f>H101*(C101+E101+MAX(F101,G101))*D39*C39</f>
        <v>0</v>
      </c>
      <c r="O8" s="5">
        <f>B177*C39*B39</f>
        <v>0</v>
      </c>
      <c r="P8" s="5">
        <f>B187*C39*B39</f>
        <v>0</v>
      </c>
    </row>
    <row r="9" spans="1:25" s="18" customFormat="1" x14ac:dyDescent="0.25">
      <c r="A9" s="18" t="s">
        <v>61</v>
      </c>
      <c r="Y9"/>
    </row>
    <row r="10" spans="1:25" s="18" customFormat="1" x14ac:dyDescent="0.25">
      <c r="Y10"/>
    </row>
    <row r="11" spans="1:25" s="155" customFormat="1" ht="53.25" customHeight="1" x14ac:dyDescent="0.25">
      <c r="A11" s="111" t="s">
        <v>122</v>
      </c>
    </row>
    <row r="12" spans="1:25" s="18" customFormat="1" x14ac:dyDescent="0.25">
      <c r="A12" s="39" t="s">
        <v>123</v>
      </c>
      <c r="B12" s="39">
        <f>MAX(H38/F29,I47/G29,J56/H29)</f>
        <v>3.2374148057699777E-3</v>
      </c>
      <c r="Y12"/>
    </row>
    <row r="13" spans="1:25" s="18" customFormat="1" x14ac:dyDescent="0.25">
      <c r="Y13"/>
    </row>
    <row r="14" spans="1:25" s="18" customFormat="1" x14ac:dyDescent="0.25">
      <c r="Y14"/>
    </row>
    <row r="15" spans="1:25" s="18" customFormat="1" x14ac:dyDescent="0.25">
      <c r="Y15"/>
    </row>
    <row r="16" spans="1:25" s="155" customFormat="1" ht="53.25" customHeight="1" x14ac:dyDescent="0.25">
      <c r="A16" s="111" t="s">
        <v>124</v>
      </c>
    </row>
    <row r="17" spans="1:25" s="18" customFormat="1" x14ac:dyDescent="0.25">
      <c r="A17" s="24" t="s">
        <v>125</v>
      </c>
      <c r="Y17"/>
    </row>
    <row r="18" spans="1:25" s="18" customFormat="1" ht="51.75" x14ac:dyDescent="0.25">
      <c r="A18" t="s">
        <v>9</v>
      </c>
      <c r="B18" s="28" t="s">
        <v>126</v>
      </c>
      <c r="C18" s="28" t="s">
        <v>127</v>
      </c>
      <c r="D18" s="28" t="s">
        <v>128</v>
      </c>
      <c r="E18" s="28" t="s">
        <v>129</v>
      </c>
      <c r="F18" s="28" t="s">
        <v>130</v>
      </c>
      <c r="X18"/>
    </row>
    <row r="19" spans="1:25" s="18" customFormat="1" ht="17.25" x14ac:dyDescent="0.35">
      <c r="A19" s="18" t="s">
        <v>56</v>
      </c>
      <c r="B19" s="16" t="s">
        <v>1</v>
      </c>
      <c r="C19" s="16" t="s">
        <v>2</v>
      </c>
      <c r="D19" s="16" t="s">
        <v>2</v>
      </c>
      <c r="E19" s="16" t="s">
        <v>2</v>
      </c>
      <c r="F19" s="16" t="s">
        <v>2</v>
      </c>
      <c r="X19"/>
    </row>
    <row r="20" spans="1:25" s="18" customFormat="1" ht="17.25" x14ac:dyDescent="0.35">
      <c r="A20" t="s">
        <v>57</v>
      </c>
      <c r="B20" s="73">
        <f>IF(B19=Inputs!$C$1,B21,B22)</f>
        <v>256</v>
      </c>
      <c r="C20" s="73">
        <f>IF(C19=Inputs!$C$1,C21,C22)</f>
        <v>16777216</v>
      </c>
      <c r="D20" s="73">
        <f>IF(D19=Inputs!$C$1,D21,D22)</f>
        <v>16777216</v>
      </c>
      <c r="E20" s="73">
        <f>IF(E19=Inputs!$C$1,E21,E22)</f>
        <v>131072</v>
      </c>
      <c r="F20" s="73">
        <f>IF(F19=Inputs!$C$1,F21,F22)</f>
        <v>630.15384615384619</v>
      </c>
      <c r="X20"/>
    </row>
    <row r="21" spans="1:25" s="18" customFormat="1" ht="17.25" x14ac:dyDescent="0.35">
      <c r="A21" s="18" t="s">
        <v>58</v>
      </c>
      <c r="B21" s="35">
        <v>256</v>
      </c>
      <c r="C21" s="35"/>
      <c r="D21" s="35"/>
      <c r="E21" s="35"/>
      <c r="F21" s="35"/>
      <c r="X21"/>
    </row>
    <row r="22" spans="1:25" s="18" customFormat="1" ht="17.25" x14ac:dyDescent="0.35">
      <c r="A22" s="18" t="s">
        <v>59</v>
      </c>
      <c r="B22" s="5">
        <f>B35</f>
        <v>0</v>
      </c>
      <c r="C22" s="73">
        <f>B20*B20*B20</f>
        <v>16777216</v>
      </c>
      <c r="D22" s="73">
        <f>C20</f>
        <v>16777216</v>
      </c>
      <c r="E22" s="73">
        <f>D20/D29</f>
        <v>131072</v>
      </c>
      <c r="F22" s="157">
        <f>E20/N29</f>
        <v>630.15384615384619</v>
      </c>
      <c r="X22"/>
    </row>
    <row r="23" spans="1:25" s="18" customFormat="1" x14ac:dyDescent="0.25">
      <c r="A23" s="18" t="s">
        <v>61</v>
      </c>
      <c r="I23" s="18" t="s">
        <v>531</v>
      </c>
      <c r="Y23"/>
    </row>
    <row r="24" spans="1:25" s="18" customFormat="1" x14ac:dyDescent="0.25">
      <c r="Y24"/>
    </row>
    <row r="25" spans="1:25" s="155" customFormat="1" ht="53.25" customHeight="1" x14ac:dyDescent="0.25">
      <c r="A25" s="111" t="s">
        <v>131</v>
      </c>
    </row>
    <row r="26" spans="1:25" x14ac:dyDescent="0.25">
      <c r="A26" s="24" t="s">
        <v>125</v>
      </c>
    </row>
    <row r="27" spans="1:25" ht="34.5" x14ac:dyDescent="0.25">
      <c r="A27" t="s">
        <v>9</v>
      </c>
      <c r="B27" s="28" t="s">
        <v>132</v>
      </c>
      <c r="C27" s="28" t="s">
        <v>133</v>
      </c>
      <c r="D27" s="28" t="s">
        <v>134</v>
      </c>
      <c r="E27" s="28" t="s">
        <v>135</v>
      </c>
      <c r="F27" s="28" t="s">
        <v>485</v>
      </c>
      <c r="G27" s="28" t="s">
        <v>486</v>
      </c>
      <c r="H27" s="28" t="s">
        <v>137</v>
      </c>
      <c r="I27" s="28" t="s">
        <v>177</v>
      </c>
      <c r="J27" s="28" t="s">
        <v>487</v>
      </c>
      <c r="K27" s="28" t="s">
        <v>532</v>
      </c>
      <c r="L27" s="28" t="s">
        <v>139</v>
      </c>
      <c r="M27" s="28" t="s">
        <v>140</v>
      </c>
      <c r="N27" s="28" t="s">
        <v>141</v>
      </c>
    </row>
    <row r="28" spans="1:25" s="18" customFormat="1" ht="17.25" x14ac:dyDescent="0.35">
      <c r="A28" s="18" t="s">
        <v>56</v>
      </c>
      <c r="B28" s="16" t="s">
        <v>1</v>
      </c>
      <c r="C28" s="16" t="s">
        <v>1</v>
      </c>
      <c r="D28" s="16" t="s">
        <v>1</v>
      </c>
      <c r="E28" s="16" t="s">
        <v>1</v>
      </c>
      <c r="F28" s="16" t="s">
        <v>1</v>
      </c>
      <c r="G28" s="16" t="s">
        <v>1</v>
      </c>
      <c r="H28" s="16" t="s">
        <v>1</v>
      </c>
      <c r="I28" s="16" t="s">
        <v>1</v>
      </c>
      <c r="J28" s="16" t="s">
        <v>1</v>
      </c>
      <c r="K28" s="16" t="s">
        <v>1</v>
      </c>
      <c r="L28" s="16" t="s">
        <v>1</v>
      </c>
      <c r="M28" s="16" t="s">
        <v>2</v>
      </c>
      <c r="N28" s="16" t="s">
        <v>2</v>
      </c>
    </row>
    <row r="29" spans="1:25" s="17" customFormat="1" ht="17.25" x14ac:dyDescent="0.35">
      <c r="A29" t="s">
        <v>57</v>
      </c>
      <c r="B29" s="73">
        <f>IF(B28=Inputs!$C$1,B30,B31)</f>
        <v>2048</v>
      </c>
      <c r="C29" s="73">
        <f>IF(C28=Inputs!$C$1,C30,C31)</f>
        <v>13</v>
      </c>
      <c r="D29" s="73">
        <f>IF(D28=Inputs!$C$1,D30,D31)</f>
        <v>128</v>
      </c>
      <c r="E29" s="73">
        <f>IF(E28=Inputs!$C$1,E30,E31)</f>
        <v>0.71</v>
      </c>
      <c r="F29" s="73">
        <f>IF(F28=Inputs!$C$1,F30,F31)</f>
        <v>1215</v>
      </c>
      <c r="G29" s="73">
        <f>IF(G28=Inputs!$C$1,G30,G31)</f>
        <v>368</v>
      </c>
      <c r="H29" s="73">
        <f>IF(H28=Inputs!$C$1,H30,H31)</f>
        <v>161</v>
      </c>
      <c r="I29" s="73">
        <f>IF(I28=Inputs!$C$1,I30,I31)</f>
        <v>48</v>
      </c>
      <c r="J29" s="73">
        <f>IF(J28=Inputs!$C$1,J30,J31)</f>
        <v>1250</v>
      </c>
      <c r="K29" s="73">
        <f>IF(K28=Inputs!$C$1,K30,K31)</f>
        <v>3.2000000000000001E-2</v>
      </c>
      <c r="L29" s="73">
        <v>1</v>
      </c>
      <c r="M29" s="73">
        <f>IF(M28=Inputs!$C$1,M30,M31)</f>
        <v>16</v>
      </c>
      <c r="N29" s="73">
        <f>IF(N28=Inputs!$C$1,N30,N31)</f>
        <v>208</v>
      </c>
    </row>
    <row r="30" spans="1:25" s="18" customFormat="1" ht="17.25" x14ac:dyDescent="0.35">
      <c r="A30" s="18" t="s">
        <v>58</v>
      </c>
      <c r="B30" s="35">
        <v>2048</v>
      </c>
      <c r="C30" s="35">
        <v>13</v>
      </c>
      <c r="D30" s="35">
        <v>128</v>
      </c>
      <c r="E30" s="35">
        <v>0.71</v>
      </c>
      <c r="F30" s="35">
        <v>1215</v>
      </c>
      <c r="G30" s="35">
        <v>368</v>
      </c>
      <c r="H30" s="35">
        <v>161</v>
      </c>
      <c r="I30" s="35">
        <v>48</v>
      </c>
      <c r="J30" s="35">
        <v>1250</v>
      </c>
      <c r="K30" s="35">
        <v>3.2000000000000001E-2</v>
      </c>
      <c r="L30" s="35"/>
      <c r="M30" s="35"/>
      <c r="N30" s="35"/>
    </row>
    <row r="31" spans="1:25" s="18" customFormat="1" ht="17.25" x14ac:dyDescent="0.35">
      <c r="A31" s="18" t="s">
        <v>59</v>
      </c>
      <c r="B31" s="5">
        <v>0</v>
      </c>
      <c r="C31" s="5">
        <v>0</v>
      </c>
      <c r="D31" s="5">
        <v>0</v>
      </c>
      <c r="E31" s="5">
        <v>0</v>
      </c>
      <c r="F31" s="5">
        <v>0</v>
      </c>
      <c r="G31" s="5">
        <v>0</v>
      </c>
      <c r="H31" s="5">
        <v>0</v>
      </c>
      <c r="I31" s="5">
        <v>0</v>
      </c>
      <c r="J31" s="5">
        <v>0</v>
      </c>
      <c r="K31" s="5">
        <v>0</v>
      </c>
      <c r="L31" s="73">
        <v>1</v>
      </c>
      <c r="M31" s="73">
        <f>B29/D29</f>
        <v>16</v>
      </c>
      <c r="N31" s="39">
        <f>M29*C29</f>
        <v>208</v>
      </c>
    </row>
    <row r="32" spans="1:25" s="18" customFormat="1" x14ac:dyDescent="0.25">
      <c r="A32" s="18" t="s">
        <v>61</v>
      </c>
      <c r="Y32"/>
    </row>
    <row r="34" spans="1:24" s="155" customFormat="1" ht="53.25" customHeight="1" x14ac:dyDescent="0.25">
      <c r="A34" s="111" t="s">
        <v>144</v>
      </c>
    </row>
    <row r="35" spans="1:24" x14ac:dyDescent="0.25">
      <c r="A35" s="24" t="s">
        <v>125</v>
      </c>
    </row>
    <row r="36" spans="1:24" ht="69" x14ac:dyDescent="0.25">
      <c r="A36" t="s">
        <v>9</v>
      </c>
      <c r="B36" s="28" t="s">
        <v>145</v>
      </c>
      <c r="C36" s="28" t="s">
        <v>132</v>
      </c>
      <c r="D36" s="28" t="s">
        <v>146</v>
      </c>
      <c r="E36" s="28" t="s">
        <v>147</v>
      </c>
      <c r="F36" s="28" t="s">
        <v>148</v>
      </c>
      <c r="G36" s="28" t="s">
        <v>149</v>
      </c>
      <c r="H36" s="28" t="s">
        <v>150</v>
      </c>
      <c r="I36" s="28"/>
      <c r="J36" s="28"/>
      <c r="K36" s="28"/>
      <c r="L36" s="28"/>
      <c r="M36" s="28"/>
      <c r="N36" s="28"/>
      <c r="O36" s="28"/>
    </row>
    <row r="37" spans="1:24" ht="17.25" x14ac:dyDescent="0.35">
      <c r="A37" s="18" t="s">
        <v>56</v>
      </c>
      <c r="B37" s="16" t="s">
        <v>1</v>
      </c>
      <c r="C37" s="16" t="s">
        <v>2</v>
      </c>
      <c r="D37" s="16" t="s">
        <v>2</v>
      </c>
      <c r="E37" s="16" t="s">
        <v>1</v>
      </c>
      <c r="F37" s="16" t="s">
        <v>1</v>
      </c>
      <c r="G37" s="16" t="s">
        <v>1</v>
      </c>
      <c r="H37" s="16" t="s">
        <v>2</v>
      </c>
    </row>
    <row r="38" spans="1:24" ht="17.25" x14ac:dyDescent="0.35">
      <c r="A38" t="s">
        <v>57</v>
      </c>
      <c r="B38" s="73">
        <f>IF(B37=Inputs!$C$1,B39,B40)</f>
        <v>8</v>
      </c>
      <c r="C38" s="73">
        <f>IF(C37=Inputs!$C$1,C39,C40)</f>
        <v>2048</v>
      </c>
      <c r="D38" s="73">
        <f>IF(D37=Inputs!$C$1,D39,D40)</f>
        <v>9</v>
      </c>
      <c r="E38" s="73">
        <f>IF(E37=Inputs!$C$1,E39,E40)</f>
        <v>1</v>
      </c>
      <c r="F38" s="73">
        <f>IF(F37=Inputs!$C$1,F39,F40)</f>
        <v>5</v>
      </c>
      <c r="G38" s="73">
        <f>IF(G37=Inputs!$C$1,G39,G40)</f>
        <v>2</v>
      </c>
      <c r="H38" s="73">
        <f>IF(H37=Inputs!$C$1,H39,H40)</f>
        <v>1.25</v>
      </c>
    </row>
    <row r="39" spans="1:24" ht="17.25" x14ac:dyDescent="0.35">
      <c r="A39" s="18" t="s">
        <v>58</v>
      </c>
      <c r="B39" s="35">
        <v>8</v>
      </c>
      <c r="C39" s="35"/>
      <c r="D39" s="35"/>
      <c r="E39" s="35">
        <v>1</v>
      </c>
      <c r="F39" s="35">
        <v>5</v>
      </c>
      <c r="G39" s="35">
        <v>2</v>
      </c>
      <c r="H39" s="35"/>
    </row>
    <row r="40" spans="1:24" ht="17.25" x14ac:dyDescent="0.35">
      <c r="A40" s="18" t="s">
        <v>59</v>
      </c>
      <c r="B40" s="5">
        <v>0</v>
      </c>
      <c r="C40" s="5">
        <f>B29</f>
        <v>2048</v>
      </c>
      <c r="D40" s="5">
        <f>F38+2*G38</f>
        <v>9</v>
      </c>
      <c r="E40" s="5">
        <v>0</v>
      </c>
      <c r="F40" s="5">
        <v>0</v>
      </c>
      <c r="G40" s="5">
        <v>0</v>
      </c>
      <c r="H40" s="5">
        <f>C20*B38*(D38+E38)/1024^3</f>
        <v>1.25</v>
      </c>
    </row>
    <row r="41" spans="1:24" s="18" customFormat="1" x14ac:dyDescent="0.25">
      <c r="A41" s="18" t="s">
        <v>61</v>
      </c>
      <c r="X41"/>
    </row>
    <row r="43" spans="1:24" s="155" customFormat="1" ht="53.25" customHeight="1" x14ac:dyDescent="0.25">
      <c r="A43" s="111" t="s">
        <v>491</v>
      </c>
    </row>
    <row r="44" spans="1:24" x14ac:dyDescent="0.25">
      <c r="A44" s="24" t="s">
        <v>125</v>
      </c>
      <c r="B44" s="4"/>
    </row>
    <row r="45" spans="1:24" ht="69" x14ac:dyDescent="0.25">
      <c r="A45" t="s">
        <v>9</v>
      </c>
      <c r="B45" s="28" t="s">
        <v>159</v>
      </c>
      <c r="C45" s="28" t="s">
        <v>154</v>
      </c>
      <c r="D45" s="28" t="s">
        <v>492</v>
      </c>
      <c r="E45" s="28" t="s">
        <v>155</v>
      </c>
      <c r="F45" s="28" t="s">
        <v>493</v>
      </c>
      <c r="G45" s="28" t="s">
        <v>164</v>
      </c>
      <c r="H45" s="28" t="s">
        <v>494</v>
      </c>
      <c r="I45" s="28" t="s">
        <v>495</v>
      </c>
      <c r="J45" s="28"/>
      <c r="K45" s="28"/>
      <c r="L45" s="28"/>
      <c r="M45" s="28"/>
      <c r="N45" s="28"/>
      <c r="O45" s="28"/>
    </row>
    <row r="46" spans="1:24" ht="17.25" x14ac:dyDescent="0.35">
      <c r="A46" s="18" t="s">
        <v>56</v>
      </c>
      <c r="B46" s="16" t="s">
        <v>2</v>
      </c>
      <c r="C46" s="16" t="s">
        <v>2</v>
      </c>
      <c r="D46" s="16" t="s">
        <v>2</v>
      </c>
      <c r="E46" s="16" t="s">
        <v>2</v>
      </c>
      <c r="F46" s="16" t="s">
        <v>1</v>
      </c>
      <c r="G46" s="16" t="s">
        <v>2</v>
      </c>
      <c r="H46" s="16" t="s">
        <v>1</v>
      </c>
      <c r="I46" s="16" t="s">
        <v>2</v>
      </c>
    </row>
    <row r="47" spans="1:24" ht="17.25" x14ac:dyDescent="0.35">
      <c r="A47" t="s">
        <v>57</v>
      </c>
      <c r="B47" s="73">
        <f>IF(B46=Inputs!$C$1,B48,B49)</f>
        <v>8</v>
      </c>
      <c r="C47" s="73">
        <f>IF(C46=Inputs!$C$1,C48,C49)</f>
        <v>131072</v>
      </c>
      <c r="D47" s="73">
        <f>IF(D46=Inputs!$C$1,D48,D49)</f>
        <v>716.90666666666664</v>
      </c>
      <c r="E47" s="73">
        <f>IF(E46=Inputs!$C$1,E48,E49)</f>
        <v>128</v>
      </c>
      <c r="F47" s="73">
        <f>IF(F46=Inputs!$C$1,F48,F49)</f>
        <v>704</v>
      </c>
      <c r="G47" s="73">
        <f>IF(G46=Inputs!$C$1,G48,G49)</f>
        <v>1.8333333333333333E-2</v>
      </c>
      <c r="H47" s="73">
        <f>IF(H46=Inputs!$C$1,H48,H49)</f>
        <v>0.01</v>
      </c>
      <c r="I47" s="73">
        <f>IF(I46=Inputs!$C$1,I48,I49)</f>
        <v>0.82510416666666664</v>
      </c>
    </row>
    <row r="48" spans="1:24" ht="17.25" x14ac:dyDescent="0.35">
      <c r="A48" s="18" t="s">
        <v>58</v>
      </c>
      <c r="B48" s="35"/>
      <c r="C48" s="35"/>
      <c r="D48" s="35"/>
      <c r="E48" s="35"/>
      <c r="F48" s="35">
        <v>704</v>
      </c>
      <c r="G48" s="35"/>
      <c r="H48" s="35">
        <v>0.01</v>
      </c>
      <c r="I48" s="35"/>
    </row>
    <row r="49" spans="1:14" ht="17.25" x14ac:dyDescent="0.35">
      <c r="A49" s="18" t="s">
        <v>59</v>
      </c>
      <c r="B49" s="5">
        <f>B38</f>
        <v>8</v>
      </c>
      <c r="C49" s="5">
        <f>E20</f>
        <v>131072</v>
      </c>
      <c r="D49" s="5">
        <f>F47*(1+G47)</f>
        <v>716.90666666666664</v>
      </c>
      <c r="E49" s="5">
        <f>E38*D29</f>
        <v>128</v>
      </c>
      <c r="F49" s="5">
        <v>0</v>
      </c>
      <c r="G49" s="5">
        <f>L29*C38*F47*H47*B47/(D29*I29*1024)</f>
        <v>1.8333333333333333E-2</v>
      </c>
      <c r="H49" s="5">
        <v>0</v>
      </c>
      <c r="I49" s="5">
        <f>C47*B47*(D47+E47)/1024^3</f>
        <v>0.82510416666666664</v>
      </c>
    </row>
    <row r="50" spans="1:14" x14ac:dyDescent="0.25">
      <c r="A50" s="18" t="s">
        <v>61</v>
      </c>
      <c r="B50" t="s">
        <v>156</v>
      </c>
    </row>
    <row r="52" spans="1:14" s="155" customFormat="1" ht="53.25" customHeight="1" x14ac:dyDescent="0.25">
      <c r="A52" s="111" t="s">
        <v>496</v>
      </c>
    </row>
    <row r="53" spans="1:14" x14ac:dyDescent="0.25">
      <c r="A53" s="24" t="s">
        <v>125</v>
      </c>
    </row>
    <row r="54" spans="1:14" ht="69" x14ac:dyDescent="0.25">
      <c r="A54" t="s">
        <v>9</v>
      </c>
      <c r="B54" s="28" t="s">
        <v>159</v>
      </c>
      <c r="C54" s="28" t="s">
        <v>160</v>
      </c>
      <c r="D54" s="28" t="s">
        <v>178</v>
      </c>
      <c r="E54" s="28" t="s">
        <v>162</v>
      </c>
      <c r="F54" s="28" t="s">
        <v>163</v>
      </c>
      <c r="G54" s="28" t="s">
        <v>497</v>
      </c>
      <c r="H54" s="28" t="s">
        <v>165</v>
      </c>
      <c r="I54" s="28" t="s">
        <v>141</v>
      </c>
      <c r="J54" s="28" t="s">
        <v>179</v>
      </c>
      <c r="K54" s="28"/>
      <c r="L54" s="28"/>
      <c r="M54" s="28"/>
      <c r="N54" s="28"/>
    </row>
    <row r="55" spans="1:14" ht="17.25" x14ac:dyDescent="0.35">
      <c r="A55" s="18" t="s">
        <v>56</v>
      </c>
      <c r="B55" s="16" t="s">
        <v>2</v>
      </c>
      <c r="C55" s="16" t="s">
        <v>2</v>
      </c>
      <c r="D55" s="16" t="s">
        <v>2</v>
      </c>
      <c r="E55" s="16" t="s">
        <v>2</v>
      </c>
      <c r="F55" s="16" t="s">
        <v>1</v>
      </c>
      <c r="G55" s="16" t="s">
        <v>2</v>
      </c>
      <c r="H55" s="16" t="s">
        <v>1</v>
      </c>
      <c r="I55" s="16" t="s">
        <v>2</v>
      </c>
      <c r="J55" s="16" t="s">
        <v>2</v>
      </c>
    </row>
    <row r="56" spans="1:14" ht="17.25" x14ac:dyDescent="0.35">
      <c r="A56" t="s">
        <v>57</v>
      </c>
      <c r="B56" s="73">
        <f>IF(B55=Inputs!$C$1,B57,B58)</f>
        <v>8</v>
      </c>
      <c r="C56" s="73">
        <f>IF(C55=Inputs!$C$1,C57,C58)</f>
        <v>630.15384615384619</v>
      </c>
      <c r="D56" s="73">
        <f>IF(D55=Inputs!$C$1,D57,D58)</f>
        <v>84392.496144000004</v>
      </c>
      <c r="E56" s="73">
        <f>IF(E55=Inputs!$C$1,E57,E58)</f>
        <v>26624</v>
      </c>
      <c r="F56" s="73">
        <f>IF(F55=Inputs!$C$1,F57,F58)</f>
        <v>83952</v>
      </c>
      <c r="G56" s="73">
        <f>IF(G55=Inputs!$C$1,G57,G58)</f>
        <v>5.2469999999999999E-3</v>
      </c>
      <c r="H56" s="73">
        <f>IF(H55=Inputs!$C$1,H57,H58)</f>
        <v>0.01</v>
      </c>
      <c r="I56" s="73">
        <f>IF(I55=Inputs!$C$1,I57,I58)</f>
        <v>208</v>
      </c>
      <c r="J56" s="73">
        <f>IF(J55=Inputs!$C$1,J57,J58)</f>
        <v>0.52122378372896638</v>
      </c>
    </row>
    <row r="57" spans="1:14" ht="17.25" x14ac:dyDescent="0.35">
      <c r="A57" s="18" t="s">
        <v>58</v>
      </c>
      <c r="B57" s="35"/>
      <c r="C57" s="35"/>
      <c r="D57" s="35"/>
      <c r="E57" s="35"/>
      <c r="F57" s="35">
        <v>83952</v>
      </c>
      <c r="G57" s="35"/>
      <c r="H57" s="35">
        <v>0.01</v>
      </c>
      <c r="I57" s="35"/>
      <c r="J57" s="35"/>
    </row>
    <row r="58" spans="1:14" ht="17.25" x14ac:dyDescent="0.35">
      <c r="A58" s="18" t="s">
        <v>59</v>
      </c>
      <c r="B58" s="5">
        <f>B38</f>
        <v>8</v>
      </c>
      <c r="C58" s="5">
        <f>F20</f>
        <v>630.15384615384619</v>
      </c>
      <c r="D58" s="5">
        <f>F56*(1+G56)</f>
        <v>84392.496144000004</v>
      </c>
      <c r="E58" s="5">
        <f>I56*E47</f>
        <v>26624</v>
      </c>
      <c r="F58" s="5">
        <v>0</v>
      </c>
      <c r="G58" s="5">
        <f>F56*B56*H56/(J29*1024)</f>
        <v>5.2469999999999999E-3</v>
      </c>
      <c r="H58" s="5">
        <v>0</v>
      </c>
      <c r="I58" s="5">
        <f>N29</f>
        <v>208</v>
      </c>
      <c r="J58" s="5">
        <f>B56*C56*(D56+E56)/1024^3</f>
        <v>0.52122378372896638</v>
      </c>
    </row>
    <row r="59" spans="1:14" x14ac:dyDescent="0.25">
      <c r="A59" s="18" t="s">
        <v>61</v>
      </c>
      <c r="B59" t="s">
        <v>172</v>
      </c>
    </row>
  </sheetData>
  <conditionalFormatting sqref="A19:F19">
    <cfRule type="containsText" dxfId="29" priority="4" operator="containsText" text="calculated">
      <formula>NOT(ISERROR(SEARCH("calculated",A19)))</formula>
    </cfRule>
  </conditionalFormatting>
  <conditionalFormatting sqref="A37:H37">
    <cfRule type="containsText" dxfId="28" priority="28" operator="containsText" text="calculated">
      <formula>NOT(ISERROR(SEARCH("calculated",A37)))</formula>
    </cfRule>
  </conditionalFormatting>
  <conditionalFormatting sqref="A46:I46">
    <cfRule type="containsText" dxfId="27" priority="17" operator="containsText" text="calculated">
      <formula>NOT(ISERROR(SEARCH("calculated",A46)))</formula>
    </cfRule>
  </conditionalFormatting>
  <conditionalFormatting sqref="A55:J55">
    <cfRule type="containsText" dxfId="26" priority="1" operator="containsText" text="calculated">
      <formula>NOT(ISERROR(SEARCH("calculated",A55)))</formula>
    </cfRule>
  </conditionalFormatting>
  <conditionalFormatting sqref="A5:XFD5">
    <cfRule type="containsText" dxfId="25" priority="41" operator="containsText" text="calculated">
      <formula>NOT(ISERROR(SEARCH("calculated",A5)))</formula>
    </cfRule>
  </conditionalFormatting>
  <conditionalFormatting sqref="A28:XFD28">
    <cfRule type="containsText" dxfId="24" priority="3" operator="containsText" text="calculated">
      <formula>NOT(ISERROR(SEARCH("calculated",A28)))</formula>
    </cfRule>
  </conditionalFormatting>
  <pageMargins left="0.7" right="0.7" top="0.75" bottom="0.75" header="0.3" footer="0.3"/>
  <pageSetup paperSize="9" orientation="portrait" r:id="rId1"/>
  <headerFooter>
    <oddFooter>&amp;R&amp;1#&amp;"Calibri"&amp;8&amp;K000000strictly confidential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A76C70C-DB38-4761-A3EA-8060AD240AAA}">
          <x14:formula1>
            <xm:f>Inputs!$C$1:$D$1</xm:f>
          </x14:formula1>
          <xm:sqref>B5:P5 B19:F19 B28:N28 B37:H37 B46:I46 B55:J55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B52CD-34FC-4524-B488-E89DD0B8D73C}">
  <sheetPr codeName="Sheet13"/>
  <dimension ref="A1:AN144"/>
  <sheetViews>
    <sheetView workbookViewId="0"/>
  </sheetViews>
  <sheetFormatPr defaultRowHeight="15" x14ac:dyDescent="0.25"/>
  <cols>
    <col min="1" max="1" width="40.28515625" customWidth="1"/>
    <col min="2" max="31" width="20.7109375" customWidth="1"/>
  </cols>
  <sheetData>
    <row r="1" spans="1:40" s="132" customFormat="1" ht="37.5" customHeight="1" x14ac:dyDescent="0.25">
      <c r="A1" s="125" t="s">
        <v>533</v>
      </c>
      <c r="B1" s="159"/>
      <c r="C1" s="159"/>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row>
    <row r="2" spans="1:40" s="19" customFormat="1" ht="90" customHeight="1" x14ac:dyDescent="0.25">
      <c r="A2" s="24" t="s">
        <v>9</v>
      </c>
      <c r="B2" s="28" t="s">
        <v>181</v>
      </c>
      <c r="C2" s="28" t="s">
        <v>534</v>
      </c>
      <c r="D2" s="28" t="s">
        <v>535</v>
      </c>
      <c r="E2" s="28" t="s">
        <v>536</v>
      </c>
      <c r="F2" s="28" t="s">
        <v>537</v>
      </c>
      <c r="G2" s="28" t="s">
        <v>538</v>
      </c>
      <c r="H2" s="28" t="s">
        <v>539</v>
      </c>
      <c r="I2" s="28" t="s">
        <v>540</v>
      </c>
      <c r="J2" s="28" t="s">
        <v>541</v>
      </c>
      <c r="K2" s="28" t="s">
        <v>542</v>
      </c>
      <c r="L2" s="28" t="s">
        <v>543</v>
      </c>
      <c r="M2" s="28" t="s">
        <v>544</v>
      </c>
      <c r="N2" s="28"/>
      <c r="O2" s="28"/>
      <c r="P2" s="28"/>
      <c r="Q2" s="28"/>
      <c r="R2" s="28"/>
      <c r="S2" s="28"/>
      <c r="T2" s="28"/>
      <c r="U2" s="28"/>
      <c r="V2" s="28"/>
      <c r="W2" s="28"/>
      <c r="X2" s="28"/>
      <c r="Y2" s="29"/>
      <c r="Z2" s="29"/>
      <c r="AA2" s="29"/>
      <c r="AB2" s="29"/>
      <c r="AC2" s="29"/>
      <c r="AD2" s="29"/>
      <c r="AE2" s="29"/>
    </row>
    <row r="3" spans="1:40" s="18" customFormat="1" ht="17.25" x14ac:dyDescent="0.35">
      <c r="A3" s="18" t="s">
        <v>56</v>
      </c>
      <c r="B3" s="16" t="s">
        <v>2</v>
      </c>
      <c r="C3" s="16" t="s">
        <v>2</v>
      </c>
      <c r="D3" s="16" t="s">
        <v>2</v>
      </c>
      <c r="E3" s="16" t="s">
        <v>2</v>
      </c>
      <c r="F3" s="16" t="s">
        <v>2</v>
      </c>
      <c r="G3" s="16" t="s">
        <v>2</v>
      </c>
      <c r="H3" s="16" t="s">
        <v>2</v>
      </c>
      <c r="I3" s="16" t="s">
        <v>2</v>
      </c>
      <c r="J3" s="16" t="s">
        <v>2</v>
      </c>
      <c r="K3" s="16" t="s">
        <v>2</v>
      </c>
      <c r="L3" s="16" t="s">
        <v>2</v>
      </c>
      <c r="M3" s="16" t="s">
        <v>2</v>
      </c>
      <c r="N3" s="16"/>
      <c r="O3" s="16"/>
      <c r="P3" s="16"/>
      <c r="Q3" s="16"/>
      <c r="R3" s="16"/>
      <c r="S3" s="16"/>
      <c r="T3" s="16"/>
      <c r="U3" s="16"/>
      <c r="V3" s="16"/>
      <c r="W3" s="16"/>
      <c r="X3" s="16"/>
      <c r="Y3" s="16"/>
      <c r="Z3" s="16"/>
      <c r="AA3" s="16"/>
      <c r="AB3" s="16"/>
      <c r="AC3" s="16"/>
      <c r="AD3" s="16"/>
      <c r="AE3" s="16"/>
    </row>
    <row r="4" spans="1:40" s="133" customFormat="1" ht="17.25" x14ac:dyDescent="0.35">
      <c r="A4" t="s">
        <v>57</v>
      </c>
      <c r="B4" s="44">
        <f>IF(B3=Inputs!$C$1,B5,B6)</f>
        <v>35781399367654.914</v>
      </c>
      <c r="C4" s="44">
        <f>IF(C3=Inputs!$C$1,C5,C6)</f>
        <v>8.3299097727900656E+16</v>
      </c>
      <c r="D4" s="44">
        <f>IF(D3=Inputs!$C$1,D5,D6)</f>
        <v>2328.0000000000005</v>
      </c>
      <c r="E4" s="44">
        <f>IF(E3=Inputs!$C$1,E5,E6)</f>
        <v>177811767132.49002</v>
      </c>
      <c r="F4" s="44">
        <f>IF(F3=Inputs!$C$1,F5,F6)</f>
        <v>7.3604433107653208E+25</v>
      </c>
      <c r="G4" s="44">
        <f>IF(G3=Inputs!$C$1,G5,G6)</f>
        <v>3.0468245496161437E+40</v>
      </c>
      <c r="H4" s="44">
        <f>IF(H3=Inputs!$C$1,H5,H6)</f>
        <v>2.2900095595299152E+16</v>
      </c>
      <c r="I4" s="44">
        <f>IF(I3=Inputs!$C$1,I5,I6)</f>
        <v>0</v>
      </c>
      <c r="J4" s="44">
        <f>IF(J3=Inputs!$C$1,J5,J6)</f>
        <v>0</v>
      </c>
      <c r="K4" s="44">
        <f>IF(K3=Inputs!$C$1,K5,K6)</f>
        <v>0</v>
      </c>
      <c r="L4" s="44">
        <f>IF(L3=Inputs!$C$1,L5,L6)</f>
        <v>4.6515819177951392E+16</v>
      </c>
      <c r="M4" s="44">
        <f>IF(M3=Inputs!$C$1,M5,M6)</f>
        <v>1.3883182954650106E+16</v>
      </c>
      <c r="N4" s="73"/>
      <c r="O4" s="73"/>
      <c r="P4" s="73"/>
      <c r="Q4" s="73"/>
      <c r="R4" s="73"/>
      <c r="S4" s="73"/>
      <c r="T4" s="73"/>
      <c r="U4" s="73"/>
      <c r="V4" s="73"/>
      <c r="W4" s="73"/>
      <c r="X4" s="73"/>
      <c r="Y4" s="73"/>
      <c r="Z4" s="73"/>
      <c r="AA4" s="73"/>
      <c r="AB4" s="73"/>
      <c r="AC4" s="17"/>
      <c r="AD4" s="17"/>
      <c r="AE4" s="17"/>
      <c r="AF4" s="17"/>
      <c r="AG4" s="17"/>
      <c r="AH4" s="17"/>
      <c r="AI4" s="17"/>
      <c r="AJ4" s="17"/>
      <c r="AK4" s="17"/>
      <c r="AL4" s="17"/>
      <c r="AM4" s="17"/>
      <c r="AN4" s="17"/>
    </row>
    <row r="5" spans="1:40" s="18" customFormat="1" ht="17.25" x14ac:dyDescent="0.35">
      <c r="A5" s="18" t="s">
        <v>58</v>
      </c>
      <c r="B5" s="3"/>
      <c r="C5" s="3"/>
      <c r="D5" s="3"/>
      <c r="E5" s="3"/>
      <c r="F5" s="3"/>
      <c r="G5" s="3"/>
      <c r="H5" s="3"/>
      <c r="I5" s="3"/>
      <c r="J5" s="3"/>
      <c r="K5" s="3"/>
      <c r="L5" s="3"/>
      <c r="M5" s="3"/>
      <c r="N5" s="3"/>
      <c r="O5" s="3"/>
      <c r="P5" s="3"/>
      <c r="Q5" s="3"/>
      <c r="R5" s="3"/>
      <c r="S5" s="3"/>
      <c r="T5" s="3"/>
      <c r="U5" s="3"/>
      <c r="V5" s="3"/>
      <c r="W5" s="3"/>
      <c r="X5" s="16"/>
      <c r="Y5" s="16"/>
      <c r="Z5" s="16"/>
      <c r="AA5" s="3"/>
      <c r="AB5" s="16"/>
      <c r="AC5" s="16"/>
      <c r="AD5" s="16"/>
      <c r="AE5" s="16"/>
    </row>
    <row r="6" spans="1:40" s="18" customFormat="1" ht="17.25" x14ac:dyDescent="0.35">
      <c r="A6" s="18" t="s">
        <v>59</v>
      </c>
      <c r="B6" s="5">
        <f>'Performance Model'!B4</f>
        <v>35781399367654.914</v>
      </c>
      <c r="C6" s="5">
        <f>B9</f>
        <v>8.3299097727900656E+16</v>
      </c>
      <c r="D6" s="5">
        <f>C6/B6</f>
        <v>2328.0000000000005</v>
      </c>
      <c r="E6" s="5">
        <f>'Performance Model'!X4*2/C6</f>
        <v>177811767132.49002</v>
      </c>
      <c r="F6" s="5">
        <f>('Performance Model'!Z6*10^12)^2/D6</f>
        <v>7.3604433107653208E+25</v>
      </c>
      <c r="G6" s="5">
        <f>('Performance Model'!Z6*10^12)^3/D6</f>
        <v>3.0468245496161437E+40</v>
      </c>
      <c r="H6" s="5">
        <f>C23*D23*B23</f>
        <v>2.2900095595299152E+16</v>
      </c>
      <c r="I6" s="5">
        <f>B23*E23*F23</f>
        <v>0</v>
      </c>
      <c r="J6" s="5">
        <f>D13</f>
        <v>0</v>
      </c>
      <c r="K6" s="5">
        <f>E13</f>
        <v>0</v>
      </c>
      <c r="L6" s="5">
        <f>F13</f>
        <v>4.6515819177951392E+16</v>
      </c>
      <c r="M6" s="5">
        <f>(B13-1)*(C13+D13+E13+F13)</f>
        <v>1.3883182954650106E+16</v>
      </c>
      <c r="N6" s="5"/>
      <c r="O6" s="5"/>
      <c r="P6" s="5"/>
      <c r="Q6" s="5"/>
      <c r="R6" s="5"/>
      <c r="S6" s="5"/>
      <c r="T6" s="5"/>
      <c r="U6" s="5"/>
      <c r="V6" s="5"/>
      <c r="W6" s="5"/>
      <c r="X6" s="5"/>
      <c r="Y6" s="5"/>
      <c r="Z6" s="5"/>
      <c r="AA6" s="34"/>
      <c r="AB6" s="5"/>
      <c r="AC6" s="5"/>
      <c r="AD6" s="5"/>
      <c r="AE6" s="5"/>
    </row>
    <row r="7" spans="1:40" s="18" customFormat="1" ht="15.75" thickBot="1" x14ac:dyDescent="0.3">
      <c r="A7" s="18" t="s">
        <v>61</v>
      </c>
      <c r="E7" s="18">
        <f>'Performance Model'!X4*2/B6/D6</f>
        <v>177811767132.48999</v>
      </c>
    </row>
    <row r="8" spans="1:40" s="134" customFormat="1" ht="24.75" x14ac:dyDescent="0.25">
      <c r="A8" s="109" t="s">
        <v>545</v>
      </c>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201"/>
      <c r="AN8" s="201"/>
    </row>
    <row r="9" spans="1:40" s="18" customFormat="1" ht="17.25" x14ac:dyDescent="0.35">
      <c r="A9" s="17" t="s">
        <v>546</v>
      </c>
      <c r="B9" s="22">
        <f>B13*(C13+D13+E13+F13)</f>
        <v>8.3299097727900656E+16</v>
      </c>
    </row>
    <row r="10" spans="1:40" s="18" customFormat="1" x14ac:dyDescent="0.25">
      <c r="A10" s="18" t="s">
        <v>125</v>
      </c>
    </row>
    <row r="11" spans="1:40" s="24" customFormat="1" ht="69" x14ac:dyDescent="0.35">
      <c r="A11" s="24" t="s">
        <v>9</v>
      </c>
      <c r="B11" s="25" t="s">
        <v>547</v>
      </c>
      <c r="C11" s="25" t="s">
        <v>548</v>
      </c>
      <c r="D11" s="25" t="s">
        <v>549</v>
      </c>
      <c r="E11" s="25" t="s">
        <v>550</v>
      </c>
      <c r="F11" s="25" t="s">
        <v>551</v>
      </c>
      <c r="G11" s="70"/>
      <c r="H11" s="70"/>
      <c r="I11" s="70"/>
    </row>
    <row r="12" spans="1:40" s="18" customFormat="1" ht="17.25" customHeight="1" x14ac:dyDescent="0.35">
      <c r="A12" s="18" t="s">
        <v>56</v>
      </c>
      <c r="B12" s="16" t="s">
        <v>1</v>
      </c>
      <c r="C12" s="16" t="s">
        <v>2</v>
      </c>
      <c r="D12" s="16" t="s">
        <v>2</v>
      </c>
      <c r="E12" s="16" t="s">
        <v>2</v>
      </c>
      <c r="F12" s="16" t="s">
        <v>2</v>
      </c>
      <c r="G12" s="70"/>
    </row>
    <row r="13" spans="1:40" s="133" customFormat="1" ht="17.25" x14ac:dyDescent="0.35">
      <c r="A13" t="s">
        <v>57</v>
      </c>
      <c r="B13" s="44">
        <f>IF(B12=Inputs!$C$1,B14,B15)</f>
        <v>1.2</v>
      </c>
      <c r="C13" s="17">
        <f>IF(C12=Inputs!$C$1,C14,C15)</f>
        <v>2.2900095595299152E+16</v>
      </c>
      <c r="D13" s="17">
        <f>IF(D12=Inputs!$C$1,D14,D15)</f>
        <v>0</v>
      </c>
      <c r="E13" s="17">
        <f>IF(E12=Inputs!$C$1,E14,E15)</f>
        <v>0</v>
      </c>
      <c r="F13" s="17">
        <f>IF(F12=Inputs!$C$1,F14,F15)</f>
        <v>4.6515819177951392E+16</v>
      </c>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row>
    <row r="14" spans="1:40" s="18" customFormat="1" ht="17.25" x14ac:dyDescent="0.35">
      <c r="A14" s="18" t="s">
        <v>58</v>
      </c>
      <c r="B14" s="142">
        <v>1.2</v>
      </c>
      <c r="C14" s="15"/>
      <c r="D14" s="142"/>
      <c r="E14" s="142"/>
      <c r="F14" s="15"/>
    </row>
    <row r="15" spans="1:40" s="18" customFormat="1" ht="17.25" x14ac:dyDescent="0.35">
      <c r="A15" s="18" t="s">
        <v>218</v>
      </c>
      <c r="B15" s="38"/>
      <c r="C15" s="5">
        <f>B19</f>
        <v>2.2900095595299152E+16</v>
      </c>
      <c r="D15" s="5">
        <f>B47</f>
        <v>0</v>
      </c>
      <c r="E15" s="5">
        <f>B92</f>
        <v>0</v>
      </c>
      <c r="F15" s="5">
        <f>B137</f>
        <v>4.6515819177951392E+16</v>
      </c>
    </row>
    <row r="16" spans="1:40" s="18" customFormat="1" ht="45" x14ac:dyDescent="0.25">
      <c r="A16" s="18" t="s">
        <v>61</v>
      </c>
      <c r="B16" s="24" t="s">
        <v>552</v>
      </c>
    </row>
    <row r="17" spans="1:40" s="18" customFormat="1" ht="15.75" thickBot="1" x14ac:dyDescent="0.3">
      <c r="AC17" s="71"/>
      <c r="AD17" s="71"/>
    </row>
    <row r="18" spans="1:40" s="134" customFormat="1" ht="30.75" customHeight="1" x14ac:dyDescent="0.25">
      <c r="A18" s="109" t="s">
        <v>553</v>
      </c>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201"/>
      <c r="AN18" s="201"/>
    </row>
    <row r="19" spans="1:40" s="18" customFormat="1" ht="17.25" x14ac:dyDescent="0.35">
      <c r="A19" s="17"/>
      <c r="B19" s="22">
        <f>B23*(C23*D23+E23*F23)</f>
        <v>2.2900095595299152E+16</v>
      </c>
      <c r="C19" s="23"/>
      <c r="D19" s="36"/>
      <c r="E19" s="23"/>
      <c r="F19" s="37"/>
    </row>
    <row r="20" spans="1:40" s="18" customFormat="1" ht="45" x14ac:dyDescent="0.25">
      <c r="A20" s="18" t="s">
        <v>125</v>
      </c>
      <c r="B20" s="24"/>
      <c r="C20" s="24" t="s">
        <v>554</v>
      </c>
    </row>
    <row r="21" spans="1:40" s="24" customFormat="1" ht="34.5" x14ac:dyDescent="0.35">
      <c r="A21" s="24" t="s">
        <v>9</v>
      </c>
      <c r="B21" s="25" t="s">
        <v>555</v>
      </c>
      <c r="C21" s="25" t="s">
        <v>556</v>
      </c>
      <c r="D21" s="25" t="s">
        <v>557</v>
      </c>
      <c r="E21" s="25" t="s">
        <v>558</v>
      </c>
      <c r="F21" s="25" t="s">
        <v>559</v>
      </c>
      <c r="G21" s="25"/>
      <c r="H21" s="25"/>
      <c r="I21" s="25"/>
      <c r="J21" s="25"/>
      <c r="K21" s="25"/>
      <c r="L21" s="25"/>
      <c r="M21" s="25"/>
      <c r="N21" s="25"/>
      <c r="O21" s="25"/>
      <c r="P21" s="25"/>
      <c r="Q21" s="25"/>
      <c r="R21" s="25"/>
      <c r="S21" s="70"/>
      <c r="T21" s="70"/>
      <c r="U21" s="70"/>
    </row>
    <row r="22" spans="1:40" s="18" customFormat="1" ht="17.25" customHeight="1" x14ac:dyDescent="0.35">
      <c r="A22" s="18" t="s">
        <v>56</v>
      </c>
      <c r="B22" s="16" t="s">
        <v>2</v>
      </c>
      <c r="C22" s="16" t="s">
        <v>2</v>
      </c>
      <c r="D22" s="16" t="s">
        <v>2</v>
      </c>
      <c r="E22" s="16" t="s">
        <v>2</v>
      </c>
      <c r="F22" s="16" t="s">
        <v>2</v>
      </c>
      <c r="G22" s="16"/>
      <c r="H22" s="16"/>
      <c r="I22" s="16"/>
      <c r="J22" s="16"/>
      <c r="K22" s="16"/>
      <c r="L22" s="16"/>
      <c r="M22" s="16"/>
      <c r="N22" s="16"/>
      <c r="O22" s="16"/>
      <c r="P22" s="16"/>
      <c r="Q22" s="16"/>
      <c r="R22" s="16"/>
      <c r="S22" s="70"/>
    </row>
    <row r="23" spans="1:40" s="133" customFormat="1" ht="17.25" x14ac:dyDescent="0.35">
      <c r="A23" t="s">
        <v>57</v>
      </c>
      <c r="B23" s="44">
        <f>IF(B22=Inputs!$C$1,B24,B25)</f>
        <v>1</v>
      </c>
      <c r="C23" s="17">
        <f>IF(C22=Inputs!$C$1,C24,C25)</f>
        <v>35781399367654.922</v>
      </c>
      <c r="D23" s="44">
        <f>IF(D22=Inputs!$C$1,D24,D25)</f>
        <v>640</v>
      </c>
      <c r="E23" s="17">
        <f>IF(E22=Inputs!$C$1,E24,E25)</f>
        <v>0</v>
      </c>
      <c r="F23" s="17">
        <f>IF(F22=Inputs!$C$1,F24,F25)</f>
        <v>70</v>
      </c>
      <c r="G23" s="17"/>
      <c r="H23" s="44"/>
      <c r="I23" s="44"/>
      <c r="J23" s="17"/>
      <c r="K23" s="17"/>
      <c r="L23" s="17"/>
      <c r="M23" s="17"/>
      <c r="N23" s="44"/>
      <c r="O23" s="17"/>
      <c r="P23" s="44"/>
      <c r="Q23" s="44"/>
      <c r="R23" s="44"/>
      <c r="S23" s="17"/>
      <c r="T23" s="17"/>
      <c r="U23" s="17"/>
      <c r="V23" s="17"/>
      <c r="W23" s="17"/>
      <c r="X23" s="17"/>
      <c r="Y23" s="17"/>
      <c r="Z23" s="17"/>
      <c r="AA23" s="17"/>
      <c r="AB23" s="17"/>
      <c r="AC23" s="17"/>
      <c r="AD23" s="17"/>
      <c r="AE23" s="17"/>
      <c r="AF23" s="17"/>
      <c r="AG23" s="17"/>
      <c r="AH23" s="17"/>
      <c r="AI23" s="17"/>
      <c r="AJ23" s="17"/>
      <c r="AK23" s="17"/>
      <c r="AL23" s="17"/>
      <c r="AM23" s="17"/>
      <c r="AN23" s="17"/>
    </row>
    <row r="24" spans="1:40" s="18" customFormat="1" ht="17.25" x14ac:dyDescent="0.35">
      <c r="A24" s="18" t="s">
        <v>58</v>
      </c>
      <c r="B24" s="15"/>
      <c r="C24" s="15"/>
      <c r="D24" s="142">
        <v>400</v>
      </c>
      <c r="E24" s="15"/>
      <c r="F24" s="15"/>
      <c r="G24" s="15"/>
      <c r="H24" s="142"/>
      <c r="I24" s="142"/>
      <c r="J24" s="15"/>
      <c r="K24" s="15"/>
      <c r="L24" s="15"/>
      <c r="M24" s="15"/>
      <c r="N24" s="142"/>
      <c r="O24" s="15"/>
      <c r="P24" s="142"/>
      <c r="Q24" s="142"/>
      <c r="R24" s="142"/>
    </row>
    <row r="25" spans="1:40" s="18" customFormat="1" ht="17.25" x14ac:dyDescent="0.35">
      <c r="A25" s="18" t="s">
        <v>218</v>
      </c>
      <c r="B25" s="38">
        <f>Inputs!M14</f>
        <v>1</v>
      </c>
      <c r="C25" s="5">
        <f>'Performance Model'!H4</f>
        <v>35781399367654.922</v>
      </c>
      <c r="D25" s="38">
        <f>B28</f>
        <v>640</v>
      </c>
      <c r="E25" s="5">
        <f>'Performance Model'!V4+'Performance Model'!W4</f>
        <v>0</v>
      </c>
      <c r="F25" s="5">
        <f>B38</f>
        <v>70</v>
      </c>
      <c r="G25" s="5"/>
      <c r="H25" s="38"/>
      <c r="I25" s="38"/>
      <c r="J25" s="5"/>
      <c r="K25" s="5"/>
      <c r="L25" s="5"/>
      <c r="M25" s="5"/>
      <c r="N25" s="38"/>
      <c r="O25" s="5"/>
      <c r="P25" s="38"/>
      <c r="Q25" s="38"/>
      <c r="R25" s="38"/>
    </row>
    <row r="26" spans="1:40" s="18" customFormat="1" ht="30.75" thickBot="1" x14ac:dyDescent="0.3">
      <c r="A26" s="18" t="s">
        <v>61</v>
      </c>
      <c r="B26" s="24"/>
      <c r="C26" s="24"/>
      <c r="D26" s="24" t="s">
        <v>560</v>
      </c>
      <c r="F26" s="24"/>
      <c r="H26" s="24"/>
    </row>
    <row r="27" spans="1:40" s="134" customFormat="1" ht="30.75" customHeight="1" x14ac:dyDescent="0.25">
      <c r="A27" s="109" t="s">
        <v>561</v>
      </c>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201"/>
      <c r="AN27" s="201"/>
    </row>
    <row r="28" spans="1:40" s="18" customFormat="1" ht="31.5" x14ac:dyDescent="0.35">
      <c r="A28" s="17" t="s">
        <v>562</v>
      </c>
      <c r="B28" s="160">
        <f>B32*(C32-F32)*(E32/D32)^3</f>
        <v>640</v>
      </c>
      <c r="C28" s="23"/>
      <c r="D28" s="36"/>
      <c r="E28" s="23"/>
      <c r="F28" s="37"/>
      <c r="H28" s="24" t="s">
        <v>563</v>
      </c>
      <c r="I28" s="18" t="s">
        <v>564</v>
      </c>
    </row>
    <row r="29" spans="1:40" s="18" customFormat="1" x14ac:dyDescent="0.25">
      <c r="A29" s="18" t="s">
        <v>125</v>
      </c>
      <c r="B29" s="30" t="s">
        <v>565</v>
      </c>
      <c r="C29" s="24"/>
      <c r="D29" s="24" t="s">
        <v>566</v>
      </c>
      <c r="H29" s="18" t="s">
        <v>567</v>
      </c>
      <c r="J29" s="18" t="s">
        <v>568</v>
      </c>
    </row>
    <row r="30" spans="1:40" s="24" customFormat="1" ht="86.25" x14ac:dyDescent="0.35">
      <c r="A30" s="24" t="s">
        <v>9</v>
      </c>
      <c r="B30" s="25" t="s">
        <v>569</v>
      </c>
      <c r="C30" s="25" t="s">
        <v>570</v>
      </c>
      <c r="D30" s="25" t="s">
        <v>571</v>
      </c>
      <c r="E30" s="25" t="s">
        <v>572</v>
      </c>
      <c r="F30" s="25" t="s">
        <v>573</v>
      </c>
      <c r="G30" s="25"/>
      <c r="H30" s="25" t="s">
        <v>574</v>
      </c>
      <c r="I30" s="25" t="s">
        <v>575</v>
      </c>
      <c r="J30" s="25"/>
      <c r="K30" s="25" t="s">
        <v>576</v>
      </c>
      <c r="L30" s="25" t="s">
        <v>577</v>
      </c>
      <c r="M30" s="25" t="s">
        <v>578</v>
      </c>
      <c r="N30" s="25" t="s">
        <v>579</v>
      </c>
      <c r="O30" s="25" t="s">
        <v>580</v>
      </c>
      <c r="P30" s="25" t="s">
        <v>581</v>
      </c>
      <c r="Q30" s="25" t="s">
        <v>582</v>
      </c>
      <c r="R30" s="25"/>
      <c r="S30" s="25"/>
      <c r="T30" s="70"/>
      <c r="U30" s="70"/>
      <c r="V30" s="70"/>
    </row>
    <row r="31" spans="1:40" s="18" customFormat="1" ht="17.25" customHeight="1" x14ac:dyDescent="0.35">
      <c r="A31" s="18" t="s">
        <v>56</v>
      </c>
      <c r="B31" s="16" t="s">
        <v>1</v>
      </c>
      <c r="C31" s="16" t="s">
        <v>2</v>
      </c>
      <c r="D31" s="16" t="s">
        <v>2</v>
      </c>
      <c r="E31" s="16" t="s">
        <v>1</v>
      </c>
      <c r="F31" s="16" t="s">
        <v>1</v>
      </c>
      <c r="G31" s="16"/>
      <c r="H31" s="16" t="s">
        <v>2</v>
      </c>
      <c r="I31" s="16" t="s">
        <v>1</v>
      </c>
      <c r="J31" s="16"/>
      <c r="K31" s="16" t="s">
        <v>2</v>
      </c>
      <c r="L31" s="16" t="s">
        <v>1</v>
      </c>
      <c r="M31" s="16" t="s">
        <v>1</v>
      </c>
      <c r="N31" s="16" t="s">
        <v>1</v>
      </c>
      <c r="O31" s="16" t="s">
        <v>2</v>
      </c>
      <c r="P31" s="16" t="s">
        <v>2</v>
      </c>
      <c r="Q31" s="16" t="s">
        <v>1</v>
      </c>
      <c r="R31" s="16"/>
      <c r="S31" s="16"/>
      <c r="T31" s="70"/>
    </row>
    <row r="32" spans="1:40" s="133" customFormat="1" ht="17.25" x14ac:dyDescent="0.35">
      <c r="A32" t="s">
        <v>57</v>
      </c>
      <c r="B32" s="128">
        <f>IF(B31=Inputs!$C$1,B33,B34)</f>
        <v>1</v>
      </c>
      <c r="C32" s="143">
        <f>IF(C31=Inputs!$C$1,C33,C34)</f>
        <v>700</v>
      </c>
      <c r="D32" s="144">
        <f>IF(D31=Inputs!$C$1,D33,D34)</f>
        <v>1800000000</v>
      </c>
      <c r="E32" s="144">
        <f>IF(E31=Inputs!$C$1,E33,E34)</f>
        <v>1800000000</v>
      </c>
      <c r="F32" s="144">
        <f>IF(F31=Inputs!$C$1,F33,F34)</f>
        <v>60</v>
      </c>
      <c r="G32" s="144"/>
      <c r="H32" s="144">
        <f>IF(H31=Inputs!$C$1,H33,H34)</f>
        <v>899999999.99999905</v>
      </c>
      <c r="I32" s="143">
        <f>IF(I31=Inputs!$C$1,I33,I34)</f>
        <v>0.7</v>
      </c>
      <c r="J32" s="143"/>
      <c r="K32" s="143">
        <f>IF(K31=Inputs!$C$1,K33,K34)</f>
        <v>0</v>
      </c>
      <c r="L32" s="143">
        <f>IF(L31=Inputs!$C$1,L33,L34)</f>
        <v>0.7</v>
      </c>
      <c r="M32" s="144">
        <f>IF(M31=Inputs!$C$1,M33,M34)</f>
        <v>1410000000</v>
      </c>
      <c r="N32" s="153">
        <f>IF(N31=Inputs!$C$1,N33,N34)</f>
        <v>0.7</v>
      </c>
      <c r="O32" s="144">
        <f>IF(O31=Inputs!$C$1,O33,O34)</f>
        <v>1410000000</v>
      </c>
      <c r="P32" s="153">
        <f>IF(P31=Inputs!$C$1,P33,P34)</f>
        <v>0.25751560882000962</v>
      </c>
      <c r="Q32" s="144">
        <f>IF(Q31=Inputs!$C$1,Q33,Q34)</f>
        <v>0</v>
      </c>
      <c r="R32" s="44"/>
      <c r="S32" s="44"/>
      <c r="T32" s="17"/>
      <c r="U32" s="17"/>
      <c r="V32" s="17"/>
      <c r="W32" s="17"/>
      <c r="X32" s="17"/>
      <c r="Y32" s="17"/>
      <c r="Z32" s="17"/>
      <c r="AA32" s="17"/>
      <c r="AB32" s="17"/>
      <c r="AC32" s="17"/>
      <c r="AD32" s="17"/>
      <c r="AE32" s="17"/>
      <c r="AF32" s="17"/>
      <c r="AG32" s="17"/>
      <c r="AH32" s="17"/>
      <c r="AI32" s="17"/>
      <c r="AJ32" s="17"/>
      <c r="AK32" s="17"/>
      <c r="AL32" s="17"/>
      <c r="AM32" s="17"/>
      <c r="AN32" s="17"/>
    </row>
    <row r="33" spans="1:40" s="18" customFormat="1" ht="17.25" x14ac:dyDescent="0.35">
      <c r="A33" s="18" t="s">
        <v>58</v>
      </c>
      <c r="B33" s="161">
        <v>1</v>
      </c>
      <c r="C33" s="142"/>
      <c r="D33" s="15"/>
      <c r="E33" s="162">
        <v>1800000000</v>
      </c>
      <c r="F33" s="142">
        <v>60</v>
      </c>
      <c r="G33" s="142"/>
      <c r="H33" s="15"/>
      <c r="I33" s="142">
        <v>0.7</v>
      </c>
      <c r="J33" s="142"/>
      <c r="K33" s="142"/>
      <c r="L33" s="142">
        <v>0.7</v>
      </c>
      <c r="M33" s="15">
        <v>1410000000</v>
      </c>
      <c r="N33" s="163">
        <v>0.7</v>
      </c>
      <c r="O33" s="142"/>
      <c r="P33" s="163"/>
      <c r="Q33" s="15">
        <v>0</v>
      </c>
      <c r="R33" s="142"/>
      <c r="S33" s="142"/>
    </row>
    <row r="34" spans="1:40" s="18" customFormat="1" ht="17.25" x14ac:dyDescent="0.35">
      <c r="A34" s="18" t="s">
        <v>218</v>
      </c>
      <c r="B34" s="99"/>
      <c r="C34" s="38">
        <f>Inputs!O28</f>
        <v>700</v>
      </c>
      <c r="D34" s="5">
        <f>Inputs!P28</f>
        <v>1800000000</v>
      </c>
      <c r="E34" s="164">
        <f>Inputs!B28</f>
        <v>1800000000</v>
      </c>
      <c r="F34" s="38"/>
      <c r="G34" s="38"/>
      <c r="H34" s="5">
        <f>IF(10000000000*I32^2-10000000000*I32+3000000000 &lt; 3000000000, 10000000000*I32^2-10000000000*I32+3000000000, -10000000000*I32^2+20000000000*I32-9000000000)</f>
        <v>899999999.99999905</v>
      </c>
      <c r="I34" s="38"/>
      <c r="J34" s="38"/>
      <c r="K34" s="5">
        <f>P32^2*Q32/(L32^2*M32)</f>
        <v>0</v>
      </c>
      <c r="L34" s="38"/>
      <c r="M34" s="38"/>
      <c r="N34" s="5"/>
      <c r="O34" s="5">
        <f>M32*N32/L32</f>
        <v>1410000000</v>
      </c>
      <c r="P34" s="34">
        <f>L32*EXP(Q32/M32)/EXP(1)</f>
        <v>0.25751560882000962</v>
      </c>
      <c r="Q34" s="38"/>
      <c r="R34" s="38"/>
      <c r="S34" s="38"/>
    </row>
    <row r="35" spans="1:40" s="18" customFormat="1" ht="30" x14ac:dyDescent="0.25">
      <c r="A35" s="18" t="s">
        <v>61</v>
      </c>
      <c r="B35" s="24" t="s">
        <v>583</v>
      </c>
      <c r="C35" s="24"/>
      <c r="D35" s="24"/>
      <c r="E35" s="24"/>
      <c r="G35" s="24"/>
      <c r="H35" s="18">
        <f>10000000000*I32^2-10000000000*I32+3000000000</f>
        <v>899999999.99999905</v>
      </c>
      <c r="I35" s="24" t="s">
        <v>584</v>
      </c>
      <c r="K35" s="18" t="s">
        <v>585</v>
      </c>
      <c r="O35" s="18">
        <f>TANH(N32/L32)*M32</f>
        <v>1073847759.8976285</v>
      </c>
      <c r="P35" s="154">
        <f>EXP(0)</f>
        <v>1</v>
      </c>
    </row>
    <row r="36" spans="1:40" ht="15.75" thickBot="1" x14ac:dyDescent="0.3">
      <c r="H36" s="18">
        <f>-10000000000*I32^2+20000000000*I32-9000000000</f>
        <v>100000000</v>
      </c>
      <c r="I36" t="s">
        <v>586</v>
      </c>
    </row>
    <row r="37" spans="1:40" s="134" customFormat="1" ht="30.75" customHeight="1" x14ac:dyDescent="0.25">
      <c r="A37" s="109" t="s">
        <v>587</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201"/>
      <c r="AN37" s="201"/>
    </row>
    <row r="38" spans="1:40" s="18" customFormat="1" ht="17.25" x14ac:dyDescent="0.35">
      <c r="A38" s="17" t="s">
        <v>588</v>
      </c>
      <c r="B38" s="160">
        <f>B42+C42</f>
        <v>70</v>
      </c>
      <c r="C38" s="23"/>
      <c r="D38" s="36"/>
      <c r="E38" s="23"/>
      <c r="F38" s="37"/>
    </row>
    <row r="39" spans="1:40" s="18" customFormat="1" x14ac:dyDescent="0.25">
      <c r="A39" s="18" t="s">
        <v>125</v>
      </c>
      <c r="B39" s="18" t="s">
        <v>589</v>
      </c>
      <c r="C39" s="24"/>
      <c r="D39" s="24"/>
      <c r="E39" s="24"/>
    </row>
    <row r="40" spans="1:40" s="24" customFormat="1" ht="34.5" x14ac:dyDescent="0.35">
      <c r="A40" s="24" t="s">
        <v>9</v>
      </c>
      <c r="B40" s="25" t="s">
        <v>590</v>
      </c>
      <c r="C40" s="25" t="s">
        <v>591</v>
      </c>
      <c r="D40" s="25"/>
      <c r="E40" s="25"/>
      <c r="F40" s="25"/>
      <c r="G40" s="25"/>
      <c r="H40" s="25"/>
      <c r="I40" s="25"/>
      <c r="J40" s="25"/>
      <c r="K40" s="25"/>
      <c r="L40" s="25"/>
      <c r="M40" s="25"/>
      <c r="N40" s="25"/>
      <c r="O40" s="25"/>
      <c r="P40" s="25"/>
      <c r="Q40" s="25"/>
      <c r="R40" s="25"/>
      <c r="S40" s="70"/>
      <c r="T40" s="70"/>
      <c r="U40" s="70"/>
    </row>
    <row r="41" spans="1:40" s="18" customFormat="1" ht="17.25" customHeight="1" x14ac:dyDescent="0.35">
      <c r="A41" s="18" t="s">
        <v>56</v>
      </c>
      <c r="B41" s="16" t="s">
        <v>1</v>
      </c>
      <c r="C41" s="16" t="s">
        <v>1</v>
      </c>
      <c r="D41" s="16"/>
      <c r="E41" s="16"/>
      <c r="F41" s="16"/>
      <c r="G41" s="16"/>
      <c r="H41" s="16"/>
      <c r="I41" s="16"/>
      <c r="J41" s="16"/>
      <c r="K41" s="16"/>
      <c r="L41" s="16"/>
      <c r="M41" s="16"/>
      <c r="N41" s="16"/>
      <c r="O41" s="16"/>
      <c r="P41" s="16"/>
      <c r="Q41" s="16"/>
      <c r="R41" s="16"/>
      <c r="S41" s="70"/>
    </row>
    <row r="42" spans="1:40" s="133" customFormat="1" ht="17.25" x14ac:dyDescent="0.35">
      <c r="A42" t="s">
        <v>57</v>
      </c>
      <c r="B42" s="44">
        <f>IF(B41=Inputs!$C$1,B43,B44)</f>
        <v>50</v>
      </c>
      <c r="C42" s="44">
        <f>IF(C41=Inputs!$C$1,C43,C44)</f>
        <v>20</v>
      </c>
      <c r="D42" s="144"/>
      <c r="E42" s="144"/>
      <c r="F42" s="44"/>
      <c r="G42" s="17"/>
      <c r="H42" s="44"/>
      <c r="I42" s="44"/>
      <c r="J42" s="17"/>
      <c r="K42" s="17"/>
      <c r="L42" s="17"/>
      <c r="M42" s="17"/>
      <c r="N42" s="44"/>
      <c r="O42" s="17"/>
      <c r="P42" s="44"/>
      <c r="Q42" s="44"/>
      <c r="R42" s="44"/>
      <c r="S42" s="17"/>
      <c r="T42" s="17"/>
      <c r="U42" s="17"/>
      <c r="V42" s="17"/>
      <c r="W42" s="17"/>
      <c r="X42" s="17"/>
      <c r="Y42" s="17"/>
      <c r="Z42" s="17"/>
      <c r="AA42" s="17"/>
      <c r="AB42" s="17"/>
      <c r="AC42" s="17"/>
      <c r="AD42" s="17"/>
      <c r="AE42" s="17"/>
      <c r="AF42" s="17"/>
      <c r="AG42" s="17"/>
      <c r="AH42" s="17"/>
      <c r="AI42" s="17"/>
      <c r="AJ42" s="17"/>
      <c r="AK42" s="17"/>
      <c r="AL42" s="17"/>
      <c r="AM42" s="17"/>
      <c r="AN42" s="17"/>
    </row>
    <row r="43" spans="1:40" s="18" customFormat="1" ht="17.25" x14ac:dyDescent="0.35">
      <c r="A43" s="18" t="s">
        <v>58</v>
      </c>
      <c r="B43" s="142">
        <v>50</v>
      </c>
      <c r="C43" s="142">
        <v>20</v>
      </c>
      <c r="D43" s="15"/>
      <c r="E43" s="162"/>
      <c r="F43" s="142"/>
      <c r="G43" s="15"/>
      <c r="H43" s="142"/>
      <c r="I43" s="142"/>
      <c r="J43" s="15"/>
      <c r="K43" s="15"/>
      <c r="L43" s="15"/>
      <c r="M43" s="15"/>
      <c r="N43" s="142"/>
      <c r="O43" s="15"/>
      <c r="P43" s="142"/>
      <c r="Q43" s="142"/>
      <c r="R43" s="142"/>
    </row>
    <row r="44" spans="1:40" s="18" customFormat="1" ht="17.25" x14ac:dyDescent="0.35">
      <c r="A44" s="18" t="s">
        <v>218</v>
      </c>
      <c r="B44" s="38"/>
      <c r="C44" s="38"/>
      <c r="D44" s="5"/>
      <c r="E44" s="164"/>
      <c r="F44" s="38"/>
      <c r="G44" s="5"/>
      <c r="H44" s="38"/>
      <c r="I44" s="38"/>
      <c r="J44" s="5"/>
      <c r="K44" s="5"/>
      <c r="L44" s="5"/>
      <c r="M44" s="5"/>
      <c r="N44" s="38"/>
      <c r="O44" s="5"/>
      <c r="P44" s="38"/>
      <c r="Q44" s="38"/>
      <c r="R44" s="38"/>
    </row>
    <row r="45" spans="1:40" s="18" customFormat="1" ht="15.75" thickBot="1" x14ac:dyDescent="0.3">
      <c r="A45" s="18" t="s">
        <v>61</v>
      </c>
      <c r="B45" s="24"/>
      <c r="D45" s="24"/>
      <c r="E45" s="24"/>
      <c r="F45" s="24"/>
      <c r="H45" s="24"/>
    </row>
    <row r="46" spans="1:40" s="134" customFormat="1" ht="30.75" customHeight="1" x14ac:dyDescent="0.25">
      <c r="A46" s="109" t="s">
        <v>592</v>
      </c>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201"/>
      <c r="AN46" s="201"/>
    </row>
    <row r="47" spans="1:40" s="18" customFormat="1" ht="17.25" x14ac:dyDescent="0.35">
      <c r="A47" s="17" t="s">
        <v>593</v>
      </c>
      <c r="B47" s="146">
        <f>B51*(C51+D51+E51+F51)</f>
        <v>0</v>
      </c>
      <c r="C47" s="23"/>
      <c r="D47" s="36"/>
      <c r="E47" s="23"/>
      <c r="F47" s="37"/>
    </row>
    <row r="48" spans="1:40" s="18" customFormat="1" x14ac:dyDescent="0.25">
      <c r="A48" s="18" t="s">
        <v>125</v>
      </c>
      <c r="C48" s="24"/>
      <c r="D48" s="24"/>
      <c r="E48" s="24"/>
    </row>
    <row r="49" spans="1:40" s="24" customFormat="1" ht="51.75" x14ac:dyDescent="0.35">
      <c r="A49" s="24" t="s">
        <v>9</v>
      </c>
      <c r="B49" s="25" t="s">
        <v>594</v>
      </c>
      <c r="C49" s="25" t="s">
        <v>595</v>
      </c>
      <c r="D49" s="25" t="s">
        <v>596</v>
      </c>
      <c r="E49" s="25" t="s">
        <v>597</v>
      </c>
      <c r="F49" s="25" t="s">
        <v>598</v>
      </c>
      <c r="G49" s="25"/>
      <c r="H49" s="25"/>
      <c r="I49" s="25"/>
      <c r="J49" s="25"/>
      <c r="K49" s="25"/>
      <c r="L49" s="25"/>
      <c r="M49" s="25"/>
      <c r="N49" s="25"/>
      <c r="O49" s="25"/>
      <c r="P49" s="25"/>
      <c r="Q49" s="70"/>
      <c r="R49" s="70"/>
      <c r="S49" s="70"/>
    </row>
    <row r="50" spans="1:40" s="18" customFormat="1" ht="17.25" customHeight="1" x14ac:dyDescent="0.35">
      <c r="A50" s="18" t="s">
        <v>56</v>
      </c>
      <c r="B50" s="16" t="s">
        <v>1</v>
      </c>
      <c r="C50" s="16" t="s">
        <v>2</v>
      </c>
      <c r="D50" s="16" t="s">
        <v>2</v>
      </c>
      <c r="E50" s="16" t="s">
        <v>2</v>
      </c>
      <c r="F50" s="16" t="s">
        <v>2</v>
      </c>
      <c r="G50" s="16"/>
      <c r="H50" s="16"/>
      <c r="I50" s="16"/>
      <c r="J50" s="16"/>
      <c r="K50" s="16"/>
      <c r="L50" s="16"/>
      <c r="M50" s="16"/>
      <c r="N50" s="16"/>
      <c r="O50" s="16"/>
      <c r="P50" s="16"/>
      <c r="Q50" s="70"/>
    </row>
    <row r="51" spans="1:40" s="133" customFormat="1" ht="17.25" x14ac:dyDescent="0.35">
      <c r="A51" t="s">
        <v>57</v>
      </c>
      <c r="B51" s="17">
        <f>IF(B50=Inputs!$C$1,B52,B53)</f>
        <v>1.6E-11</v>
      </c>
      <c r="C51" s="17">
        <f>IF(C50=Inputs!$C$1,C52,C53)</f>
        <v>0</v>
      </c>
      <c r="D51" s="17">
        <f>IF(D50=Inputs!$C$1,D52,D53)</f>
        <v>0</v>
      </c>
      <c r="E51" s="17">
        <f>IF(E50=Inputs!$C$1,E52,E53)</f>
        <v>0</v>
      </c>
      <c r="F51" s="17">
        <f>IF(F50=Inputs!$C$1,F52,F53)</f>
        <v>0</v>
      </c>
      <c r="G51" s="44"/>
      <c r="H51" s="17"/>
      <c r="I51" s="17"/>
      <c r="J51" s="17"/>
      <c r="K51" s="17"/>
      <c r="L51" s="44"/>
      <c r="M51" s="17"/>
      <c r="N51" s="44"/>
      <c r="O51" s="44"/>
      <c r="P51" s="44"/>
      <c r="Q51" s="17"/>
      <c r="R51" s="17"/>
      <c r="S51" s="17"/>
      <c r="T51" s="17"/>
      <c r="U51" s="17"/>
      <c r="V51" s="17"/>
      <c r="W51" s="17"/>
      <c r="X51" s="17"/>
      <c r="Y51" s="17"/>
      <c r="Z51" s="17"/>
      <c r="AA51" s="17"/>
      <c r="AB51" s="17"/>
      <c r="AC51" s="17"/>
      <c r="AD51" s="17"/>
      <c r="AE51" s="17"/>
      <c r="AF51" s="17"/>
      <c r="AG51" s="17"/>
      <c r="AH51" s="17"/>
      <c r="AI51" s="17"/>
      <c r="AJ51" s="17"/>
      <c r="AK51" s="17"/>
      <c r="AL51" s="17"/>
      <c r="AM51" s="17"/>
      <c r="AN51" s="17"/>
    </row>
    <row r="52" spans="1:40" s="18" customFormat="1" ht="17.25" x14ac:dyDescent="0.35">
      <c r="A52" s="18" t="s">
        <v>58</v>
      </c>
      <c r="B52" s="15">
        <v>1.6E-11</v>
      </c>
      <c r="C52" s="162"/>
      <c r="D52" s="142"/>
      <c r="E52" s="15"/>
      <c r="F52" s="142"/>
      <c r="G52" s="142"/>
      <c r="H52" s="15"/>
      <c r="I52" s="15"/>
      <c r="J52" s="15"/>
      <c r="K52" s="15"/>
      <c r="L52" s="142"/>
      <c r="M52" s="15"/>
      <c r="N52" s="142"/>
      <c r="O52" s="142"/>
      <c r="P52" s="142"/>
    </row>
    <row r="53" spans="1:40" s="18" customFormat="1" ht="17.25" x14ac:dyDescent="0.35">
      <c r="A53" s="18" t="s">
        <v>218</v>
      </c>
      <c r="B53" s="5"/>
      <c r="C53" s="164">
        <f>B56</f>
        <v>0</v>
      </c>
      <c r="D53" s="5">
        <f>B65</f>
        <v>0</v>
      </c>
      <c r="E53" s="5">
        <f>B74</f>
        <v>0</v>
      </c>
      <c r="F53" s="5">
        <f>B83</f>
        <v>0</v>
      </c>
      <c r="G53" s="38"/>
      <c r="H53" s="5"/>
      <c r="I53" s="5"/>
      <c r="J53" s="5"/>
      <c r="K53" s="5"/>
      <c r="L53" s="38"/>
      <c r="M53" s="5"/>
      <c r="N53" s="38"/>
      <c r="O53" s="38"/>
      <c r="P53" s="38"/>
    </row>
    <row r="54" spans="1:40" s="18" customFormat="1" ht="15.75" thickBot="1" x14ac:dyDescent="0.3">
      <c r="A54" s="18" t="s">
        <v>61</v>
      </c>
      <c r="B54" s="18" t="s">
        <v>599</v>
      </c>
      <c r="C54" s="24"/>
      <c r="D54" s="24"/>
      <c r="F54" s="24"/>
    </row>
    <row r="55" spans="1:40" s="134" customFormat="1" ht="48" customHeight="1" x14ac:dyDescent="0.25">
      <c r="A55" s="145" t="s">
        <v>600</v>
      </c>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201"/>
      <c r="AN55" s="201"/>
    </row>
    <row r="56" spans="1:40" s="18" customFormat="1" ht="17.25" x14ac:dyDescent="0.35">
      <c r="A56" s="17" t="s">
        <v>601</v>
      </c>
      <c r="B56" s="22">
        <f>D60*B60*C60*E60*(F60*G60*H60+I60*J60*K60)</f>
        <v>0</v>
      </c>
      <c r="C56" s="23"/>
      <c r="D56" s="36"/>
      <c r="E56" s="23"/>
      <c r="F56" s="37"/>
    </row>
    <row r="57" spans="1:40" s="18" customFormat="1" x14ac:dyDescent="0.25">
      <c r="A57" s="18" t="s">
        <v>125</v>
      </c>
      <c r="B57" s="18" t="s">
        <v>602</v>
      </c>
      <c r="C57" s="24"/>
      <c r="D57" s="24"/>
      <c r="E57" s="24"/>
    </row>
    <row r="58" spans="1:40" s="24" customFormat="1" ht="34.5" x14ac:dyDescent="0.35">
      <c r="A58" s="24" t="s">
        <v>9</v>
      </c>
      <c r="B58" s="25" t="s">
        <v>603</v>
      </c>
      <c r="C58" s="25" t="s">
        <v>21</v>
      </c>
      <c r="D58" s="25" t="s">
        <v>604</v>
      </c>
      <c r="E58" s="25" t="s">
        <v>605</v>
      </c>
      <c r="F58" s="25" t="s">
        <v>411</v>
      </c>
      <c r="G58" s="25" t="s">
        <v>606</v>
      </c>
      <c r="H58" s="25" t="s">
        <v>607</v>
      </c>
      <c r="I58" s="25" t="s">
        <v>608</v>
      </c>
      <c r="J58" s="25" t="s">
        <v>609</v>
      </c>
      <c r="K58" s="25" t="s">
        <v>607</v>
      </c>
      <c r="L58" s="25"/>
      <c r="M58" s="25"/>
      <c r="N58" s="25"/>
      <c r="O58" s="25"/>
      <c r="P58" s="25"/>
      <c r="Q58" s="25"/>
      <c r="R58" s="25"/>
      <c r="S58" s="70"/>
      <c r="T58" s="70"/>
      <c r="U58" s="70"/>
    </row>
    <row r="59" spans="1:40" s="18" customFormat="1" ht="17.25" customHeight="1" x14ac:dyDescent="0.35">
      <c r="A59" s="18" t="s">
        <v>56</v>
      </c>
      <c r="B59" s="16" t="s">
        <v>2</v>
      </c>
      <c r="C59" s="16" t="s">
        <v>2</v>
      </c>
      <c r="D59" s="16" t="s">
        <v>2</v>
      </c>
      <c r="E59" s="16" t="s">
        <v>2</v>
      </c>
      <c r="F59" s="16" t="s">
        <v>2</v>
      </c>
      <c r="G59" s="16" t="s">
        <v>2</v>
      </c>
      <c r="H59" s="16" t="s">
        <v>2</v>
      </c>
      <c r="I59" s="16" t="s">
        <v>2</v>
      </c>
      <c r="J59" s="16" t="s">
        <v>2</v>
      </c>
      <c r="K59" s="16" t="s">
        <v>2</v>
      </c>
      <c r="L59" s="16"/>
      <c r="M59" s="16"/>
      <c r="N59" s="16"/>
      <c r="O59" s="16"/>
      <c r="P59" s="16"/>
      <c r="Q59" s="16"/>
      <c r="R59" s="16"/>
      <c r="S59" s="70"/>
    </row>
    <row r="60" spans="1:40" s="133" customFormat="1" ht="17.25" x14ac:dyDescent="0.35">
      <c r="A60" t="s">
        <v>57</v>
      </c>
      <c r="B60" s="44">
        <f>IF(B59=Inputs!$C$1,B61,B62)</f>
        <v>480</v>
      </c>
      <c r="C60" s="17">
        <f>IF(C59=Inputs!$C$1,C61,C62)</f>
        <v>7152557.373046875</v>
      </c>
      <c r="D60" s="44">
        <f>IF(D59=Inputs!$C$1,D61,D62)</f>
        <v>1</v>
      </c>
      <c r="E60" s="44">
        <f>IF(E59=Inputs!$C$1,E61,E62)</f>
        <v>1</v>
      </c>
      <c r="F60" s="17">
        <f>IF(F59=Inputs!$C$1,F61,F62)</f>
        <v>6487190186.666666</v>
      </c>
      <c r="G60" s="44">
        <f>IF(G59=Inputs!$C$1,G61,G62)</f>
        <v>16</v>
      </c>
      <c r="H60" s="44">
        <f>IF(H59=Inputs!$C$1,H61,H62)</f>
        <v>0</v>
      </c>
      <c r="I60" s="17">
        <f>IF(I59=Inputs!$C$1,I61,I62)</f>
        <v>6487190186.666666</v>
      </c>
      <c r="J60" s="44">
        <f>IF(J59=Inputs!$C$1,J61,J62)</f>
        <v>32</v>
      </c>
      <c r="K60" s="44">
        <f>IF(K59=Inputs!$C$1,K61,K62)</f>
        <v>0</v>
      </c>
      <c r="L60" s="17"/>
      <c r="M60" s="17"/>
      <c r="N60" s="44"/>
      <c r="O60" s="17"/>
      <c r="P60" s="44"/>
      <c r="Q60" s="44"/>
      <c r="R60" s="44"/>
      <c r="S60" s="17"/>
      <c r="T60" s="17"/>
      <c r="U60" s="17"/>
      <c r="V60" s="17"/>
      <c r="W60" s="17"/>
      <c r="X60" s="17"/>
      <c r="Y60" s="17"/>
      <c r="Z60" s="17"/>
      <c r="AA60" s="17"/>
      <c r="AB60" s="17"/>
      <c r="AC60" s="17"/>
      <c r="AD60" s="17"/>
      <c r="AE60" s="17"/>
      <c r="AF60" s="17"/>
      <c r="AG60" s="17"/>
      <c r="AH60" s="17"/>
      <c r="AI60" s="17"/>
      <c r="AJ60" s="17"/>
      <c r="AK60" s="17"/>
      <c r="AL60" s="17"/>
      <c r="AM60" s="17"/>
      <c r="AN60" s="17"/>
    </row>
    <row r="61" spans="1:40" s="18" customFormat="1" ht="17.25" x14ac:dyDescent="0.35">
      <c r="A61" s="18" t="s">
        <v>58</v>
      </c>
      <c r="B61" s="15"/>
      <c r="C61" s="15"/>
      <c r="D61" s="15"/>
      <c r="E61" s="162"/>
      <c r="F61" s="142"/>
      <c r="G61" s="15"/>
      <c r="H61" s="142"/>
      <c r="I61" s="142"/>
      <c r="J61" s="15"/>
      <c r="K61" s="15"/>
      <c r="L61" s="15"/>
      <c r="M61" s="15"/>
      <c r="N61" s="142"/>
      <c r="O61" s="15"/>
      <c r="P61" s="142"/>
      <c r="Q61" s="142"/>
      <c r="R61" s="142"/>
    </row>
    <row r="62" spans="1:40" s="18" customFormat="1" ht="17.25" x14ac:dyDescent="0.35">
      <c r="A62" s="18" t="s">
        <v>218</v>
      </c>
      <c r="B62" s="38">
        <f>Inputs!N7</f>
        <v>480</v>
      </c>
      <c r="C62" s="5">
        <f>Inputs!M7</f>
        <v>7152557.373046875</v>
      </c>
      <c r="D62" s="38">
        <f>B141</f>
        <v>1</v>
      </c>
      <c r="E62" s="165">
        <f>Inputs!D14</f>
        <v>1</v>
      </c>
      <c r="F62" s="5">
        <f>'Performance Model'!C102</f>
        <v>6487190186.666666</v>
      </c>
      <c r="G62" s="38">
        <f>Inputs!C7</f>
        <v>16</v>
      </c>
      <c r="H62" s="38">
        <f>'Performance Model'!F102</f>
        <v>0</v>
      </c>
      <c r="I62" s="5">
        <f>'Performance Model'!C165</f>
        <v>6487190186.666666</v>
      </c>
      <c r="J62" s="5">
        <f>'Performance Model'!D165</f>
        <v>32</v>
      </c>
      <c r="K62" s="5">
        <f>'Performance Model'!F165</f>
        <v>0</v>
      </c>
      <c r="L62" s="5"/>
      <c r="M62" s="5"/>
      <c r="N62" s="38"/>
      <c r="O62" s="5"/>
      <c r="P62" s="38"/>
      <c r="Q62" s="38"/>
      <c r="R62" s="38"/>
    </row>
    <row r="63" spans="1:40" s="18" customFormat="1" ht="15.75" thickBot="1" x14ac:dyDescent="0.3">
      <c r="A63" s="18" t="s">
        <v>61</v>
      </c>
      <c r="D63" s="24"/>
      <c r="E63" s="24"/>
      <c r="F63" s="24"/>
      <c r="H63" s="24"/>
    </row>
    <row r="64" spans="1:40" s="134" customFormat="1" ht="48" customHeight="1" x14ac:dyDescent="0.25">
      <c r="A64" s="145" t="s">
        <v>610</v>
      </c>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201"/>
      <c r="AN64" s="201"/>
    </row>
    <row r="65" spans="1:40" s="18" customFormat="1" ht="17.25" x14ac:dyDescent="0.35">
      <c r="A65" s="17" t="s">
        <v>611</v>
      </c>
      <c r="B65" s="22">
        <f>IF(D69=1,0,B69*C69*D69*(E69*F69+G69*H69))</f>
        <v>0</v>
      </c>
      <c r="C65" s="23"/>
      <c r="D65" s="36"/>
      <c r="E65" s="23"/>
      <c r="F65" s="37"/>
    </row>
    <row r="66" spans="1:40" s="18" customFormat="1" x14ac:dyDescent="0.25">
      <c r="A66" s="18" t="s">
        <v>125</v>
      </c>
      <c r="B66" s="18" t="s">
        <v>602</v>
      </c>
      <c r="C66" s="24"/>
      <c r="D66" s="24"/>
      <c r="E66" s="24"/>
    </row>
    <row r="67" spans="1:40" s="24" customFormat="1" ht="34.5" x14ac:dyDescent="0.35">
      <c r="A67" s="24" t="s">
        <v>9</v>
      </c>
      <c r="B67" s="25" t="s">
        <v>21</v>
      </c>
      <c r="C67" s="25" t="s">
        <v>604</v>
      </c>
      <c r="D67" s="25" t="s">
        <v>612</v>
      </c>
      <c r="E67" s="25" t="s">
        <v>411</v>
      </c>
      <c r="F67" s="25" t="s">
        <v>606</v>
      </c>
      <c r="G67" s="25" t="s">
        <v>608</v>
      </c>
      <c r="H67" s="25" t="s">
        <v>609</v>
      </c>
      <c r="I67" s="25"/>
      <c r="J67" s="25"/>
      <c r="K67" s="25"/>
      <c r="L67" s="25"/>
      <c r="M67" s="25"/>
      <c r="N67" s="25"/>
      <c r="O67" s="25"/>
      <c r="P67" s="70"/>
      <c r="Q67" s="70"/>
      <c r="R67" s="70"/>
    </row>
    <row r="68" spans="1:40" s="18" customFormat="1" ht="17.25" customHeight="1" x14ac:dyDescent="0.35">
      <c r="A68" s="18" t="s">
        <v>56</v>
      </c>
      <c r="B68" s="16" t="s">
        <v>2</v>
      </c>
      <c r="C68" s="16" t="s">
        <v>2</v>
      </c>
      <c r="D68" s="16" t="s">
        <v>2</v>
      </c>
      <c r="E68" s="16" t="s">
        <v>2</v>
      </c>
      <c r="F68" s="16" t="s">
        <v>2</v>
      </c>
      <c r="G68" s="16" t="s">
        <v>2</v>
      </c>
      <c r="H68" s="16" t="s">
        <v>2</v>
      </c>
      <c r="I68" s="16"/>
      <c r="J68" s="16"/>
      <c r="K68" s="16"/>
      <c r="L68" s="16"/>
      <c r="M68" s="16"/>
      <c r="N68" s="16"/>
      <c r="O68" s="16"/>
      <c r="P68" s="70"/>
    </row>
    <row r="69" spans="1:40" s="133" customFormat="1" ht="17.25" x14ac:dyDescent="0.35">
      <c r="A69" t="s">
        <v>57</v>
      </c>
      <c r="B69" s="17">
        <f>IF(B68=Inputs!$C$1,B70,B71)</f>
        <v>7152557.373046875</v>
      </c>
      <c r="C69" s="44">
        <f>IF(C68=Inputs!$C$1,C70,C71)</f>
        <v>1</v>
      </c>
      <c r="D69" s="44">
        <f>IF(D68=Inputs!$C$1,D70,D71)</f>
        <v>1</v>
      </c>
      <c r="E69" s="17">
        <f>IF(E68=Inputs!$C$1,E70,E71)</f>
        <v>3243595093.333333</v>
      </c>
      <c r="F69" s="44">
        <f>IF(F68=Inputs!$C$1,F70,F71)</f>
        <v>16</v>
      </c>
      <c r="G69" s="17">
        <f>IF(G68=Inputs!$C$1,G70,G71)</f>
        <v>3243595093.333333</v>
      </c>
      <c r="H69" s="44">
        <f>IF(H68=Inputs!$C$1,H70,H71)</f>
        <v>32</v>
      </c>
      <c r="I69" s="17"/>
      <c r="J69" s="17"/>
      <c r="K69" s="44"/>
      <c r="L69" s="17"/>
      <c r="M69" s="44"/>
      <c r="N69" s="44"/>
      <c r="O69" s="44"/>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row>
    <row r="70" spans="1:40" s="18" customFormat="1" ht="17.25" x14ac:dyDescent="0.35">
      <c r="A70" s="18" t="s">
        <v>58</v>
      </c>
      <c r="B70" s="15"/>
      <c r="C70" s="15"/>
      <c r="D70" s="162"/>
      <c r="E70" s="142"/>
      <c r="F70" s="15"/>
      <c r="G70" s="142"/>
      <c r="H70" s="15"/>
      <c r="I70" s="15"/>
      <c r="J70" s="15"/>
      <c r="K70" s="142"/>
      <c r="L70" s="15"/>
      <c r="M70" s="142"/>
      <c r="N70" s="142"/>
      <c r="O70" s="142"/>
    </row>
    <row r="71" spans="1:40" s="18" customFormat="1" ht="17.25" x14ac:dyDescent="0.35">
      <c r="A71" s="18" t="s">
        <v>218</v>
      </c>
      <c r="B71" s="5">
        <f>Inputs!M7</f>
        <v>7152557.373046875</v>
      </c>
      <c r="C71" s="38">
        <f>B141</f>
        <v>1</v>
      </c>
      <c r="D71" s="164">
        <f>Inputs!E14</f>
        <v>1</v>
      </c>
      <c r="E71" s="5">
        <f>'Performance Model'!C122</f>
        <v>3243595093.333333</v>
      </c>
      <c r="F71" s="38">
        <f>Inputs!C7</f>
        <v>16</v>
      </c>
      <c r="G71" s="5">
        <f>'Performance Model'!C185</f>
        <v>3243595093.333333</v>
      </c>
      <c r="H71" s="5">
        <f>'Performance Model'!D165</f>
        <v>32</v>
      </c>
      <c r="I71" s="5"/>
      <c r="J71" s="5"/>
      <c r="K71" s="38"/>
      <c r="L71" s="5"/>
      <c r="M71" s="38"/>
      <c r="N71" s="38"/>
      <c r="O71" s="38"/>
    </row>
    <row r="72" spans="1:40" s="18" customFormat="1" ht="15.75" thickBot="1" x14ac:dyDescent="0.3">
      <c r="A72" s="18" t="s">
        <v>61</v>
      </c>
      <c r="C72" s="24"/>
      <c r="D72" s="24"/>
      <c r="E72" s="24"/>
    </row>
    <row r="73" spans="1:40" s="134" customFormat="1" ht="48" customHeight="1" x14ac:dyDescent="0.25">
      <c r="A73" s="145" t="s">
        <v>613</v>
      </c>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c r="AA73" s="109"/>
      <c r="AB73" s="109"/>
      <c r="AC73" s="109"/>
      <c r="AD73" s="109"/>
      <c r="AE73" s="109"/>
      <c r="AF73" s="109"/>
      <c r="AG73" s="109"/>
      <c r="AH73" s="109"/>
      <c r="AI73" s="109"/>
      <c r="AJ73" s="109"/>
      <c r="AK73" s="109"/>
      <c r="AL73" s="109"/>
      <c r="AM73" s="201"/>
      <c r="AN73" s="201"/>
    </row>
    <row r="74" spans="1:40" s="18" customFormat="1" ht="17.25" x14ac:dyDescent="0.35">
      <c r="A74" s="17" t="s">
        <v>614</v>
      </c>
      <c r="B74" s="22">
        <f>B78*C78*D78*F78*G78*H78*E78</f>
        <v>0</v>
      </c>
      <c r="C74" s="23"/>
      <c r="D74" s="36"/>
      <c r="E74" s="23"/>
      <c r="F74" s="37"/>
    </row>
    <row r="75" spans="1:40" s="18" customFormat="1" x14ac:dyDescent="0.25">
      <c r="A75" s="18" t="s">
        <v>125</v>
      </c>
      <c r="B75" s="18" t="s">
        <v>615</v>
      </c>
      <c r="C75" s="24"/>
      <c r="D75" s="24"/>
      <c r="E75" s="24"/>
    </row>
    <row r="76" spans="1:40" s="24" customFormat="1" ht="34.5" x14ac:dyDescent="0.35">
      <c r="A76" s="24" t="s">
        <v>9</v>
      </c>
      <c r="B76" s="25" t="s">
        <v>603</v>
      </c>
      <c r="C76" s="25" t="s">
        <v>21</v>
      </c>
      <c r="D76" s="25" t="s">
        <v>604</v>
      </c>
      <c r="E76" s="25" t="s">
        <v>385</v>
      </c>
      <c r="F76" s="25" t="s">
        <v>607</v>
      </c>
      <c r="G76" s="25" t="s">
        <v>616</v>
      </c>
      <c r="H76" s="25" t="s">
        <v>617</v>
      </c>
      <c r="I76" s="25"/>
      <c r="J76" s="25"/>
      <c r="K76" s="25"/>
      <c r="L76" s="25"/>
      <c r="M76" s="25"/>
      <c r="N76" s="25"/>
      <c r="O76" s="25"/>
      <c r="P76" s="25"/>
      <c r="Q76" s="25"/>
      <c r="R76" s="25"/>
      <c r="S76" s="70"/>
      <c r="T76" s="70"/>
      <c r="U76" s="70"/>
    </row>
    <row r="77" spans="1:40" s="18" customFormat="1" ht="17.25" customHeight="1" x14ac:dyDescent="0.35">
      <c r="A77" s="18" t="s">
        <v>56</v>
      </c>
      <c r="B77" s="16" t="s">
        <v>2</v>
      </c>
      <c r="C77" s="16" t="s">
        <v>2</v>
      </c>
      <c r="D77" s="16" t="s">
        <v>2</v>
      </c>
      <c r="E77" s="16" t="s">
        <v>2</v>
      </c>
      <c r="F77" s="35" t="s">
        <v>2</v>
      </c>
      <c r="G77" s="16" t="s">
        <v>2</v>
      </c>
      <c r="H77" s="16" t="s">
        <v>2</v>
      </c>
      <c r="I77" s="16"/>
      <c r="J77" s="16"/>
      <c r="K77" s="16"/>
      <c r="L77" s="16"/>
      <c r="M77" s="16"/>
      <c r="N77" s="16"/>
      <c r="O77" s="16"/>
      <c r="P77" s="16"/>
      <c r="Q77" s="16"/>
      <c r="R77" s="16"/>
      <c r="S77" s="70"/>
    </row>
    <row r="78" spans="1:40" s="133" customFormat="1" ht="17.25" x14ac:dyDescent="0.35">
      <c r="A78" t="s">
        <v>57</v>
      </c>
      <c r="B78" s="44">
        <f>IF(B77=Inputs!$C$1,B79,B80)</f>
        <v>480</v>
      </c>
      <c r="C78" s="17">
        <f>IF(C77=Inputs!$C$1,C79,C80)</f>
        <v>7152557.373046875</v>
      </c>
      <c r="D78" s="44">
        <f>IF(D77=Inputs!$C$1,D79,D80)</f>
        <v>1</v>
      </c>
      <c r="E78" s="44">
        <f>IF(E77=Inputs!$C$1,E79,E80)</f>
        <v>1</v>
      </c>
      <c r="F78" s="44">
        <f>IF(F77=Inputs!$C$1,F79,F80)</f>
        <v>0</v>
      </c>
      <c r="G78" s="17">
        <f>IF(G77=Inputs!$C$1,G79,G80)</f>
        <v>16538840746.666666</v>
      </c>
      <c r="H78" s="44">
        <f>IF(H77=Inputs!$C$1,H79,H80)</f>
        <v>32</v>
      </c>
      <c r="I78" s="44"/>
      <c r="J78" s="17"/>
      <c r="K78" s="44"/>
      <c r="L78" s="17"/>
      <c r="M78" s="17"/>
      <c r="N78" s="44"/>
      <c r="O78" s="17"/>
      <c r="P78" s="44"/>
      <c r="Q78" s="44"/>
      <c r="R78" s="44"/>
      <c r="S78" s="17"/>
      <c r="T78" s="17"/>
      <c r="U78" s="17"/>
      <c r="V78" s="17"/>
      <c r="W78" s="17"/>
      <c r="X78" s="17"/>
      <c r="Y78" s="17"/>
      <c r="Z78" s="17"/>
      <c r="AA78" s="17"/>
      <c r="AB78" s="17"/>
      <c r="AC78" s="17"/>
      <c r="AD78" s="17"/>
      <c r="AE78" s="17"/>
      <c r="AF78" s="17"/>
      <c r="AG78" s="17"/>
      <c r="AH78" s="17"/>
      <c r="AI78" s="17"/>
      <c r="AJ78" s="17"/>
      <c r="AK78" s="17"/>
      <c r="AL78" s="17"/>
      <c r="AM78" s="17"/>
      <c r="AN78" s="17"/>
    </row>
    <row r="79" spans="1:40" s="18" customFormat="1" ht="17.25" x14ac:dyDescent="0.35">
      <c r="A79" s="18" t="s">
        <v>58</v>
      </c>
      <c r="B79" s="15"/>
      <c r="C79" s="15"/>
      <c r="D79" s="15"/>
      <c r="E79" s="142"/>
      <c r="F79" s="142"/>
      <c r="G79" s="15"/>
      <c r="H79" s="166"/>
      <c r="I79" s="15"/>
      <c r="J79" s="142"/>
      <c r="K79" s="15"/>
      <c r="L79" s="15"/>
      <c r="M79" s="15"/>
      <c r="N79" s="142"/>
      <c r="O79" s="15"/>
      <c r="P79" s="142"/>
      <c r="Q79" s="142"/>
      <c r="R79" s="142"/>
    </row>
    <row r="80" spans="1:40" s="18" customFormat="1" ht="17.25" x14ac:dyDescent="0.35">
      <c r="A80" s="18" t="s">
        <v>218</v>
      </c>
      <c r="B80" s="38">
        <f>B60</f>
        <v>480</v>
      </c>
      <c r="C80" s="5">
        <f>C60</f>
        <v>7152557.373046875</v>
      </c>
      <c r="D80" s="38">
        <f>D60</f>
        <v>1</v>
      </c>
      <c r="E80" s="38">
        <f>Inputs!C14</f>
        <v>1</v>
      </c>
      <c r="F80" s="5">
        <f>'Performance Model'!E238</f>
        <v>0</v>
      </c>
      <c r="G80" s="5">
        <f>'Performance Model'!F238</f>
        <v>16538840746.666666</v>
      </c>
      <c r="H80" s="165">
        <f>Inputs!D7</f>
        <v>32</v>
      </c>
      <c r="I80" s="38"/>
      <c r="J80" s="5"/>
      <c r="K80" s="5"/>
      <c r="L80" s="5"/>
      <c r="M80" s="5"/>
      <c r="N80" s="38"/>
      <c r="O80" s="5"/>
      <c r="P80" s="38"/>
      <c r="Q80" s="38"/>
      <c r="R80" s="38"/>
    </row>
    <row r="81" spans="1:40" s="18" customFormat="1" ht="15.75" thickBot="1" x14ac:dyDescent="0.3">
      <c r="A81" s="18" t="s">
        <v>61</v>
      </c>
      <c r="D81" s="24"/>
      <c r="F81" s="24"/>
      <c r="G81" s="24"/>
    </row>
    <row r="82" spans="1:40" s="134" customFormat="1" ht="48" customHeight="1" x14ac:dyDescent="0.25">
      <c r="A82" s="145" t="s">
        <v>618</v>
      </c>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09"/>
      <c r="AJ82" s="109"/>
      <c r="AK82" s="109"/>
      <c r="AL82" s="109"/>
      <c r="AM82" s="201"/>
      <c r="AN82" s="201"/>
    </row>
    <row r="83" spans="1:40" s="18" customFormat="1" ht="17.25" x14ac:dyDescent="0.35">
      <c r="A83" s="17" t="s">
        <v>618</v>
      </c>
      <c r="B83" s="22">
        <f>B87*C87*E87*(F87*G87+H87*I87)</f>
        <v>0</v>
      </c>
      <c r="C83" s="23"/>
      <c r="D83" s="36"/>
      <c r="E83" s="23"/>
      <c r="F83" s="37"/>
    </row>
    <row r="84" spans="1:40" s="18" customFormat="1" x14ac:dyDescent="0.25">
      <c r="A84" s="18" t="s">
        <v>125</v>
      </c>
      <c r="C84" s="24"/>
      <c r="D84" s="24"/>
      <c r="E84" s="24"/>
    </row>
    <row r="85" spans="1:40" s="24" customFormat="1" ht="34.5" x14ac:dyDescent="0.35">
      <c r="A85" s="24" t="s">
        <v>9</v>
      </c>
      <c r="B85" s="25" t="s">
        <v>603</v>
      </c>
      <c r="C85" s="25" t="s">
        <v>21</v>
      </c>
      <c r="D85" s="25" t="s">
        <v>604</v>
      </c>
      <c r="E85" s="25" t="s">
        <v>413</v>
      </c>
      <c r="F85" s="25" t="s">
        <v>619</v>
      </c>
      <c r="G85" s="25" t="s">
        <v>606</v>
      </c>
      <c r="H85" s="25" t="s">
        <v>620</v>
      </c>
      <c r="I85" s="25" t="s">
        <v>617</v>
      </c>
      <c r="J85" s="25"/>
      <c r="K85" s="25"/>
      <c r="L85" s="25"/>
      <c r="M85" s="25"/>
      <c r="N85" s="25"/>
      <c r="O85" s="25"/>
      <c r="P85" s="25"/>
      <c r="Q85" s="25"/>
      <c r="R85" s="25"/>
      <c r="S85" s="70"/>
      <c r="T85" s="70"/>
      <c r="U85" s="70"/>
    </row>
    <row r="86" spans="1:40" s="18" customFormat="1" ht="17.25" customHeight="1" x14ac:dyDescent="0.35">
      <c r="A86" s="18" t="s">
        <v>56</v>
      </c>
      <c r="B86" s="16" t="s">
        <v>2</v>
      </c>
      <c r="C86" s="16" t="s">
        <v>2</v>
      </c>
      <c r="D86" s="16" t="s">
        <v>2</v>
      </c>
      <c r="E86" s="16" t="s">
        <v>2</v>
      </c>
      <c r="F86" s="35" t="s">
        <v>2</v>
      </c>
      <c r="G86" s="16" t="s">
        <v>2</v>
      </c>
      <c r="H86" s="16" t="s">
        <v>2</v>
      </c>
      <c r="I86" s="16" t="s">
        <v>2</v>
      </c>
      <c r="J86" s="16"/>
      <c r="K86" s="16"/>
      <c r="L86" s="16"/>
      <c r="M86" s="16"/>
      <c r="N86" s="16"/>
      <c r="O86" s="16"/>
      <c r="P86" s="16"/>
      <c r="Q86" s="16"/>
      <c r="R86" s="16"/>
      <c r="S86" s="70"/>
    </row>
    <row r="87" spans="1:40" s="133" customFormat="1" ht="17.25" x14ac:dyDescent="0.35">
      <c r="A87" t="s">
        <v>57</v>
      </c>
      <c r="B87" s="44">
        <f>IF(B86=Inputs!$C$1,B88,B89)</f>
        <v>480</v>
      </c>
      <c r="C87" s="17">
        <f>IF(C86=Inputs!$C$1,C88,C89)</f>
        <v>7152557.373046875</v>
      </c>
      <c r="D87" s="44">
        <f>IF(D86=Inputs!$C$1,D88,D89)</f>
        <v>1</v>
      </c>
      <c r="E87" s="44">
        <f>IF(E86=Inputs!$C$1,E88,E89)</f>
        <v>0</v>
      </c>
      <c r="F87" s="44">
        <f>IF(F86=Inputs!$C$1,F88,F89)</f>
        <v>3243595093.333333</v>
      </c>
      <c r="G87" s="17">
        <f>IF(G86=Inputs!$C$1,G88,G89)</f>
        <v>16</v>
      </c>
      <c r="H87" s="44">
        <f>IF(H86=Inputs!$C$1,H88,H89)</f>
        <v>3243595093.333333</v>
      </c>
      <c r="I87" s="44">
        <f>IF(I86=Inputs!$C$1,I88,I89)</f>
        <v>32</v>
      </c>
      <c r="J87" s="17"/>
      <c r="K87" s="44"/>
      <c r="L87" s="17"/>
      <c r="M87" s="17"/>
      <c r="N87" s="44"/>
      <c r="O87" s="17"/>
      <c r="P87" s="44"/>
      <c r="Q87" s="44"/>
      <c r="R87" s="44"/>
      <c r="S87" s="17"/>
      <c r="T87" s="17"/>
      <c r="U87" s="17"/>
      <c r="V87" s="17"/>
      <c r="W87" s="17"/>
      <c r="X87" s="17"/>
      <c r="Y87" s="17"/>
      <c r="Z87" s="17"/>
      <c r="AA87" s="17"/>
      <c r="AB87" s="17"/>
      <c r="AC87" s="17"/>
      <c r="AD87" s="17"/>
      <c r="AE87" s="17"/>
      <c r="AF87" s="17"/>
      <c r="AG87" s="17"/>
      <c r="AH87" s="17"/>
      <c r="AI87" s="17"/>
      <c r="AJ87" s="17"/>
      <c r="AK87" s="17"/>
      <c r="AL87" s="17"/>
      <c r="AM87" s="17"/>
      <c r="AN87" s="17"/>
    </row>
    <row r="88" spans="1:40" s="18" customFormat="1" ht="17.25" x14ac:dyDescent="0.35">
      <c r="A88" s="18" t="s">
        <v>58</v>
      </c>
      <c r="B88" s="15"/>
      <c r="C88" s="15"/>
      <c r="D88" s="15"/>
      <c r="E88" s="142"/>
      <c r="F88" s="142"/>
      <c r="G88" s="15"/>
      <c r="H88" s="166"/>
      <c r="I88" s="15"/>
      <c r="J88" s="142"/>
      <c r="K88" s="15"/>
      <c r="L88" s="15"/>
      <c r="M88" s="15"/>
      <c r="N88" s="142"/>
      <c r="O88" s="15"/>
      <c r="P88" s="142"/>
      <c r="Q88" s="142"/>
      <c r="R88" s="142"/>
    </row>
    <row r="89" spans="1:40" s="18" customFormat="1" ht="17.25" x14ac:dyDescent="0.35">
      <c r="A89" s="18" t="s">
        <v>218</v>
      </c>
      <c r="B89" s="38">
        <f>B60</f>
        <v>480</v>
      </c>
      <c r="C89" s="5">
        <f>C60</f>
        <v>7152557.373046875</v>
      </c>
      <c r="D89" s="38">
        <f>D60</f>
        <v>1</v>
      </c>
      <c r="E89" s="5">
        <f>'Performance Model'!J272</f>
        <v>0</v>
      </c>
      <c r="F89" s="5">
        <f>'Performance Model'!F272</f>
        <v>3243595093.333333</v>
      </c>
      <c r="G89" s="5">
        <f>'Performance Model'!G272</f>
        <v>16</v>
      </c>
      <c r="H89" s="164">
        <f>'Performance Model'!F274</f>
        <v>3243595093.333333</v>
      </c>
      <c r="I89" s="5">
        <f>'Performance Model'!F281</f>
        <v>32</v>
      </c>
      <c r="J89" s="5"/>
      <c r="K89" s="5"/>
      <c r="L89" s="5"/>
      <c r="M89" s="5"/>
      <c r="N89" s="38"/>
      <c r="O89" s="5"/>
      <c r="P89" s="38"/>
      <c r="Q89" s="38"/>
      <c r="R89" s="38"/>
    </row>
    <row r="90" spans="1:40" s="18" customFormat="1" ht="15.75" thickBot="1" x14ac:dyDescent="0.3">
      <c r="A90" s="18" t="s">
        <v>61</v>
      </c>
      <c r="D90" s="24"/>
      <c r="F90" s="24"/>
      <c r="G90" s="24"/>
    </row>
    <row r="91" spans="1:40" s="134" customFormat="1" ht="30.75" customHeight="1" x14ac:dyDescent="0.25">
      <c r="A91" s="109" t="s">
        <v>621</v>
      </c>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c r="AJ91" s="109"/>
      <c r="AK91" s="109"/>
      <c r="AL91" s="109"/>
      <c r="AM91" s="201"/>
      <c r="AN91" s="201"/>
    </row>
    <row r="92" spans="1:40" s="18" customFormat="1" ht="17.25" x14ac:dyDescent="0.35">
      <c r="A92" s="17" t="s">
        <v>622</v>
      </c>
      <c r="B92" s="146">
        <f>B96*(C96+D96+E96)</f>
        <v>0</v>
      </c>
      <c r="C92" s="23"/>
      <c r="D92" s="36"/>
      <c r="E92" s="23"/>
      <c r="F92" s="37"/>
    </row>
    <row r="93" spans="1:40" s="18" customFormat="1" x14ac:dyDescent="0.25">
      <c r="A93" s="18" t="s">
        <v>125</v>
      </c>
      <c r="C93" s="24"/>
      <c r="D93" s="24"/>
      <c r="E93" s="24"/>
    </row>
    <row r="94" spans="1:40" s="24" customFormat="1" ht="51.75" x14ac:dyDescent="0.35">
      <c r="A94" s="24" t="s">
        <v>9</v>
      </c>
      <c r="B94" s="25" t="s">
        <v>623</v>
      </c>
      <c r="C94" s="25" t="s">
        <v>624</v>
      </c>
      <c r="D94" s="25" t="s">
        <v>625</v>
      </c>
      <c r="E94" s="25" t="s">
        <v>626</v>
      </c>
      <c r="F94" s="25" t="s">
        <v>627</v>
      </c>
      <c r="G94" s="25"/>
      <c r="H94" s="25"/>
      <c r="I94" s="25"/>
      <c r="J94" s="25"/>
      <c r="K94" s="25"/>
      <c r="L94" s="25"/>
      <c r="M94" s="25"/>
      <c r="N94" s="25"/>
      <c r="O94" s="25"/>
      <c r="P94" s="25"/>
      <c r="Q94" s="25"/>
      <c r="R94" s="70"/>
      <c r="S94" s="70"/>
      <c r="T94" s="70"/>
    </row>
    <row r="95" spans="1:40" s="18" customFormat="1" ht="17.25" customHeight="1" x14ac:dyDescent="0.35">
      <c r="A95" s="18" t="s">
        <v>56</v>
      </c>
      <c r="B95" s="16" t="s">
        <v>1</v>
      </c>
      <c r="C95" s="16" t="s">
        <v>2</v>
      </c>
      <c r="D95" s="16" t="s">
        <v>2</v>
      </c>
      <c r="E95" s="16" t="s">
        <v>2</v>
      </c>
      <c r="F95" s="16"/>
      <c r="G95" s="16"/>
      <c r="H95" s="16"/>
      <c r="I95" s="16"/>
      <c r="J95" s="16"/>
      <c r="K95" s="16"/>
      <c r="L95" s="16"/>
      <c r="M95" s="16"/>
      <c r="N95" s="16"/>
      <c r="O95" s="16"/>
      <c r="P95" s="16"/>
      <c r="Q95" s="16"/>
      <c r="R95" s="70"/>
    </row>
    <row r="96" spans="1:40" s="133" customFormat="1" ht="17.25" x14ac:dyDescent="0.35">
      <c r="A96" t="s">
        <v>57</v>
      </c>
      <c r="B96" s="17">
        <f>IF(B95=Inputs!$C$1,B97,B98)</f>
        <v>1.6000000000000001E-9</v>
      </c>
      <c r="C96" s="17">
        <f>IF(C95=Inputs!$C$1,C97,C98)</f>
        <v>0</v>
      </c>
      <c r="D96" s="17">
        <f>IF(D95=Inputs!$C$1,D97,D98)</f>
        <v>0</v>
      </c>
      <c r="E96" s="17">
        <f>IF(E95=Inputs!$C$1,E97,E98)</f>
        <v>0</v>
      </c>
      <c r="F96" s="17"/>
      <c r="G96" s="44"/>
      <c r="H96" s="44"/>
      <c r="I96" s="17"/>
      <c r="J96" s="17"/>
      <c r="K96" s="17"/>
      <c r="L96" s="17"/>
      <c r="M96" s="44"/>
      <c r="N96" s="17"/>
      <c r="O96" s="44"/>
      <c r="P96" s="44"/>
      <c r="Q96" s="44"/>
      <c r="R96" s="17"/>
      <c r="S96" s="17"/>
      <c r="T96" s="17"/>
      <c r="U96" s="17"/>
      <c r="V96" s="17"/>
      <c r="W96" s="17"/>
      <c r="X96" s="17"/>
      <c r="Y96" s="17"/>
      <c r="Z96" s="17"/>
      <c r="AA96" s="17"/>
      <c r="AB96" s="17"/>
      <c r="AC96" s="17"/>
      <c r="AD96" s="17"/>
      <c r="AE96" s="17"/>
      <c r="AF96" s="17"/>
      <c r="AG96" s="17"/>
      <c r="AH96" s="17"/>
      <c r="AI96" s="17"/>
      <c r="AJ96" s="17"/>
      <c r="AK96" s="17"/>
      <c r="AL96" s="17"/>
      <c r="AM96" s="17"/>
      <c r="AN96" s="17"/>
    </row>
    <row r="97" spans="1:40" s="18" customFormat="1" ht="17.25" x14ac:dyDescent="0.35">
      <c r="A97" s="18" t="s">
        <v>58</v>
      </c>
      <c r="B97" s="15">
        <v>1.6000000000000001E-9</v>
      </c>
      <c r="C97" s="15"/>
      <c r="D97" s="162"/>
      <c r="E97" s="142"/>
      <c r="F97" s="15"/>
      <c r="G97" s="142"/>
      <c r="H97" s="142"/>
      <c r="I97" s="15"/>
      <c r="J97" s="15"/>
      <c r="K97" s="15"/>
      <c r="L97" s="15"/>
      <c r="M97" s="142"/>
      <c r="N97" s="15"/>
      <c r="O97" s="142"/>
      <c r="P97" s="142"/>
      <c r="Q97" s="142"/>
    </row>
    <row r="98" spans="1:40" s="18" customFormat="1" ht="17.25" x14ac:dyDescent="0.35">
      <c r="A98" s="18" t="s">
        <v>218</v>
      </c>
      <c r="B98" s="5"/>
      <c r="C98" s="5">
        <f>B101</f>
        <v>0</v>
      </c>
      <c r="D98" s="164">
        <f>B110</f>
        <v>0</v>
      </c>
      <c r="E98" s="5">
        <f>B119</f>
        <v>0</v>
      </c>
      <c r="F98" s="5"/>
      <c r="G98" s="38"/>
      <c r="H98" s="38"/>
      <c r="I98" s="5"/>
      <c r="J98" s="5"/>
      <c r="K98" s="5"/>
      <c r="L98" s="5"/>
      <c r="M98" s="38"/>
      <c r="N98" s="5"/>
      <c r="O98" s="38"/>
      <c r="P98" s="38"/>
      <c r="Q98" s="38"/>
    </row>
    <row r="99" spans="1:40" s="18" customFormat="1" ht="15.75" thickBot="1" x14ac:dyDescent="0.3">
      <c r="A99" s="18" t="s">
        <v>61</v>
      </c>
      <c r="B99" s="18" t="s">
        <v>628</v>
      </c>
      <c r="D99" s="24"/>
      <c r="E99" s="24"/>
      <c r="F99" s="24"/>
      <c r="H99" s="24"/>
    </row>
    <row r="100" spans="1:40" s="134" customFormat="1" ht="48" customHeight="1" x14ac:dyDescent="0.25">
      <c r="A100" s="145" t="s">
        <v>629</v>
      </c>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c r="AJ100" s="109"/>
      <c r="AK100" s="109"/>
      <c r="AL100" s="109"/>
      <c r="AM100" s="201"/>
      <c r="AN100" s="201"/>
    </row>
    <row r="101" spans="1:40" s="18" customFormat="1" ht="17.25" x14ac:dyDescent="0.35">
      <c r="A101" s="17" t="s">
        <v>624</v>
      </c>
      <c r="B101" s="22">
        <f>B105*C105*D105*(E105*F105*G105+H105*I105*J105)</f>
        <v>0</v>
      </c>
      <c r="C101" s="23"/>
      <c r="D101" s="36"/>
      <c r="E101" s="23"/>
      <c r="F101" s="37"/>
    </row>
    <row r="102" spans="1:40" s="18" customFormat="1" x14ac:dyDescent="0.25">
      <c r="A102" s="18" t="s">
        <v>125</v>
      </c>
      <c r="B102" s="18" t="s">
        <v>602</v>
      </c>
      <c r="C102" s="24"/>
      <c r="D102" s="24"/>
      <c r="E102" s="24"/>
    </row>
    <row r="103" spans="1:40" s="24" customFormat="1" ht="34.5" x14ac:dyDescent="0.35">
      <c r="A103" s="24" t="s">
        <v>9</v>
      </c>
      <c r="B103" s="25" t="s">
        <v>603</v>
      </c>
      <c r="C103" s="25" t="s">
        <v>21</v>
      </c>
      <c r="D103" s="25" t="s">
        <v>630</v>
      </c>
      <c r="E103" s="25" t="s">
        <v>412</v>
      </c>
      <c r="F103" s="25" t="s">
        <v>606</v>
      </c>
      <c r="G103" s="25" t="s">
        <v>631</v>
      </c>
      <c r="H103" s="25" t="s">
        <v>632</v>
      </c>
      <c r="I103" s="25" t="s">
        <v>609</v>
      </c>
      <c r="J103" s="25" t="s">
        <v>631</v>
      </c>
      <c r="K103" s="25"/>
      <c r="L103" s="25"/>
      <c r="M103" s="25"/>
      <c r="N103" s="25"/>
      <c r="O103" s="25"/>
      <c r="P103" s="25"/>
      <c r="Q103" s="25"/>
      <c r="R103" s="25"/>
      <c r="S103" s="70"/>
      <c r="T103" s="70"/>
      <c r="U103" s="70"/>
    </row>
    <row r="104" spans="1:40" s="18" customFormat="1" ht="17.25" customHeight="1" x14ac:dyDescent="0.35">
      <c r="A104" s="18" t="s">
        <v>56</v>
      </c>
      <c r="B104" s="16" t="s">
        <v>2</v>
      </c>
      <c r="C104" s="16" t="s">
        <v>2</v>
      </c>
      <c r="D104" s="16" t="s">
        <v>2</v>
      </c>
      <c r="E104" s="16" t="s">
        <v>2</v>
      </c>
      <c r="F104" s="16" t="s">
        <v>2</v>
      </c>
      <c r="G104" s="16" t="s">
        <v>2</v>
      </c>
      <c r="H104" s="16" t="s">
        <v>2</v>
      </c>
      <c r="I104" s="16" t="s">
        <v>2</v>
      </c>
      <c r="J104" s="16" t="s">
        <v>2</v>
      </c>
      <c r="K104" s="16"/>
      <c r="L104" s="16"/>
      <c r="M104" s="16"/>
      <c r="N104" s="16"/>
      <c r="O104" s="16"/>
      <c r="P104" s="16"/>
      <c r="Q104" s="16"/>
      <c r="R104" s="16"/>
      <c r="S104" s="70"/>
    </row>
    <row r="105" spans="1:40" s="133" customFormat="1" ht="17.25" x14ac:dyDescent="0.35">
      <c r="A105" t="s">
        <v>57</v>
      </c>
      <c r="B105" s="17">
        <f>IF(B104=Inputs!$C$1,B106,B107)</f>
        <v>480</v>
      </c>
      <c r="C105" s="17">
        <f>IF(C104=Inputs!$C$1,C106,C107)</f>
        <v>7152557.373046875</v>
      </c>
      <c r="D105" s="44">
        <f>IF(D104=Inputs!$C$1,D106,D107)</f>
        <v>1</v>
      </c>
      <c r="E105" s="17">
        <f>IF(E104=Inputs!$C$1,E106,E107)</f>
        <v>0</v>
      </c>
      <c r="F105" s="17">
        <f>IF(F104=Inputs!$C$1,F106,F107)</f>
        <v>16</v>
      </c>
      <c r="G105" s="17">
        <f>IF(G104=Inputs!$C$1,G106,G107)</f>
        <v>0</v>
      </c>
      <c r="H105" s="17">
        <f>IF(H104=Inputs!$C$1,H106,H107)</f>
        <v>0</v>
      </c>
      <c r="I105" s="17">
        <f>IF(I104=Inputs!$C$1,I106,I107)</f>
        <v>32</v>
      </c>
      <c r="J105" s="17">
        <f>IF(J104=Inputs!$C$1,J106,J107)</f>
        <v>0</v>
      </c>
      <c r="K105" s="44"/>
      <c r="L105" s="17"/>
      <c r="M105" s="17"/>
      <c r="N105" s="44"/>
      <c r="O105" s="17"/>
      <c r="P105" s="44"/>
      <c r="Q105" s="44"/>
      <c r="R105" s="44"/>
      <c r="S105" s="17"/>
      <c r="T105" s="17"/>
      <c r="U105" s="17"/>
      <c r="V105" s="17"/>
      <c r="W105" s="17"/>
      <c r="X105" s="17"/>
      <c r="Y105" s="17"/>
      <c r="Z105" s="17"/>
      <c r="AA105" s="17"/>
      <c r="AB105" s="17"/>
      <c r="AC105" s="17"/>
      <c r="AD105" s="17"/>
      <c r="AE105" s="17"/>
      <c r="AF105" s="17"/>
      <c r="AG105" s="17"/>
      <c r="AH105" s="17"/>
      <c r="AI105" s="17"/>
      <c r="AJ105" s="17"/>
      <c r="AK105" s="17"/>
      <c r="AL105" s="17"/>
      <c r="AM105" s="17"/>
      <c r="AN105" s="17"/>
    </row>
    <row r="106" spans="1:40" s="18" customFormat="1" ht="17.25" x14ac:dyDescent="0.35">
      <c r="A106" s="18" t="s">
        <v>58</v>
      </c>
      <c r="B106" s="15"/>
      <c r="C106" s="15"/>
      <c r="D106" s="142"/>
      <c r="E106" s="162"/>
      <c r="F106" s="142"/>
      <c r="G106" s="15"/>
      <c r="H106" s="142"/>
      <c r="I106" s="142"/>
      <c r="J106" s="15"/>
      <c r="K106" s="15"/>
      <c r="L106" s="15"/>
      <c r="M106" s="15"/>
      <c r="N106" s="142"/>
      <c r="O106" s="15"/>
      <c r="P106" s="142"/>
      <c r="Q106" s="142"/>
      <c r="R106" s="142"/>
    </row>
    <row r="107" spans="1:40" s="18" customFormat="1" ht="17.25" x14ac:dyDescent="0.35">
      <c r="A107" s="18" t="s">
        <v>218</v>
      </c>
      <c r="B107" s="38">
        <f>Inputs!N7</f>
        <v>480</v>
      </c>
      <c r="C107" s="5">
        <f>Inputs!M7</f>
        <v>7152557.373046875</v>
      </c>
      <c r="D107" s="38">
        <f>Inputs!H14</f>
        <v>1</v>
      </c>
      <c r="E107" s="164">
        <f>'Performance Model'!C112</f>
        <v>0</v>
      </c>
      <c r="F107" s="5">
        <f>'Performance Model'!D112</f>
        <v>16</v>
      </c>
      <c r="G107" s="38">
        <f>'Performance Model'!F112</f>
        <v>0</v>
      </c>
      <c r="H107" s="5">
        <f>'Performance Model'!C175</f>
        <v>0</v>
      </c>
      <c r="I107" s="5">
        <f>'Performance Model'!D175</f>
        <v>32</v>
      </c>
      <c r="J107" s="5">
        <f>'Performance Model'!F175</f>
        <v>0</v>
      </c>
      <c r="K107" s="5"/>
      <c r="L107" s="5"/>
      <c r="M107" s="5"/>
      <c r="N107" s="38"/>
      <c r="O107" s="5"/>
      <c r="P107" s="38"/>
      <c r="Q107" s="38"/>
      <c r="R107" s="38"/>
    </row>
    <row r="108" spans="1:40" s="18" customFormat="1" ht="15.75" thickBot="1" x14ac:dyDescent="0.3">
      <c r="A108" s="18" t="s">
        <v>61</v>
      </c>
      <c r="D108" s="24"/>
      <c r="E108" s="24"/>
      <c r="F108" s="24"/>
      <c r="H108" s="24"/>
    </row>
    <row r="109" spans="1:40" s="134" customFormat="1" ht="48" customHeight="1" x14ac:dyDescent="0.25">
      <c r="A109" s="145" t="s">
        <v>633</v>
      </c>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201"/>
      <c r="AN109" s="201"/>
    </row>
    <row r="110" spans="1:40" s="18" customFormat="1" ht="17.25" x14ac:dyDescent="0.35">
      <c r="A110" s="17" t="s">
        <v>625</v>
      </c>
      <c r="B110" s="22">
        <f>IF(C114=1,0,B114*C114*(D114*E114+F114*G114))</f>
        <v>0</v>
      </c>
      <c r="C110" s="23"/>
      <c r="D110" s="36"/>
      <c r="E110" s="23"/>
      <c r="F110" s="37"/>
    </row>
    <row r="111" spans="1:40" s="18" customFormat="1" x14ac:dyDescent="0.25">
      <c r="A111" s="18" t="s">
        <v>125</v>
      </c>
      <c r="B111" s="18" t="s">
        <v>602</v>
      </c>
      <c r="C111" s="24"/>
      <c r="D111" s="24"/>
      <c r="E111" s="24"/>
    </row>
    <row r="112" spans="1:40" s="24" customFormat="1" ht="51.75" x14ac:dyDescent="0.35">
      <c r="A112" s="24" t="s">
        <v>9</v>
      </c>
      <c r="B112" s="25" t="s">
        <v>21</v>
      </c>
      <c r="C112" s="25" t="s">
        <v>634</v>
      </c>
      <c r="D112" s="25" t="s">
        <v>412</v>
      </c>
      <c r="E112" s="25" t="s">
        <v>606</v>
      </c>
      <c r="F112" s="25" t="s">
        <v>632</v>
      </c>
      <c r="G112" s="25" t="s">
        <v>609</v>
      </c>
      <c r="H112" s="25"/>
      <c r="I112" s="25"/>
      <c r="J112" s="25"/>
      <c r="K112" s="25"/>
      <c r="L112" s="25"/>
      <c r="M112" s="25"/>
      <c r="N112" s="25"/>
      <c r="O112" s="25"/>
      <c r="P112" s="70"/>
      <c r="Q112" s="70"/>
      <c r="R112" s="70"/>
    </row>
    <row r="113" spans="1:40" s="18" customFormat="1" ht="17.25" customHeight="1" x14ac:dyDescent="0.35">
      <c r="A113" s="18" t="s">
        <v>56</v>
      </c>
      <c r="B113" s="16" t="s">
        <v>2</v>
      </c>
      <c r="C113" s="16" t="s">
        <v>2</v>
      </c>
      <c r="D113" s="16" t="s">
        <v>2</v>
      </c>
      <c r="E113" s="16" t="s">
        <v>2</v>
      </c>
      <c r="F113" s="16" t="s">
        <v>2</v>
      </c>
      <c r="G113" s="16" t="s">
        <v>2</v>
      </c>
      <c r="H113" s="16"/>
      <c r="I113" s="16"/>
      <c r="J113" s="16"/>
      <c r="K113" s="16"/>
      <c r="L113" s="16"/>
      <c r="M113" s="16"/>
      <c r="N113" s="16"/>
      <c r="O113" s="16"/>
      <c r="P113" s="70"/>
    </row>
    <row r="114" spans="1:40" s="133" customFormat="1" ht="17.25" x14ac:dyDescent="0.35">
      <c r="A114" t="s">
        <v>57</v>
      </c>
      <c r="B114" s="17">
        <f>IF(B113=Inputs!$C$1,B115,B116)</f>
        <v>7152557.373046875</v>
      </c>
      <c r="C114" s="17">
        <f>IF(C113=Inputs!$C$1,C115,C116)</f>
        <v>1</v>
      </c>
      <c r="D114" s="17">
        <f>IF(D113=Inputs!$C$1,D115,D116)</f>
        <v>3243595093.333333</v>
      </c>
      <c r="E114" s="17">
        <f>IF(E113=Inputs!$C$1,E115,E116)</f>
        <v>16</v>
      </c>
      <c r="F114" s="17">
        <f>IF(F113=Inputs!$C$1,F115,F116)</f>
        <v>3243595093.333333</v>
      </c>
      <c r="G114" s="17">
        <f>IF(G113=Inputs!$C$1,G115,G116)</f>
        <v>32</v>
      </c>
      <c r="H114" s="44"/>
      <c r="I114" s="17"/>
      <c r="J114" s="17"/>
      <c r="K114" s="44"/>
      <c r="L114" s="17"/>
      <c r="M114" s="44"/>
      <c r="N114" s="44"/>
      <c r="O114" s="44"/>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row>
    <row r="115" spans="1:40" s="18" customFormat="1" ht="17.25" x14ac:dyDescent="0.35">
      <c r="A115" s="18" t="s">
        <v>58</v>
      </c>
      <c r="B115" s="15"/>
      <c r="C115" s="15"/>
      <c r="D115" s="162"/>
      <c r="E115" s="142"/>
      <c r="F115" s="15"/>
      <c r="G115" s="142"/>
      <c r="H115" s="15"/>
      <c r="I115" s="15"/>
      <c r="J115" s="15"/>
      <c r="K115" s="142"/>
      <c r="L115" s="15"/>
      <c r="M115" s="142"/>
      <c r="N115" s="142"/>
      <c r="O115" s="142"/>
    </row>
    <row r="116" spans="1:40" s="18" customFormat="1" ht="17.25" x14ac:dyDescent="0.35">
      <c r="A116" s="18" t="s">
        <v>218</v>
      </c>
      <c r="B116" s="5">
        <f>C105</f>
        <v>7152557.373046875</v>
      </c>
      <c r="C116" s="38">
        <f>Inputs!I14</f>
        <v>1</v>
      </c>
      <c r="D116" s="164">
        <f>'Performance Model'!C132</f>
        <v>3243595093.333333</v>
      </c>
      <c r="E116" s="5">
        <f>'Performance Model'!D132</f>
        <v>16</v>
      </c>
      <c r="F116" s="5">
        <f>'Performance Model'!C195</f>
        <v>3243595093.333333</v>
      </c>
      <c r="G116" s="5">
        <f>'Performance Model'!D195</f>
        <v>32</v>
      </c>
      <c r="H116" s="5"/>
      <c r="I116" s="5"/>
      <c r="J116" s="5"/>
      <c r="K116" s="38"/>
      <c r="L116" s="5"/>
      <c r="M116" s="38"/>
      <c r="N116" s="38"/>
      <c r="O116" s="38"/>
    </row>
    <row r="117" spans="1:40" s="18" customFormat="1" ht="15.75" thickBot="1" x14ac:dyDescent="0.3">
      <c r="A117" s="18" t="s">
        <v>61</v>
      </c>
      <c r="C117" s="24"/>
      <c r="D117" s="24"/>
      <c r="E117" s="24"/>
    </row>
    <row r="118" spans="1:40" s="134" customFormat="1" ht="48" customHeight="1" x14ac:dyDescent="0.25">
      <c r="A118" s="145" t="s">
        <v>635</v>
      </c>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c r="AH118" s="109"/>
      <c r="AI118" s="109"/>
      <c r="AJ118" s="109"/>
      <c r="AK118" s="109"/>
      <c r="AL118" s="109"/>
      <c r="AM118" s="201"/>
      <c r="AN118" s="201"/>
    </row>
    <row r="119" spans="1:40" s="18" customFormat="1" ht="17.25" x14ac:dyDescent="0.35">
      <c r="A119" s="17" t="s">
        <v>626</v>
      </c>
      <c r="B119" s="22">
        <f>B123*C123*D123*E123*F123*G123</f>
        <v>0</v>
      </c>
      <c r="C119" s="23"/>
      <c r="D119" s="36"/>
      <c r="E119" s="23"/>
      <c r="F119" s="37"/>
    </row>
    <row r="120" spans="1:40" s="18" customFormat="1" x14ac:dyDescent="0.25">
      <c r="A120" s="18" t="s">
        <v>125</v>
      </c>
      <c r="B120" s="18" t="s">
        <v>615</v>
      </c>
      <c r="C120" s="24"/>
      <c r="D120" s="24"/>
      <c r="E120" s="24"/>
    </row>
    <row r="121" spans="1:40" s="24" customFormat="1" ht="34.5" x14ac:dyDescent="0.35">
      <c r="A121" s="24" t="s">
        <v>9</v>
      </c>
      <c r="B121" s="25" t="s">
        <v>603</v>
      </c>
      <c r="C121" s="25" t="s">
        <v>21</v>
      </c>
      <c r="D121" s="25" t="s">
        <v>390</v>
      </c>
      <c r="E121" s="25" t="s">
        <v>631</v>
      </c>
      <c r="F121" s="25" t="s">
        <v>636</v>
      </c>
      <c r="G121" s="25" t="s">
        <v>617</v>
      </c>
      <c r="H121" s="25"/>
      <c r="I121" s="25"/>
      <c r="J121" s="25"/>
      <c r="K121" s="25"/>
      <c r="L121" s="25"/>
      <c r="M121" s="25"/>
      <c r="N121" s="25"/>
      <c r="O121" s="25"/>
      <c r="P121" s="70"/>
      <c r="Q121" s="70"/>
      <c r="R121" s="70"/>
    </row>
    <row r="122" spans="1:40" s="18" customFormat="1" ht="17.25" customHeight="1" x14ac:dyDescent="0.35">
      <c r="A122" s="18" t="s">
        <v>56</v>
      </c>
      <c r="B122" s="16" t="s">
        <v>2</v>
      </c>
      <c r="C122" s="16" t="s">
        <v>2</v>
      </c>
      <c r="D122" s="16" t="s">
        <v>2</v>
      </c>
      <c r="E122" s="16" t="s">
        <v>2</v>
      </c>
      <c r="F122" s="16" t="s">
        <v>2</v>
      </c>
      <c r="G122" s="16" t="s">
        <v>2</v>
      </c>
      <c r="H122" s="16"/>
      <c r="I122" s="16"/>
      <c r="J122" s="16"/>
      <c r="K122" s="16"/>
      <c r="L122" s="16"/>
      <c r="M122" s="16"/>
      <c r="N122" s="16"/>
      <c r="O122" s="16"/>
      <c r="P122" s="70"/>
    </row>
    <row r="123" spans="1:40" s="133" customFormat="1" ht="17.25" x14ac:dyDescent="0.35">
      <c r="A123" t="s">
        <v>57</v>
      </c>
      <c r="B123" s="44">
        <f>IF(B122=Inputs!$C$1,B124,B125)</f>
        <v>480</v>
      </c>
      <c r="C123" s="17">
        <f>IF(C122=Inputs!$C$1,C124,C125)</f>
        <v>7152557.373046875</v>
      </c>
      <c r="D123" s="44">
        <f>IF(D122=Inputs!$C$1,D124,D125)</f>
        <v>1</v>
      </c>
      <c r="E123" s="44">
        <f>IF(E122=Inputs!$C$1,E124,E125)</f>
        <v>0</v>
      </c>
      <c r="F123" s="17">
        <f>IF(F122=Inputs!$C$1,F124,F125)</f>
        <v>16538840746.666666</v>
      </c>
      <c r="G123" s="44">
        <f>IF(G122=Inputs!$C$1,G124,G125)</f>
        <v>32</v>
      </c>
      <c r="H123" s="44"/>
      <c r="I123" s="17"/>
      <c r="J123" s="17"/>
      <c r="K123" s="44"/>
      <c r="L123" s="17"/>
      <c r="M123" s="44"/>
      <c r="N123" s="44"/>
      <c r="O123" s="44"/>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row>
    <row r="124" spans="1:40" s="18" customFormat="1" ht="17.25" x14ac:dyDescent="0.35">
      <c r="A124" s="18" t="s">
        <v>58</v>
      </c>
      <c r="B124" s="15"/>
      <c r="C124" s="15"/>
      <c r="D124" s="162"/>
      <c r="E124" s="142"/>
      <c r="F124" s="15"/>
      <c r="G124" s="142"/>
      <c r="H124" s="15"/>
      <c r="I124" s="15"/>
      <c r="J124" s="15"/>
      <c r="K124" s="142"/>
      <c r="L124" s="15"/>
      <c r="M124" s="142"/>
      <c r="N124" s="142"/>
      <c r="O124" s="142"/>
    </row>
    <row r="125" spans="1:40" s="18" customFormat="1" ht="17.25" x14ac:dyDescent="0.35">
      <c r="A125" s="18" t="s">
        <v>218</v>
      </c>
      <c r="B125" s="5">
        <f>B105</f>
        <v>480</v>
      </c>
      <c r="C125" s="5">
        <f>C105</f>
        <v>7152557.373046875</v>
      </c>
      <c r="D125" s="164">
        <f>Inputs!G14</f>
        <v>1</v>
      </c>
      <c r="E125" s="5">
        <f>'Performance Model'!E248</f>
        <v>0</v>
      </c>
      <c r="F125" s="5">
        <f>'Performance Model'!F248</f>
        <v>16538840746.666666</v>
      </c>
      <c r="G125" s="5">
        <f>Inputs!D7</f>
        <v>32</v>
      </c>
      <c r="H125" s="5"/>
      <c r="I125" s="5"/>
      <c r="J125" s="5"/>
      <c r="K125" s="38"/>
      <c r="L125" s="5"/>
      <c r="M125" s="38"/>
      <c r="N125" s="38"/>
      <c r="O125" s="38"/>
    </row>
    <row r="126" spans="1:40" s="18" customFormat="1" ht="15.75" thickBot="1" x14ac:dyDescent="0.3">
      <c r="A126" s="18" t="s">
        <v>61</v>
      </c>
      <c r="C126" s="24"/>
      <c r="D126" s="24"/>
      <c r="E126" s="24"/>
    </row>
    <row r="127" spans="1:40" s="134" customFormat="1" ht="48" customHeight="1" x14ac:dyDescent="0.25">
      <c r="A127" s="145" t="s">
        <v>637</v>
      </c>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c r="AH127" s="109"/>
      <c r="AI127" s="109"/>
      <c r="AJ127" s="109"/>
      <c r="AK127" s="109"/>
      <c r="AL127" s="109"/>
      <c r="AM127" s="201"/>
      <c r="AN127" s="201"/>
    </row>
    <row r="128" spans="1:40" s="18" customFormat="1" ht="17.25" x14ac:dyDescent="0.35">
      <c r="A128" s="17" t="s">
        <v>637</v>
      </c>
      <c r="B128" s="22">
        <f>B132*C132*E132*(D132-1)*(F132*G132+H132*I132)</f>
        <v>0</v>
      </c>
      <c r="C128" s="23"/>
      <c r="D128" s="36"/>
      <c r="E128" s="23"/>
      <c r="F128" s="37"/>
    </row>
    <row r="129" spans="1:40" s="18" customFormat="1" x14ac:dyDescent="0.25">
      <c r="A129" s="18" t="s">
        <v>125</v>
      </c>
      <c r="C129" s="24"/>
      <c r="D129" s="24"/>
      <c r="E129" s="24"/>
    </row>
    <row r="130" spans="1:40" s="24" customFormat="1" ht="34.5" x14ac:dyDescent="0.35">
      <c r="A130" s="24" t="s">
        <v>9</v>
      </c>
      <c r="B130" s="25" t="s">
        <v>603</v>
      </c>
      <c r="C130" s="25" t="s">
        <v>21</v>
      </c>
      <c r="D130" s="25" t="s">
        <v>604</v>
      </c>
      <c r="E130" s="25" t="s">
        <v>413</v>
      </c>
      <c r="F130" s="25" t="s">
        <v>619</v>
      </c>
      <c r="G130" s="25" t="s">
        <v>606</v>
      </c>
      <c r="H130" s="25" t="s">
        <v>620</v>
      </c>
      <c r="I130" s="25" t="s">
        <v>617</v>
      </c>
      <c r="J130" s="25"/>
      <c r="K130" s="25"/>
      <c r="L130" s="25"/>
      <c r="M130" s="25"/>
      <c r="N130" s="25"/>
      <c r="O130" s="25"/>
      <c r="P130" s="25"/>
      <c r="Q130" s="25"/>
      <c r="R130" s="25"/>
      <c r="S130" s="70"/>
      <c r="T130" s="70"/>
      <c r="U130" s="70"/>
    </row>
    <row r="131" spans="1:40" s="18" customFormat="1" ht="17.25" customHeight="1" x14ac:dyDescent="0.35">
      <c r="A131" s="18" t="s">
        <v>56</v>
      </c>
      <c r="B131" s="16" t="s">
        <v>2</v>
      </c>
      <c r="C131" s="16" t="s">
        <v>2</v>
      </c>
      <c r="D131" s="16" t="s">
        <v>2</v>
      </c>
      <c r="E131" s="16" t="s">
        <v>2</v>
      </c>
      <c r="F131" s="35" t="s">
        <v>2</v>
      </c>
      <c r="G131" s="16" t="s">
        <v>2</v>
      </c>
      <c r="H131" s="16" t="s">
        <v>2</v>
      </c>
      <c r="I131" s="16" t="s">
        <v>2</v>
      </c>
      <c r="J131" s="16"/>
      <c r="K131" s="16"/>
      <c r="L131" s="16"/>
      <c r="M131" s="16"/>
      <c r="N131" s="16"/>
      <c r="O131" s="16"/>
      <c r="P131" s="16"/>
      <c r="Q131" s="16"/>
      <c r="R131" s="16"/>
      <c r="S131" s="70"/>
    </row>
    <row r="132" spans="1:40" s="133" customFormat="1" ht="17.25" x14ac:dyDescent="0.35">
      <c r="A132" t="s">
        <v>57</v>
      </c>
      <c r="B132" s="44">
        <f>IF(B131=Inputs!$C$1,B133,B134)</f>
        <v>480</v>
      </c>
      <c r="C132" s="17">
        <f>IF(C131=Inputs!$C$1,C133,C134)</f>
        <v>7152557.373046875</v>
      </c>
      <c r="D132" s="44">
        <f>IF(D131=Inputs!$C$1,D133,D134)</f>
        <v>1</v>
      </c>
      <c r="E132" s="44">
        <f>IF(E131=Inputs!$C$1,E133,E134)</f>
        <v>0</v>
      </c>
      <c r="F132" s="44">
        <f>IF(F131=Inputs!$C$1,F133,F134)</f>
        <v>3243595093.333333</v>
      </c>
      <c r="G132" s="17">
        <f>IF(G131=Inputs!$C$1,G133,G134)</f>
        <v>16</v>
      </c>
      <c r="H132" s="44">
        <f>IF(H131=Inputs!$C$1,H133,H134)</f>
        <v>3243595093.333333</v>
      </c>
      <c r="I132" s="44">
        <f>IF(I131=Inputs!$C$1,I133,I134)</f>
        <v>32</v>
      </c>
      <c r="J132" s="17"/>
      <c r="K132" s="44"/>
      <c r="L132" s="17"/>
      <c r="M132" s="17"/>
      <c r="N132" s="44"/>
      <c r="O132" s="17"/>
      <c r="P132" s="44"/>
      <c r="Q132" s="44"/>
      <c r="R132" s="44"/>
      <c r="S132" s="17"/>
      <c r="T132" s="17"/>
      <c r="U132" s="17"/>
      <c r="V132" s="17"/>
      <c r="W132" s="17"/>
      <c r="X132" s="17"/>
      <c r="Y132" s="17"/>
      <c r="Z132" s="17"/>
      <c r="AA132" s="17"/>
      <c r="AB132" s="17"/>
      <c r="AC132" s="17"/>
      <c r="AD132" s="17"/>
      <c r="AE132" s="17"/>
      <c r="AF132" s="17"/>
      <c r="AG132" s="17"/>
      <c r="AH132" s="17"/>
      <c r="AI132" s="17"/>
      <c r="AJ132" s="17"/>
      <c r="AK132" s="17"/>
      <c r="AL132" s="17"/>
      <c r="AM132" s="17"/>
      <c r="AN132" s="17"/>
    </row>
    <row r="133" spans="1:40" s="18" customFormat="1" ht="17.25" x14ac:dyDescent="0.35">
      <c r="A133" s="18" t="s">
        <v>58</v>
      </c>
      <c r="B133" s="15"/>
      <c r="C133" s="15"/>
      <c r="D133" s="15"/>
      <c r="E133" s="142"/>
      <c r="F133" s="142"/>
      <c r="G133" s="15"/>
      <c r="H133" s="166"/>
      <c r="I133" s="15"/>
      <c r="J133" s="142"/>
      <c r="K133" s="15"/>
      <c r="L133" s="15"/>
      <c r="M133" s="15"/>
      <c r="N133" s="142"/>
      <c r="O133" s="15"/>
      <c r="P133" s="142"/>
      <c r="Q133" s="142"/>
      <c r="R133" s="142"/>
    </row>
    <row r="134" spans="1:40" s="18" customFormat="1" ht="17.25" x14ac:dyDescent="0.35">
      <c r="A134" s="18" t="s">
        <v>218</v>
      </c>
      <c r="B134" s="38">
        <f>B60</f>
        <v>480</v>
      </c>
      <c r="C134" s="5">
        <f>C60</f>
        <v>7152557.373046875</v>
      </c>
      <c r="D134" s="38">
        <f>D60</f>
        <v>1</v>
      </c>
      <c r="E134" s="5">
        <f>'Performance Model'!J272</f>
        <v>0</v>
      </c>
      <c r="F134" s="5">
        <f>'Performance Model'!F272</f>
        <v>3243595093.333333</v>
      </c>
      <c r="G134" s="5">
        <f>'Performance Model'!G272</f>
        <v>16</v>
      </c>
      <c r="H134" s="164">
        <f>'Performance Model'!F272</f>
        <v>3243595093.333333</v>
      </c>
      <c r="I134" s="5">
        <f>'Performance Model'!F281</f>
        <v>32</v>
      </c>
      <c r="J134" s="5"/>
      <c r="K134" s="5"/>
      <c r="L134" s="5"/>
      <c r="M134" s="5"/>
      <c r="N134" s="38"/>
      <c r="O134" s="5"/>
      <c r="P134" s="38"/>
      <c r="Q134" s="38"/>
      <c r="R134" s="38"/>
    </row>
    <row r="135" spans="1:40" s="18" customFormat="1" ht="15.75" thickBot="1" x14ac:dyDescent="0.3">
      <c r="A135" s="18" t="s">
        <v>61</v>
      </c>
      <c r="D135" s="24"/>
      <c r="F135" s="24"/>
      <c r="G135" s="24"/>
    </row>
    <row r="136" spans="1:40" s="134" customFormat="1" ht="30.75" customHeight="1" x14ac:dyDescent="0.25">
      <c r="A136" s="109" t="s">
        <v>638</v>
      </c>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c r="AH136" s="109"/>
      <c r="AI136" s="109"/>
      <c r="AJ136" s="109"/>
      <c r="AK136" s="109"/>
      <c r="AL136" s="109"/>
      <c r="AM136" s="201"/>
      <c r="AN136" s="201"/>
    </row>
    <row r="137" spans="1:40" s="18" customFormat="1" ht="17.25" x14ac:dyDescent="0.35">
      <c r="A137" s="17"/>
      <c r="B137" s="22">
        <f>B141*C141*D141</f>
        <v>4.6515819177951392E+16</v>
      </c>
      <c r="C137" s="23"/>
      <c r="D137" s="36"/>
      <c r="E137" s="23"/>
      <c r="F137" s="37"/>
    </row>
    <row r="138" spans="1:40" s="18" customFormat="1" x14ac:dyDescent="0.25">
      <c r="A138" s="18" t="s">
        <v>125</v>
      </c>
      <c r="C138" s="24"/>
      <c r="D138" s="24"/>
      <c r="E138" s="24"/>
    </row>
    <row r="139" spans="1:40" s="24" customFormat="1" ht="51.75" x14ac:dyDescent="0.35">
      <c r="A139" s="24" t="s">
        <v>9</v>
      </c>
      <c r="B139" s="25" t="s">
        <v>88</v>
      </c>
      <c r="C139" s="25" t="s">
        <v>639</v>
      </c>
      <c r="D139" s="25" t="s">
        <v>640</v>
      </c>
      <c r="E139" s="25"/>
      <c r="F139" s="25"/>
      <c r="G139" s="25"/>
      <c r="H139" s="25"/>
      <c r="I139" s="25"/>
      <c r="J139" s="25"/>
      <c r="K139" s="25"/>
      <c r="L139" s="25"/>
      <c r="M139" s="25"/>
      <c r="N139" s="25"/>
      <c r="O139" s="25"/>
      <c r="P139" s="25"/>
      <c r="Q139" s="25"/>
      <c r="R139" s="25"/>
      <c r="S139" s="70"/>
      <c r="T139" s="70"/>
      <c r="U139" s="70"/>
    </row>
    <row r="140" spans="1:40" s="18" customFormat="1" ht="17.25" customHeight="1" x14ac:dyDescent="0.35">
      <c r="A140" s="18" t="s">
        <v>56</v>
      </c>
      <c r="B140" s="16" t="s">
        <v>2</v>
      </c>
      <c r="C140" s="16" t="s">
        <v>2</v>
      </c>
      <c r="D140" s="16" t="s">
        <v>1</v>
      </c>
      <c r="E140" s="16"/>
      <c r="F140" s="16"/>
      <c r="G140" s="16"/>
      <c r="H140" s="16"/>
      <c r="I140" s="16"/>
      <c r="J140" s="16"/>
      <c r="K140" s="16"/>
      <c r="L140" s="16"/>
      <c r="M140" s="16"/>
      <c r="N140" s="16"/>
      <c r="O140" s="16"/>
      <c r="P140" s="16"/>
      <c r="Q140" s="16"/>
      <c r="R140" s="16"/>
      <c r="S140" s="70"/>
    </row>
    <row r="141" spans="1:40" s="133" customFormat="1" ht="17.25" x14ac:dyDescent="0.35">
      <c r="A141" t="s">
        <v>57</v>
      </c>
      <c r="B141" s="44">
        <f>IF(B140=Inputs!$C$1,B142,B143)</f>
        <v>1</v>
      </c>
      <c r="C141" s="17">
        <f>IF(C140=Inputs!$C$1,C142,C143)</f>
        <v>35781399367654.914</v>
      </c>
      <c r="D141" s="44">
        <f>IF(D140=Inputs!$C$1,D142,D143)</f>
        <v>1300</v>
      </c>
      <c r="E141" s="144"/>
      <c r="F141" s="44"/>
      <c r="G141" s="17"/>
      <c r="H141" s="44"/>
      <c r="I141" s="44"/>
      <c r="J141" s="17"/>
      <c r="K141" s="17"/>
      <c r="L141" s="17"/>
      <c r="M141" s="17"/>
      <c r="N141" s="44"/>
      <c r="O141" s="17"/>
      <c r="P141" s="44"/>
      <c r="Q141" s="44"/>
      <c r="R141" s="44"/>
      <c r="S141" s="17"/>
      <c r="T141" s="17"/>
      <c r="U141" s="17"/>
      <c r="V141" s="17"/>
      <c r="W141" s="17"/>
      <c r="X141" s="17"/>
      <c r="Y141" s="17"/>
      <c r="Z141" s="17"/>
      <c r="AA141" s="17"/>
      <c r="AB141" s="17"/>
      <c r="AC141" s="17"/>
      <c r="AD141" s="17"/>
      <c r="AE141" s="17"/>
      <c r="AF141" s="17"/>
      <c r="AG141" s="17"/>
      <c r="AH141" s="17"/>
      <c r="AI141" s="17"/>
      <c r="AJ141" s="17"/>
      <c r="AK141" s="17"/>
      <c r="AL141" s="17"/>
      <c r="AM141" s="17"/>
      <c r="AN141" s="17"/>
    </row>
    <row r="142" spans="1:40" s="18" customFormat="1" ht="17.25" x14ac:dyDescent="0.35">
      <c r="A142" s="18" t="s">
        <v>58</v>
      </c>
      <c r="B142" s="142"/>
      <c r="C142" s="15"/>
      <c r="D142" s="142">
        <v>1300</v>
      </c>
      <c r="E142" s="162"/>
      <c r="F142" s="142"/>
      <c r="G142" s="15"/>
      <c r="H142" s="142"/>
      <c r="I142" s="142"/>
      <c r="J142" s="15"/>
      <c r="K142" s="15"/>
      <c r="L142" s="15"/>
      <c r="M142" s="15"/>
      <c r="N142" s="142"/>
      <c r="O142" s="15"/>
      <c r="P142" s="142"/>
      <c r="Q142" s="142"/>
      <c r="R142" s="142"/>
    </row>
    <row r="143" spans="1:40" s="18" customFormat="1" ht="17.25" x14ac:dyDescent="0.35">
      <c r="A143" s="18" t="s">
        <v>218</v>
      </c>
      <c r="B143" s="38">
        <f>Inputs!M14/Inputs!F14</f>
        <v>1</v>
      </c>
      <c r="C143" s="5">
        <f>'Performance Model'!B4</f>
        <v>35781399367654.914</v>
      </c>
      <c r="D143" s="38"/>
      <c r="E143" s="164"/>
      <c r="F143" s="38"/>
      <c r="G143" s="5"/>
      <c r="H143" s="38"/>
      <c r="I143" s="38"/>
      <c r="J143" s="5"/>
      <c r="K143" s="5"/>
      <c r="L143" s="5"/>
      <c r="M143" s="5"/>
      <c r="N143" s="38"/>
      <c r="O143" s="5"/>
      <c r="P143" s="38"/>
      <c r="Q143" s="38"/>
      <c r="R143" s="38"/>
    </row>
    <row r="144" spans="1:40" s="18" customFormat="1" x14ac:dyDescent="0.25">
      <c r="A144" s="18" t="s">
        <v>61</v>
      </c>
      <c r="D144" s="18" t="s">
        <v>641</v>
      </c>
      <c r="E144" s="24"/>
      <c r="F144" s="24"/>
      <c r="H144" s="24"/>
    </row>
  </sheetData>
  <mergeCells count="15">
    <mergeCell ref="AM8:AN8"/>
    <mergeCell ref="AM27:AN27"/>
    <mergeCell ref="AM18:AN18"/>
    <mergeCell ref="AM37:AN37"/>
    <mergeCell ref="AM46:AN46"/>
    <mergeCell ref="AM91:AN91"/>
    <mergeCell ref="AM136:AN136"/>
    <mergeCell ref="AM73:AN73"/>
    <mergeCell ref="AM55:AN55"/>
    <mergeCell ref="AM64:AN64"/>
    <mergeCell ref="AM100:AN100"/>
    <mergeCell ref="AM109:AN109"/>
    <mergeCell ref="AM118:AN118"/>
    <mergeCell ref="AM82:AN82"/>
    <mergeCell ref="AM127:AN127"/>
  </mergeCells>
  <conditionalFormatting sqref="A58:A59">
    <cfRule type="containsText" dxfId="23" priority="90" operator="containsText" text="calculated">
      <formula>NOT(ISERROR(SEARCH("calculated",A58)))</formula>
    </cfRule>
  </conditionalFormatting>
  <conditionalFormatting sqref="A67:A68">
    <cfRule type="containsText" dxfId="22" priority="81" operator="containsText" text="calculated">
      <formula>NOT(ISERROR(SEARCH("calculated",A67)))</formula>
    </cfRule>
  </conditionalFormatting>
  <conditionalFormatting sqref="A103:A104">
    <cfRule type="containsText" dxfId="21" priority="62" operator="containsText" text="calculated">
      <formula>NOT(ISERROR(SEARCH("calculated",A103)))</formula>
    </cfRule>
  </conditionalFormatting>
  <conditionalFormatting sqref="A112:A113">
    <cfRule type="containsText" dxfId="20" priority="54" operator="containsText" text="calculated">
      <formula>NOT(ISERROR(SEARCH("calculated",A112)))</formula>
    </cfRule>
  </conditionalFormatting>
  <conditionalFormatting sqref="A3:XFD140">
    <cfRule type="containsText" dxfId="19" priority="1" operator="containsText" text="calculated">
      <formula>NOT(ISERROR(SEARCH("calculated",A3)))</formula>
    </cfRule>
  </conditionalFormatting>
  <conditionalFormatting sqref="B67:I113">
    <cfRule type="containsText" dxfId="18" priority="27" operator="containsText" text="calculated">
      <formula>NOT(ISERROR(SEARCH("calculated",B67)))</formula>
    </cfRule>
  </conditionalFormatting>
  <conditionalFormatting sqref="B58:L104">
    <cfRule type="containsText" dxfId="17" priority="29" operator="containsText" text="calculated">
      <formula>NOT(ISERROR(SEARCH("calculated",B58)))</formula>
    </cfRule>
  </conditionalFormatting>
  <conditionalFormatting sqref="J67:XFD68">
    <cfRule type="containsText" dxfId="16" priority="74" operator="containsText" text="calculated">
      <formula>NOT(ISERROR(SEARCH("calculated",J67)))</formula>
    </cfRule>
  </conditionalFormatting>
  <conditionalFormatting sqref="J112:XFD113">
    <cfRule type="containsText" dxfId="15" priority="47" operator="containsText" text="calculated">
      <formula>NOT(ISERROR(SEARCH("calculated",J112)))</formula>
    </cfRule>
  </conditionalFormatting>
  <conditionalFormatting sqref="M58:XFD59">
    <cfRule type="containsText" dxfId="14" priority="83" operator="containsText" text="calculated">
      <formula>NOT(ISERROR(SEARCH("calculated",M58)))</formula>
    </cfRule>
  </conditionalFormatting>
  <conditionalFormatting sqref="M103:XFD104">
    <cfRule type="containsText" dxfId="13" priority="55" operator="containsText" text="calculated">
      <formula>NOT(ISERROR(SEARCH("calculated",M103)))</formula>
    </cfRule>
  </conditionalFormatting>
  <pageMargins left="0.7" right="0.7" top="0.75" bottom="0.75" header="0.3" footer="0.3"/>
  <pageSetup paperSize="9" orientation="portrait" r:id="rId1"/>
  <headerFooter>
    <oddFooter>&amp;R&amp;1#&amp;"Calibri"&amp;8&amp;K000000strictly confidential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B0E7846-0A5F-45D4-ADD4-BA2F9A1BBD95}">
          <x14:formula1>
            <xm:f>Inputs!$C$1:$D$1</xm:f>
          </x14:formula1>
          <xm:sqref>B95:Q95 B41:R41 B22:R22 B140:R140 B50:P50 B12:F12 B77:R77 B59:R59 B68:O68 B104:R104 B113:O113 B122:O122 B3:AE3 B131:R131 B86:R86 B31:S31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7E28-117F-4BC8-804B-F3ACB8A2FA7F}">
  <sheetPr codeName="Sheet14"/>
  <dimension ref="A4:P17"/>
  <sheetViews>
    <sheetView workbookViewId="0"/>
  </sheetViews>
  <sheetFormatPr defaultRowHeight="15" x14ac:dyDescent="0.25"/>
  <cols>
    <col min="1" max="1" width="28.42578125" customWidth="1"/>
    <col min="2" max="2" width="23.5703125" customWidth="1"/>
    <col min="3" max="3" width="26.5703125" customWidth="1"/>
    <col min="4" max="4" width="41.140625" customWidth="1"/>
    <col min="5" max="5" width="46.85546875" customWidth="1"/>
    <col min="6" max="6" width="44.140625" customWidth="1"/>
    <col min="7" max="7" width="49" customWidth="1"/>
    <col min="8" max="8" width="23" customWidth="1"/>
    <col min="9" max="9" width="28" bestFit="1" customWidth="1"/>
    <col min="10" max="10" width="11.28515625" customWidth="1"/>
    <col min="11" max="11" width="15" customWidth="1"/>
    <col min="12" max="12" width="11" bestFit="1" customWidth="1"/>
    <col min="13" max="13" width="22.42578125" customWidth="1"/>
    <col min="14" max="14" width="23.5703125" customWidth="1"/>
  </cols>
  <sheetData>
    <row r="4" spans="1:16" x14ac:dyDescent="0.25">
      <c r="A4" s="118" t="s">
        <v>642</v>
      </c>
      <c r="B4" s="119" t="s">
        <v>96</v>
      </c>
      <c r="C4" s="119" t="s">
        <v>97</v>
      </c>
      <c r="D4" s="119" t="s">
        <v>98</v>
      </c>
      <c r="E4" s="119" t="s">
        <v>99</v>
      </c>
      <c r="F4" s="119" t="s">
        <v>103</v>
      </c>
      <c r="G4" s="119" t="s">
        <v>104</v>
      </c>
      <c r="H4" s="119" t="s">
        <v>643</v>
      </c>
      <c r="I4" s="119" t="s">
        <v>644</v>
      </c>
      <c r="J4" s="119" t="s">
        <v>645</v>
      </c>
      <c r="K4" s="119" t="s">
        <v>646</v>
      </c>
      <c r="L4" s="119" t="s">
        <v>647</v>
      </c>
      <c r="M4" s="119" t="s">
        <v>575</v>
      </c>
      <c r="N4" s="119" t="s">
        <v>648</v>
      </c>
      <c r="O4" s="119" t="s">
        <v>649</v>
      </c>
      <c r="P4" s="119" t="s">
        <v>650</v>
      </c>
    </row>
    <row r="5" spans="1:16" ht="17.25" x14ac:dyDescent="0.35">
      <c r="A5" t="s">
        <v>95</v>
      </c>
      <c r="B5" s="16">
        <v>1245000000</v>
      </c>
      <c r="C5" s="3">
        <v>80</v>
      </c>
      <c r="D5" s="3">
        <v>8</v>
      </c>
      <c r="E5" s="3">
        <v>128</v>
      </c>
      <c r="F5" s="3">
        <f>48*4</f>
        <v>192</v>
      </c>
      <c r="G5" s="3">
        <v>4</v>
      </c>
      <c r="H5" s="16">
        <v>1E-8</v>
      </c>
      <c r="I5" s="16">
        <f>150*8*1000000000</f>
        <v>1200000000000</v>
      </c>
      <c r="J5" s="35">
        <v>300</v>
      </c>
      <c r="K5" s="35">
        <v>815</v>
      </c>
      <c r="L5" s="35" t="s">
        <v>651</v>
      </c>
      <c r="M5" s="35">
        <v>0.8</v>
      </c>
      <c r="N5" s="16">
        <v>32000000000</v>
      </c>
      <c r="O5" s="18"/>
      <c r="P5" s="18"/>
    </row>
    <row r="6" spans="1:16" ht="17.25" x14ac:dyDescent="0.35">
      <c r="A6" t="s">
        <v>652</v>
      </c>
      <c r="B6" s="16">
        <v>1410000000</v>
      </c>
      <c r="C6" s="35">
        <v>108</v>
      </c>
      <c r="D6" s="35">
        <v>4</v>
      </c>
      <c r="E6" s="35">
        <v>512</v>
      </c>
      <c r="F6" s="35">
        <f>48*Accelerator[[#This Row],[number of functional units per core '[N_FU']]]</f>
        <v>192</v>
      </c>
      <c r="G6" s="35">
        <v>4</v>
      </c>
      <c r="H6" s="16">
        <v>1E-8</v>
      </c>
      <c r="I6" s="16">
        <v>2400000000000</v>
      </c>
      <c r="J6" s="35">
        <v>400</v>
      </c>
      <c r="K6" s="35">
        <v>826</v>
      </c>
      <c r="L6" s="35" t="s">
        <v>653</v>
      </c>
      <c r="M6" s="35">
        <v>0.7</v>
      </c>
      <c r="N6" s="16">
        <v>80000000000</v>
      </c>
      <c r="O6" s="18"/>
      <c r="P6" s="18"/>
    </row>
    <row r="7" spans="1:16" ht="17.25" x14ac:dyDescent="0.35">
      <c r="A7" t="s">
        <v>654</v>
      </c>
      <c r="B7" s="16">
        <v>1800000000</v>
      </c>
      <c r="C7" s="3">
        <v>132</v>
      </c>
      <c r="D7" s="3">
        <v>4</v>
      </c>
      <c r="E7" s="3">
        <v>1024</v>
      </c>
      <c r="F7" s="3">
        <f>16*5*Accelerator[[#This Row],[number of functional units per core '[N_FU']]]</f>
        <v>320</v>
      </c>
      <c r="G7" s="3">
        <v>4</v>
      </c>
      <c r="H7" s="16">
        <v>1E-8</v>
      </c>
      <c r="I7" s="16">
        <v>3600000000000</v>
      </c>
      <c r="J7" s="35">
        <v>700</v>
      </c>
      <c r="K7" s="35">
        <v>814</v>
      </c>
      <c r="L7" s="35" t="s">
        <v>655</v>
      </c>
      <c r="M7" s="35">
        <v>0.7</v>
      </c>
      <c r="N7" s="16">
        <v>80000000000</v>
      </c>
    </row>
    <row r="8" spans="1:16" ht="17.25" x14ac:dyDescent="0.35">
      <c r="A8" t="s">
        <v>656</v>
      </c>
      <c r="B8" s="16">
        <v>1350000000</v>
      </c>
      <c r="C8" s="3">
        <v>114</v>
      </c>
      <c r="D8" s="3">
        <v>4</v>
      </c>
      <c r="E8" s="3">
        <v>1024</v>
      </c>
      <c r="F8" s="3">
        <f>16*5*Accelerator[[#This Row],[number of functional units per core '[N_FU']]]</f>
        <v>320</v>
      </c>
      <c r="G8" s="3">
        <v>4</v>
      </c>
      <c r="H8" s="16">
        <v>1E-8</v>
      </c>
      <c r="I8" s="16">
        <v>3600000000000</v>
      </c>
      <c r="J8" s="35">
        <v>350</v>
      </c>
      <c r="K8" s="35">
        <v>814</v>
      </c>
      <c r="L8" s="35" t="s">
        <v>655</v>
      </c>
      <c r="M8" s="35">
        <v>0.7</v>
      </c>
      <c r="N8" s="16">
        <v>80000000000</v>
      </c>
    </row>
    <row r="9" spans="1:16" ht="17.25" x14ac:dyDescent="0.35">
      <c r="A9" t="s">
        <v>657</v>
      </c>
      <c r="B9" s="16">
        <v>24000000000</v>
      </c>
      <c r="C9" s="3">
        <v>64</v>
      </c>
      <c r="D9" s="3">
        <v>4</v>
      </c>
      <c r="E9" s="3">
        <v>512</v>
      </c>
      <c r="F9" s="3">
        <v>192</v>
      </c>
      <c r="G9" s="3">
        <v>4</v>
      </c>
      <c r="H9" s="16">
        <v>3.3000000000000002E-11</v>
      </c>
      <c r="I9" s="16">
        <v>240000000000000</v>
      </c>
      <c r="J9" s="35" t="s">
        <v>658</v>
      </c>
      <c r="K9" s="35"/>
      <c r="L9" s="35"/>
      <c r="M9" s="35"/>
      <c r="N9" s="16"/>
    </row>
    <row r="10" spans="1:16" ht="17.25" x14ac:dyDescent="0.35">
      <c r="A10" t="s">
        <v>1006</v>
      </c>
      <c r="B10" s="16">
        <v>1220000000</v>
      </c>
      <c r="C10" s="3">
        <v>60</v>
      </c>
      <c r="D10" s="3">
        <v>64</v>
      </c>
      <c r="E10" s="3">
        <v>4</v>
      </c>
      <c r="F10" s="3">
        <v>64</v>
      </c>
      <c r="G10" s="3">
        <v>4</v>
      </c>
      <c r="H10" s="16">
        <v>1E-8</v>
      </c>
      <c r="I10" s="16">
        <v>64000000000</v>
      </c>
      <c r="J10" s="16">
        <v>250</v>
      </c>
      <c r="K10" s="35">
        <v>610</v>
      </c>
      <c r="L10" s="35" t="s">
        <v>1007</v>
      </c>
      <c r="M10" s="35">
        <v>0.9</v>
      </c>
      <c r="N10" s="16">
        <v>16000000000</v>
      </c>
    </row>
    <row r="11" spans="1:16" ht="17.25" x14ac:dyDescent="0.35">
      <c r="A11" t="s">
        <v>1008</v>
      </c>
      <c r="B11" s="16">
        <v>1380000000</v>
      </c>
      <c r="C11" s="3">
        <v>60</v>
      </c>
      <c r="D11" s="3">
        <v>64</v>
      </c>
      <c r="E11" s="3">
        <v>4</v>
      </c>
      <c r="F11" s="3">
        <v>64</v>
      </c>
      <c r="G11" s="3">
        <v>4</v>
      </c>
      <c r="H11" s="16">
        <v>1E-8</v>
      </c>
      <c r="I11" s="16">
        <v>800000000000</v>
      </c>
      <c r="J11" s="16">
        <v>300</v>
      </c>
      <c r="K11" s="35">
        <v>610</v>
      </c>
      <c r="L11" s="35" t="s">
        <v>1007</v>
      </c>
      <c r="M11" s="35">
        <v>0.9</v>
      </c>
      <c r="N11" s="16">
        <v>16000000000</v>
      </c>
    </row>
    <row r="12" spans="1:16" x14ac:dyDescent="0.25">
      <c r="B12" s="18"/>
      <c r="C12" s="18"/>
    </row>
    <row r="13" spans="1:16" x14ac:dyDescent="0.25">
      <c r="B13" s="18"/>
    </row>
    <row r="15" spans="1:16" x14ac:dyDescent="0.25">
      <c r="B15" s="18"/>
      <c r="C15" s="18"/>
      <c r="D15" s="18"/>
    </row>
    <row r="16" spans="1:16" x14ac:dyDescent="0.25">
      <c r="B16" s="18"/>
    </row>
    <row r="17" spans="4:4" x14ac:dyDescent="0.25">
      <c r="D17" s="18"/>
    </row>
  </sheetData>
  <pageMargins left="0.7" right="0.7" top="0.75" bottom="0.75" header="0.3" footer="0.3"/>
  <pageSetup orientation="portrait" r:id="rId1"/>
  <headerFooter>
    <oddFooter>&amp;R&amp;1#&amp;"Calibri"&amp;8&amp;K000000strictly confidential</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75279-9B07-4FF5-915F-2DF4CD5D2431}">
  <sheetPr codeName="Sheet15"/>
  <dimension ref="A1:A14"/>
  <sheetViews>
    <sheetView workbookViewId="0"/>
  </sheetViews>
  <sheetFormatPr defaultRowHeight="15" x14ac:dyDescent="0.25"/>
  <cols>
    <col min="1" max="1" width="47" customWidth="1"/>
  </cols>
  <sheetData>
    <row r="1" spans="1:1" x14ac:dyDescent="0.25">
      <c r="A1" s="137" t="s">
        <v>710</v>
      </c>
    </row>
    <row r="2" spans="1:1" x14ac:dyDescent="0.25">
      <c r="A2" s="135" t="s">
        <v>711</v>
      </c>
    </row>
    <row r="3" spans="1:1" x14ac:dyDescent="0.25">
      <c r="A3" t="s">
        <v>712</v>
      </c>
    </row>
    <row r="4" spans="1:1" x14ac:dyDescent="0.25">
      <c r="A4" t="s">
        <v>713</v>
      </c>
    </row>
    <row r="5" spans="1:1" x14ac:dyDescent="0.25">
      <c r="A5" t="s">
        <v>714</v>
      </c>
    </row>
    <row r="6" spans="1:1" x14ac:dyDescent="0.25">
      <c r="A6" t="s">
        <v>715</v>
      </c>
    </row>
    <row r="8" spans="1:1" x14ac:dyDescent="0.25">
      <c r="A8" s="136" t="s">
        <v>716</v>
      </c>
    </row>
    <row r="9" spans="1:1" x14ac:dyDescent="0.25">
      <c r="A9" t="s">
        <v>717</v>
      </c>
    </row>
    <row r="10" spans="1:1" x14ac:dyDescent="0.25">
      <c r="A10" t="s">
        <v>718</v>
      </c>
    </row>
    <row r="11" spans="1:1" x14ac:dyDescent="0.25">
      <c r="A11" t="s">
        <v>719</v>
      </c>
    </row>
    <row r="12" spans="1:1" x14ac:dyDescent="0.25">
      <c r="A12" t="s">
        <v>720</v>
      </c>
    </row>
    <row r="13" spans="1:1" x14ac:dyDescent="0.25">
      <c r="A13" t="s">
        <v>721</v>
      </c>
    </row>
    <row r="14" spans="1:1" x14ac:dyDescent="0.25">
      <c r="A14" s="12" t="s">
        <v>722</v>
      </c>
    </row>
  </sheetData>
  <pageMargins left="0.7" right="0.7" top="0.75" bottom="0.75" header="0.3" footer="0.3"/>
  <pageSetup paperSize="9" orientation="portrait" r:id="rId1"/>
  <headerFooter>
    <oddFooter>&amp;R&amp;1#&amp;"Calibri"&amp;8&amp;K000000strictly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7C8BA-A0E4-4FBB-B0F8-4660414C3E65}">
  <sheetPr codeName="Sheet16"/>
  <dimension ref="A1:P196"/>
  <sheetViews>
    <sheetView workbookViewId="0"/>
  </sheetViews>
  <sheetFormatPr defaultColWidth="8.7109375" defaultRowHeight="15" x14ac:dyDescent="0.25"/>
  <cols>
    <col min="1" max="1" width="48.85546875" style="18" customWidth="1"/>
    <col min="2" max="2" width="47.85546875" style="18" customWidth="1"/>
    <col min="3" max="3" width="42.140625" style="18" customWidth="1"/>
    <col min="4" max="4" width="42.28515625" style="18" customWidth="1"/>
    <col min="5" max="5" width="22.42578125" style="18" bestFit="1" customWidth="1"/>
    <col min="6" max="6" width="33.5703125" style="18" customWidth="1"/>
    <col min="7" max="7" width="32.7109375" style="18" customWidth="1"/>
    <col min="8" max="8" width="19.7109375" style="18" customWidth="1"/>
    <col min="9" max="9" width="18.42578125" style="18" customWidth="1"/>
    <col min="10" max="10" width="18" style="18" bestFit="1" customWidth="1"/>
    <col min="11" max="11" width="24.140625" style="18" customWidth="1"/>
    <col min="12" max="12" width="26.42578125" style="18" bestFit="1" customWidth="1"/>
    <col min="13" max="13" width="30.5703125" style="18" customWidth="1"/>
    <col min="14" max="14" width="20.85546875" style="18" customWidth="1"/>
    <col min="15" max="15" width="12.85546875" style="18" customWidth="1"/>
    <col min="16" max="16" width="20.5703125" style="18" customWidth="1"/>
    <col min="17" max="16384" width="8.7109375" style="18"/>
  </cols>
  <sheetData>
    <row r="1" spans="1:16" ht="16.5" thickBot="1" x14ac:dyDescent="0.3">
      <c r="A1" s="45" t="s">
        <v>746</v>
      </c>
    </row>
    <row r="2" spans="1:16" s="20" customFormat="1" ht="15.75" thickBot="1" x14ac:dyDescent="0.3">
      <c r="I2" s="41" t="s">
        <v>1</v>
      </c>
      <c r="J2" s="41" t="s">
        <v>2</v>
      </c>
    </row>
    <row r="3" spans="1:16" s="21" customFormat="1" ht="46.5" customHeight="1" x14ac:dyDescent="0.25">
      <c r="A3" s="21" t="s">
        <v>212</v>
      </c>
    </row>
    <row r="4" spans="1:16" ht="20.100000000000001" customHeight="1" x14ac:dyDescent="0.35">
      <c r="A4" s="17" t="s">
        <v>213</v>
      </c>
      <c r="B4" s="22">
        <f>MAX(B8,C8)+D8</f>
        <v>2629111.3783972235</v>
      </c>
      <c r="C4" s="23" t="s">
        <v>747</v>
      </c>
      <c r="D4" s="36">
        <f>B4/60/60/24</f>
        <v>30.429529842560456</v>
      </c>
      <c r="E4" s="23" t="s">
        <v>748</v>
      </c>
      <c r="F4" s="37">
        <f>D4/365</f>
        <v>8.3368574911124538E-2</v>
      </c>
    </row>
    <row r="5" spans="1:16" x14ac:dyDescent="0.25">
      <c r="A5" s="18" t="s">
        <v>125</v>
      </c>
      <c r="B5" s="18" t="s">
        <v>214</v>
      </c>
    </row>
    <row r="6" spans="1:16" s="24" customFormat="1" ht="61.5" customHeight="1" x14ac:dyDescent="0.25">
      <c r="A6" s="24" t="s">
        <v>9</v>
      </c>
      <c r="B6" s="25" t="s">
        <v>215</v>
      </c>
      <c r="C6" s="25" t="s">
        <v>216</v>
      </c>
      <c r="D6" s="25" t="s">
        <v>217</v>
      </c>
      <c r="F6" s="42" t="s">
        <v>749</v>
      </c>
      <c r="G6" s="42" t="s">
        <v>750</v>
      </c>
      <c r="H6" s="42" t="s">
        <v>751</v>
      </c>
      <c r="I6" s="18"/>
      <c r="J6" s="18"/>
      <c r="K6" s="18"/>
      <c r="L6" s="18"/>
      <c r="M6" s="18"/>
      <c r="N6" s="18"/>
      <c r="O6" s="18"/>
      <c r="P6" s="18"/>
    </row>
    <row r="7" spans="1:16" ht="21.75" customHeight="1" thickBot="1" x14ac:dyDescent="0.4">
      <c r="A7" s="18" t="s">
        <v>752</v>
      </c>
      <c r="B7" s="16" t="s">
        <v>2</v>
      </c>
      <c r="C7" s="16" t="s">
        <v>1</v>
      </c>
      <c r="D7" s="16" t="s">
        <v>2</v>
      </c>
      <c r="F7" s="38">
        <f>G7*H7</f>
        <v>1024</v>
      </c>
      <c r="G7" s="35">
        <v>32</v>
      </c>
      <c r="H7" s="35">
        <v>32</v>
      </c>
    </row>
    <row r="8" spans="1:16" ht="21" customHeight="1" thickBot="1" x14ac:dyDescent="0.4">
      <c r="A8" s="18" t="s">
        <v>57</v>
      </c>
      <c r="B8" s="184">
        <f>IF(B7=$I$2,B9,B10)</f>
        <v>2590747.0926829376</v>
      </c>
      <c r="C8" s="184">
        <f>IF(C7=$I$2,C9,C10)</f>
        <v>0</v>
      </c>
      <c r="D8" s="184">
        <f>IF(D7=$I$2,D9,D10)</f>
        <v>38364.285714285717</v>
      </c>
    </row>
    <row r="9" spans="1:16" ht="17.25" x14ac:dyDescent="0.35">
      <c r="A9" s="18" t="s">
        <v>58</v>
      </c>
      <c r="B9" s="15">
        <v>1</v>
      </c>
      <c r="C9" s="15">
        <v>0</v>
      </c>
      <c r="D9" s="15">
        <v>0</v>
      </c>
    </row>
    <row r="10" spans="1:16" ht="17.25" x14ac:dyDescent="0.35">
      <c r="A10" s="18" t="s">
        <v>218</v>
      </c>
      <c r="B10" s="5">
        <f>B14</f>
        <v>2590747.0926829376</v>
      </c>
      <c r="C10" s="5" t="s">
        <v>219</v>
      </c>
      <c r="D10" s="5">
        <f>B141</f>
        <v>38364.285714285717</v>
      </c>
    </row>
    <row r="11" spans="1:16" x14ac:dyDescent="0.25">
      <c r="A11" s="18" t="s">
        <v>753</v>
      </c>
    </row>
    <row r="13" spans="1:16" s="26" customFormat="1" ht="66" customHeight="1" x14ac:dyDescent="0.25">
      <c r="A13" s="26" t="s">
        <v>222</v>
      </c>
    </row>
    <row r="14" spans="1:16" ht="17.25" x14ac:dyDescent="0.35">
      <c r="A14" s="27" t="s">
        <v>223</v>
      </c>
      <c r="B14" s="17">
        <f>B18*(C18*(D18+E18+F18+G18+H18)*(I18/J18)+K18)</f>
        <v>2590747.0926829376</v>
      </c>
      <c r="M14" s="18" t="s">
        <v>754</v>
      </c>
      <c r="N14" s="18">
        <f>B18*D18*I18/J18*C18</f>
        <v>581.56619962507375</v>
      </c>
    </row>
    <row r="15" spans="1:16" x14ac:dyDescent="0.25">
      <c r="A15" s="18" t="s">
        <v>125</v>
      </c>
      <c r="B15" s="18" t="s">
        <v>224</v>
      </c>
      <c r="M15" s="18" t="s">
        <v>755</v>
      </c>
      <c r="N15" s="18">
        <f>B18*E18*I18/J18*C18</f>
        <v>1294501.2</v>
      </c>
    </row>
    <row r="16" spans="1:16" s="19" customFormat="1" ht="51.75" x14ac:dyDescent="0.25">
      <c r="A16" s="24" t="s">
        <v>9</v>
      </c>
      <c r="B16" s="28" t="s">
        <v>756</v>
      </c>
      <c r="C16" s="28" t="s">
        <v>225</v>
      </c>
      <c r="D16" s="28" t="s">
        <v>226</v>
      </c>
      <c r="E16" s="28" t="s">
        <v>227</v>
      </c>
      <c r="F16" s="28" t="s">
        <v>228</v>
      </c>
      <c r="G16" s="29" t="s">
        <v>229</v>
      </c>
      <c r="H16" s="29" t="s">
        <v>230</v>
      </c>
      <c r="I16" s="29" t="s">
        <v>757</v>
      </c>
      <c r="J16" s="29" t="s">
        <v>758</v>
      </c>
      <c r="K16" s="29" t="s">
        <v>759</v>
      </c>
      <c r="M16" s="19" t="s">
        <v>760</v>
      </c>
      <c r="N16" s="19">
        <f>B18*F18*I18/J18*C18</f>
        <v>581.56619962507375</v>
      </c>
    </row>
    <row r="17" spans="1:14" ht="18" thickBot="1" x14ac:dyDescent="0.4">
      <c r="A17" s="18" t="s">
        <v>752</v>
      </c>
      <c r="B17" s="16" t="s">
        <v>1</v>
      </c>
      <c r="C17" s="16" t="s">
        <v>1</v>
      </c>
      <c r="D17" s="16" t="s">
        <v>2</v>
      </c>
      <c r="E17" s="16" t="s">
        <v>2</v>
      </c>
      <c r="F17" s="16" t="s">
        <v>2</v>
      </c>
      <c r="G17" s="16" t="s">
        <v>2</v>
      </c>
      <c r="H17" s="16" t="s">
        <v>2</v>
      </c>
      <c r="I17" s="16" t="s">
        <v>1</v>
      </c>
      <c r="J17" s="16" t="s">
        <v>2</v>
      </c>
      <c r="K17" s="16" t="s">
        <v>1</v>
      </c>
      <c r="M17" s="18" t="s">
        <v>761</v>
      </c>
      <c r="N17" s="18">
        <f>B18*C18*I18/J18*G18</f>
        <v>1294501.2</v>
      </c>
    </row>
    <row r="18" spans="1:14" ht="18" thickBot="1" x14ac:dyDescent="0.4">
      <c r="A18" s="18" t="s">
        <v>57</v>
      </c>
      <c r="B18" s="185">
        <f t="shared" ref="B18:K18" si="0">IF(B17=$I$2,B19,B20)</f>
        <v>1</v>
      </c>
      <c r="C18" s="185">
        <f t="shared" si="0"/>
        <v>96</v>
      </c>
      <c r="D18" s="184">
        <f t="shared" si="0"/>
        <v>4.7281804847566973E-10</v>
      </c>
      <c r="E18" s="184">
        <f t="shared" si="0"/>
        <v>1.0524399999999999E-6</v>
      </c>
      <c r="F18" s="184">
        <f t="shared" si="0"/>
        <v>4.7281804847566973E-10</v>
      </c>
      <c r="G18" s="184">
        <f t="shared" si="0"/>
        <v>1.0524399999999999E-6</v>
      </c>
      <c r="H18" s="184">
        <f t="shared" si="0"/>
        <v>4.7281323877068554E-10</v>
      </c>
      <c r="I18" s="184">
        <f t="shared" si="0"/>
        <v>410000000000</v>
      </c>
      <c r="J18" s="185">
        <f t="shared" si="0"/>
        <v>32</v>
      </c>
      <c r="K18" s="184">
        <f t="shared" si="0"/>
        <v>0</v>
      </c>
      <c r="M18" s="18" t="s">
        <v>762</v>
      </c>
      <c r="N18" s="18">
        <f>B18*H18*I18/J18*C18</f>
        <v>581.56028368794318</v>
      </c>
    </row>
    <row r="19" spans="1:14" ht="17.25" x14ac:dyDescent="0.35">
      <c r="A19" s="18" t="s">
        <v>58</v>
      </c>
      <c r="B19" s="35">
        <v>1</v>
      </c>
      <c r="C19" s="35">
        <v>96</v>
      </c>
      <c r="D19" s="16"/>
      <c r="E19" s="16"/>
      <c r="F19" s="16"/>
      <c r="G19" s="16"/>
      <c r="H19" s="16"/>
      <c r="I19" s="16">
        <v>410000000000</v>
      </c>
      <c r="J19" s="35"/>
      <c r="K19" s="16">
        <v>0</v>
      </c>
      <c r="M19" s="18" t="s">
        <v>763</v>
      </c>
      <c r="N19" s="18">
        <f>B141</f>
        <v>38364.285714285717</v>
      </c>
    </row>
    <row r="20" spans="1:14" ht="17.25" x14ac:dyDescent="0.35">
      <c r="A20" s="18" t="s">
        <v>59</v>
      </c>
      <c r="B20" s="5"/>
      <c r="C20" s="5"/>
      <c r="D20" s="5">
        <f>B26</f>
        <v>4.7281804847566973E-10</v>
      </c>
      <c r="E20" s="5">
        <f>B70</f>
        <v>1.0524399999999999E-6</v>
      </c>
      <c r="F20" s="5">
        <f>B83</f>
        <v>4.7281804847566973E-10</v>
      </c>
      <c r="G20" s="5">
        <f>B95</f>
        <v>1.0524399999999999E-6</v>
      </c>
      <c r="H20" s="5">
        <f>B105</f>
        <v>4.7281323877068554E-10</v>
      </c>
      <c r="I20" s="5"/>
      <c r="J20" s="34">
        <f>B117</f>
        <v>32</v>
      </c>
      <c r="K20" s="5" t="str">
        <f>B129</f>
        <v>INSERT EXCEL FORMULA</v>
      </c>
      <c r="M20" s="18" t="s">
        <v>764</v>
      </c>
      <c r="N20" s="18">
        <f>B18*K18</f>
        <v>0</v>
      </c>
    </row>
    <row r="21" spans="1:14" x14ac:dyDescent="0.25">
      <c r="A21" s="18" t="s">
        <v>753</v>
      </c>
      <c r="M21" s="18" t="s">
        <v>765</v>
      </c>
      <c r="N21" s="18">
        <f>SUM(N14:N20)</f>
        <v>2629111.378397224</v>
      </c>
    </row>
    <row r="23" spans="1:14" x14ac:dyDescent="0.25">
      <c r="B23" s="30"/>
      <c r="C23" s="18" t="s">
        <v>766</v>
      </c>
      <c r="D23" s="18" t="s">
        <v>767</v>
      </c>
      <c r="E23" s="18" t="s">
        <v>768</v>
      </c>
    </row>
    <row r="24" spans="1:14" x14ac:dyDescent="0.25">
      <c r="D24" s="18" t="s">
        <v>769</v>
      </c>
    </row>
    <row r="25" spans="1:14" s="26" customFormat="1" ht="47.1" customHeight="1" x14ac:dyDescent="0.25">
      <c r="A25" s="26" t="s">
        <v>770</v>
      </c>
    </row>
    <row r="26" spans="1:14" ht="17.25" x14ac:dyDescent="0.35">
      <c r="A26" s="27" t="s">
        <v>242</v>
      </c>
      <c r="B26" s="17">
        <f>B30*C30+D30*E30</f>
        <v>4.7281804847566973E-10</v>
      </c>
    </row>
    <row r="27" spans="1:14" x14ac:dyDescent="0.25">
      <c r="A27" s="18" t="s">
        <v>125</v>
      </c>
      <c r="C27" s="18" t="s">
        <v>771</v>
      </c>
      <c r="D27" s="30" t="s">
        <v>772</v>
      </c>
      <c r="E27" s="18" t="s">
        <v>773</v>
      </c>
    </row>
    <row r="28" spans="1:14" s="19" customFormat="1" ht="138" x14ac:dyDescent="0.25">
      <c r="A28" s="24" t="s">
        <v>9</v>
      </c>
      <c r="B28" s="28" t="s">
        <v>243</v>
      </c>
      <c r="C28" s="28" t="s">
        <v>774</v>
      </c>
      <c r="D28" s="28" t="s">
        <v>775</v>
      </c>
      <c r="E28" s="28" t="s">
        <v>776</v>
      </c>
      <c r="F28" s="40" t="s">
        <v>777</v>
      </c>
      <c r="G28" s="28" t="s">
        <v>778</v>
      </c>
      <c r="H28" s="28" t="s">
        <v>779</v>
      </c>
      <c r="I28" s="28" t="s">
        <v>780</v>
      </c>
      <c r="J28" s="28" t="s">
        <v>781</v>
      </c>
      <c r="K28" s="28" t="s">
        <v>782</v>
      </c>
    </row>
    <row r="29" spans="1:14" ht="21.75" customHeight="1" thickBot="1" x14ac:dyDescent="0.4">
      <c r="A29" s="18" t="s">
        <v>752</v>
      </c>
      <c r="B29" s="16" t="s">
        <v>2</v>
      </c>
      <c r="C29" s="16" t="s">
        <v>2</v>
      </c>
      <c r="D29" s="16" t="s">
        <v>2</v>
      </c>
      <c r="E29" s="16" t="s">
        <v>2</v>
      </c>
      <c r="F29" s="58" t="s">
        <v>2</v>
      </c>
      <c r="G29" s="16" t="s">
        <v>1</v>
      </c>
      <c r="H29" s="16" t="s">
        <v>1</v>
      </c>
      <c r="I29" s="16" t="s">
        <v>1</v>
      </c>
      <c r="J29" s="16" t="s">
        <v>1</v>
      </c>
      <c r="K29" s="16" t="s">
        <v>1</v>
      </c>
    </row>
    <row r="30" spans="1:14" ht="18" thickBot="1" x14ac:dyDescent="0.4">
      <c r="A30" s="18" t="s">
        <v>57</v>
      </c>
      <c r="B30" s="184">
        <f t="shared" ref="B30:K30" si="1">IF(B29=$I$2,B31,B32)</f>
        <v>1.6032349947465196E-15</v>
      </c>
      <c r="C30" s="185">
        <f t="shared" si="1"/>
        <v>294912</v>
      </c>
      <c r="D30" s="184">
        <f t="shared" si="1"/>
        <v>5.0101093585828737E-17</v>
      </c>
      <c r="E30" s="186">
        <f t="shared" si="1"/>
        <v>96</v>
      </c>
      <c r="F30" s="187">
        <f t="shared" si="1"/>
        <v>32</v>
      </c>
      <c r="G30" s="186">
        <f t="shared" si="1"/>
        <v>8</v>
      </c>
      <c r="H30" s="186">
        <f t="shared" si="1"/>
        <v>8</v>
      </c>
      <c r="I30" s="186">
        <f t="shared" si="1"/>
        <v>8</v>
      </c>
      <c r="J30" s="186">
        <f t="shared" si="1"/>
        <v>8</v>
      </c>
      <c r="K30" s="186">
        <f t="shared" si="1"/>
        <v>8</v>
      </c>
    </row>
    <row r="31" spans="1:14" ht="17.25" x14ac:dyDescent="0.35">
      <c r="A31" s="18" t="s">
        <v>58</v>
      </c>
      <c r="B31" s="16"/>
      <c r="C31" s="16"/>
      <c r="D31" s="16"/>
      <c r="E31" s="16"/>
      <c r="F31" s="59"/>
      <c r="G31" s="16">
        <v>8</v>
      </c>
      <c r="H31" s="16">
        <v>8</v>
      </c>
      <c r="I31" s="16">
        <v>8</v>
      </c>
      <c r="J31" s="16">
        <v>8</v>
      </c>
      <c r="K31" s="16">
        <v>8</v>
      </c>
    </row>
    <row r="32" spans="1:14" ht="17.25" x14ac:dyDescent="0.35">
      <c r="A32" s="18" t="s">
        <v>59</v>
      </c>
      <c r="B32" s="5">
        <f>B59</f>
        <v>1.6032349947465196E-15</v>
      </c>
      <c r="C32" s="38">
        <f>B48/F30</f>
        <v>294912</v>
      </c>
      <c r="D32" s="5">
        <f>B30/32</f>
        <v>5.0101093585828737E-17</v>
      </c>
      <c r="E32" s="6">
        <f>B37/F30</f>
        <v>96</v>
      </c>
      <c r="F32" s="60">
        <f>H7</f>
        <v>32</v>
      </c>
      <c r="G32" s="6"/>
      <c r="H32" s="6"/>
      <c r="I32" s="6"/>
    </row>
    <row r="33" spans="1:8" x14ac:dyDescent="0.25">
      <c r="A33" s="18" t="s">
        <v>753</v>
      </c>
      <c r="C33" s="18" t="s">
        <v>783</v>
      </c>
      <c r="E33" s="18" t="s">
        <v>784</v>
      </c>
    </row>
    <row r="36" spans="1:8" s="47" customFormat="1" ht="74.45" customHeight="1" x14ac:dyDescent="0.25">
      <c r="A36" s="32" t="s">
        <v>785</v>
      </c>
      <c r="B36" s="46"/>
      <c r="C36" s="46"/>
      <c r="D36" s="46" t="s">
        <v>786</v>
      </c>
      <c r="E36" s="46"/>
      <c r="F36" s="46"/>
      <c r="G36" s="46"/>
      <c r="H36" s="46"/>
    </row>
    <row r="37" spans="1:8" s="50" customFormat="1" ht="17.25" x14ac:dyDescent="0.35">
      <c r="A37" s="48" t="s">
        <v>787</v>
      </c>
      <c r="B37" s="49">
        <f>B41*4</f>
        <v>3072</v>
      </c>
      <c r="D37" s="50" t="s">
        <v>788</v>
      </c>
    </row>
    <row r="38" spans="1:8" s="50" customFormat="1" x14ac:dyDescent="0.25">
      <c r="A38" s="50" t="s">
        <v>125</v>
      </c>
    </row>
    <row r="39" spans="1:8" s="53" customFormat="1" ht="17.25" x14ac:dyDescent="0.25">
      <c r="A39" s="51" t="s">
        <v>9</v>
      </c>
      <c r="B39" s="52" t="s">
        <v>789</v>
      </c>
      <c r="C39" s="52" t="s">
        <v>790</v>
      </c>
      <c r="D39" s="52"/>
      <c r="E39" s="52"/>
      <c r="F39" s="96"/>
      <c r="G39" s="96"/>
      <c r="H39" s="96"/>
    </row>
    <row r="40" spans="1:8" s="50" customFormat="1" ht="18" thickBot="1" x14ac:dyDescent="0.4">
      <c r="A40" s="50" t="s">
        <v>752</v>
      </c>
      <c r="B40" s="54" t="s">
        <v>1</v>
      </c>
      <c r="C40" s="54" t="s">
        <v>1</v>
      </c>
    </row>
    <row r="41" spans="1:8" s="50" customFormat="1" ht="18" thickBot="1" x14ac:dyDescent="0.4">
      <c r="A41" s="50" t="s">
        <v>57</v>
      </c>
      <c r="B41" s="55">
        <f>IF(B40=$I$2,B42,B43)</f>
        <v>768</v>
      </c>
      <c r="C41" s="55">
        <f>IF(C40=$I$2,C42,C43)</f>
        <v>0</v>
      </c>
    </row>
    <row r="42" spans="1:8" s="50" customFormat="1" ht="17.25" x14ac:dyDescent="0.35">
      <c r="A42" s="50" t="s">
        <v>58</v>
      </c>
      <c r="B42" s="56">
        <v>768</v>
      </c>
      <c r="C42" s="56">
        <v>0</v>
      </c>
    </row>
    <row r="43" spans="1:8" s="50" customFormat="1" ht="17.25" x14ac:dyDescent="0.35">
      <c r="A43" s="50" t="s">
        <v>59</v>
      </c>
      <c r="B43" s="57"/>
      <c r="C43" s="57"/>
      <c r="D43" s="57" t="s">
        <v>791</v>
      </c>
      <c r="E43" s="57"/>
      <c r="F43" s="57"/>
    </row>
    <row r="44" spans="1:8" s="50" customFormat="1" x14ac:dyDescent="0.25">
      <c r="A44" s="50" t="s">
        <v>753</v>
      </c>
    </row>
    <row r="45" spans="1:8" s="50" customFormat="1" x14ac:dyDescent="0.25"/>
    <row r="46" spans="1:8" s="50" customFormat="1" x14ac:dyDescent="0.25"/>
    <row r="47" spans="1:8" s="47" customFormat="1" ht="60" customHeight="1" x14ac:dyDescent="0.25">
      <c r="A47" s="32" t="s">
        <v>792</v>
      </c>
      <c r="B47" s="46"/>
      <c r="C47" s="46"/>
      <c r="D47" s="46"/>
      <c r="E47" s="46"/>
      <c r="F47" s="46"/>
      <c r="G47" s="46"/>
      <c r="H47" s="46"/>
    </row>
    <row r="48" spans="1:8" s="50" customFormat="1" ht="17.25" x14ac:dyDescent="0.35">
      <c r="A48" s="48" t="s">
        <v>793</v>
      </c>
      <c r="B48" s="49">
        <f>B52*B52</f>
        <v>9437184</v>
      </c>
      <c r="C48" s="30"/>
    </row>
    <row r="49" spans="1:10" s="50" customFormat="1" x14ac:dyDescent="0.25">
      <c r="A49" s="50" t="s">
        <v>125</v>
      </c>
    </row>
    <row r="50" spans="1:10" s="53" customFormat="1" ht="17.25" x14ac:dyDescent="0.25">
      <c r="A50" s="51" t="s">
        <v>9</v>
      </c>
      <c r="B50" s="52" t="s">
        <v>794</v>
      </c>
      <c r="C50" s="40"/>
      <c r="D50" s="96"/>
      <c r="E50" s="96"/>
      <c r="F50" s="96"/>
    </row>
    <row r="51" spans="1:10" s="50" customFormat="1" ht="18" thickBot="1" x14ac:dyDescent="0.4">
      <c r="A51" s="50" t="s">
        <v>752</v>
      </c>
      <c r="B51" s="54" t="s">
        <v>2</v>
      </c>
    </row>
    <row r="52" spans="1:10" s="50" customFormat="1" ht="18" thickBot="1" x14ac:dyDescent="0.4">
      <c r="A52" s="50" t="s">
        <v>57</v>
      </c>
      <c r="B52" s="55">
        <f>IF(B51=$I$2,B53,B54)</f>
        <v>3072</v>
      </c>
      <c r="C52" s="187"/>
    </row>
    <row r="53" spans="1:10" s="50" customFormat="1" ht="17.25" x14ac:dyDescent="0.35">
      <c r="A53" s="50" t="s">
        <v>58</v>
      </c>
      <c r="B53" s="54"/>
    </row>
    <row r="54" spans="1:10" s="50" customFormat="1" ht="17.25" x14ac:dyDescent="0.35">
      <c r="A54" s="50" t="s">
        <v>59</v>
      </c>
      <c r="B54" s="57">
        <f>B37</f>
        <v>3072</v>
      </c>
      <c r="C54" s="97"/>
      <c r="D54" s="57"/>
      <c r="E54" s="57"/>
      <c r="F54" s="57"/>
    </row>
    <row r="55" spans="1:10" s="50" customFormat="1" x14ac:dyDescent="0.25">
      <c r="A55" s="50" t="s">
        <v>753</v>
      </c>
    </row>
    <row r="56" spans="1:10" s="50" customFormat="1" x14ac:dyDescent="0.25"/>
    <row r="57" spans="1:10" s="50" customFormat="1" x14ac:dyDescent="0.25">
      <c r="C57" s="50" t="s">
        <v>795</v>
      </c>
    </row>
    <row r="58" spans="1:10" s="31" customFormat="1" ht="61.5" x14ac:dyDescent="0.25">
      <c r="A58" s="32" t="s">
        <v>256</v>
      </c>
      <c r="B58" s="26"/>
      <c r="C58" s="26"/>
      <c r="D58" s="26"/>
      <c r="E58" s="26"/>
      <c r="F58" s="26"/>
      <c r="G58" s="26"/>
      <c r="H58" s="26"/>
      <c r="I58" s="26"/>
      <c r="J58" s="26"/>
    </row>
    <row r="59" spans="1:10" ht="17.25" x14ac:dyDescent="0.35">
      <c r="A59" s="27" t="s">
        <v>257</v>
      </c>
      <c r="B59" s="17">
        <f>G63/(B63*C63*D63*E63*F63)</f>
        <v>1.6032349947465196E-15</v>
      </c>
      <c r="C59" s="18" t="s">
        <v>796</v>
      </c>
      <c r="D59" s="18">
        <f>1/B59</f>
        <v>623738880000000</v>
      </c>
    </row>
    <row r="60" spans="1:10" x14ac:dyDescent="0.25">
      <c r="A60" s="18" t="s">
        <v>125</v>
      </c>
    </row>
    <row r="61" spans="1:10" s="19" customFormat="1" ht="34.5" x14ac:dyDescent="0.25">
      <c r="A61" s="24" t="s">
        <v>9</v>
      </c>
      <c r="B61" s="28" t="s">
        <v>96</v>
      </c>
      <c r="C61" s="28" t="s">
        <v>97</v>
      </c>
      <c r="D61" s="28" t="s">
        <v>98</v>
      </c>
      <c r="E61" s="28" t="s">
        <v>797</v>
      </c>
      <c r="F61" s="28" t="s">
        <v>798</v>
      </c>
      <c r="G61" s="28" t="s">
        <v>799</v>
      </c>
      <c r="H61" s="29"/>
      <c r="I61" s="29"/>
      <c r="J61" s="29"/>
    </row>
    <row r="62" spans="1:10" ht="18" thickBot="1" x14ac:dyDescent="0.4">
      <c r="A62" s="18" t="s">
        <v>752</v>
      </c>
      <c r="B62" s="16" t="s">
        <v>1</v>
      </c>
      <c r="C62" s="16" t="s">
        <v>1</v>
      </c>
      <c r="D62" s="16" t="s">
        <v>1</v>
      </c>
      <c r="E62" s="16" t="s">
        <v>1</v>
      </c>
      <c r="F62" s="16" t="s">
        <v>1</v>
      </c>
      <c r="G62" s="16" t="s">
        <v>1</v>
      </c>
    </row>
    <row r="63" spans="1:10" ht="18" thickBot="1" x14ac:dyDescent="0.4">
      <c r="A63" s="18" t="s">
        <v>57</v>
      </c>
      <c r="B63" s="184">
        <f>IF(B62=$I$2,B64,B65)</f>
        <v>1410000000</v>
      </c>
      <c r="C63" s="185">
        <f>IF(C62=$I$2,C64,C65)</f>
        <v>108</v>
      </c>
      <c r="D63" s="185">
        <f>IF(D62=$I$2,D64,D65)</f>
        <v>4</v>
      </c>
      <c r="E63" s="185">
        <f>IF(E62=$I$2,E64,E65)</f>
        <v>2</v>
      </c>
      <c r="F63" s="185">
        <f>IF(F62=$I$2,F64,E65)</f>
        <v>4096</v>
      </c>
      <c r="G63" s="185">
        <f>IF(G62=$I$2,G64,F65)</f>
        <v>8</v>
      </c>
    </row>
    <row r="64" spans="1:10" ht="17.25" x14ac:dyDescent="0.35">
      <c r="A64" s="18" t="s">
        <v>58</v>
      </c>
      <c r="B64" s="16">
        <v>1410000000</v>
      </c>
      <c r="C64" s="35">
        <v>108</v>
      </c>
      <c r="D64" s="35">
        <v>4</v>
      </c>
      <c r="E64" s="3">
        <v>2</v>
      </c>
      <c r="F64" s="35">
        <v>4096</v>
      </c>
      <c r="G64" s="3">
        <v>8</v>
      </c>
    </row>
    <row r="65" spans="1:10" ht="17.25" x14ac:dyDescent="0.35">
      <c r="A65" s="18" t="s">
        <v>59</v>
      </c>
      <c r="B65" s="5"/>
      <c r="C65" s="5"/>
      <c r="D65" s="5"/>
      <c r="E65" s="5"/>
      <c r="F65" s="5"/>
    </row>
    <row r="66" spans="1:10" x14ac:dyDescent="0.25">
      <c r="A66" s="18" t="s">
        <v>753</v>
      </c>
    </row>
    <row r="67" spans="1:10" x14ac:dyDescent="0.25">
      <c r="B67" s="30"/>
    </row>
    <row r="69" spans="1:10" s="26" customFormat="1" ht="60" customHeight="1" x14ac:dyDescent="0.25">
      <c r="A69" s="32" t="s">
        <v>274</v>
      </c>
    </row>
    <row r="70" spans="1:10" ht="17.25" x14ac:dyDescent="0.35">
      <c r="A70" s="27" t="s">
        <v>275</v>
      </c>
      <c r="B70" s="17">
        <f>MAX(B74+C74*D74/E74,F74+G74*D74/H74)</f>
        <v>1.0524399999999999E-6</v>
      </c>
    </row>
    <row r="71" spans="1:10" x14ac:dyDescent="0.25">
      <c r="A71" s="18" t="s">
        <v>125</v>
      </c>
    </row>
    <row r="72" spans="1:10" s="19" customFormat="1" ht="59.45" customHeight="1" x14ac:dyDescent="0.25">
      <c r="A72" s="24" t="s">
        <v>9</v>
      </c>
      <c r="B72" s="28" t="s">
        <v>316</v>
      </c>
      <c r="C72" s="28" t="s">
        <v>800</v>
      </c>
      <c r="D72" s="28" t="s">
        <v>801</v>
      </c>
      <c r="E72" s="28" t="s">
        <v>319</v>
      </c>
      <c r="F72" s="28" t="s">
        <v>326</v>
      </c>
      <c r="G72" s="28" t="s">
        <v>802</v>
      </c>
      <c r="H72" s="28" t="s">
        <v>328</v>
      </c>
      <c r="J72" s="29"/>
    </row>
    <row r="73" spans="1:10" ht="59.45" customHeight="1" thickBot="1" x14ac:dyDescent="0.4">
      <c r="A73" s="18" t="s">
        <v>752</v>
      </c>
      <c r="B73" s="16" t="s">
        <v>1</v>
      </c>
      <c r="C73" s="16" t="s">
        <v>1</v>
      </c>
      <c r="D73" s="16" t="s">
        <v>1</v>
      </c>
      <c r="E73" s="16" t="s">
        <v>1</v>
      </c>
      <c r="F73" s="16" t="s">
        <v>1</v>
      </c>
      <c r="G73" s="16" t="s">
        <v>1</v>
      </c>
      <c r="H73" s="16" t="s">
        <v>1</v>
      </c>
    </row>
    <row r="74" spans="1:10" ht="18" thickBot="1" x14ac:dyDescent="0.4">
      <c r="A74" s="18" t="s">
        <v>57</v>
      </c>
      <c r="B74" s="184">
        <f t="shared" ref="B74:H74" si="2">IF(B73=$I$2,B75,B76)</f>
        <v>9.9999999999999995E-8</v>
      </c>
      <c r="C74" s="184">
        <f t="shared" si="2"/>
        <v>1311</v>
      </c>
      <c r="D74" s="184">
        <f t="shared" si="2"/>
        <v>8</v>
      </c>
      <c r="E74" s="184">
        <f t="shared" si="2"/>
        <v>2400000000000</v>
      </c>
      <c r="F74" s="184">
        <f t="shared" si="2"/>
        <v>9.9999999999999995E-7</v>
      </c>
      <c r="G74" s="184">
        <f t="shared" si="2"/>
        <v>1311</v>
      </c>
      <c r="H74" s="184">
        <f t="shared" si="2"/>
        <v>200000000000</v>
      </c>
    </row>
    <row r="75" spans="1:10" ht="17.25" x14ac:dyDescent="0.35">
      <c r="A75" s="18" t="s">
        <v>58</v>
      </c>
      <c r="B75" s="16">
        <v>9.9999999999999995E-8</v>
      </c>
      <c r="C75" s="16">
        <v>1311</v>
      </c>
      <c r="D75" s="16">
        <v>8</v>
      </c>
      <c r="E75" s="16">
        <v>2400000000000</v>
      </c>
      <c r="F75" s="16">
        <v>9.9999999999999995E-7</v>
      </c>
      <c r="G75" s="16">
        <v>1311</v>
      </c>
      <c r="H75" s="16">
        <v>200000000000</v>
      </c>
    </row>
    <row r="76" spans="1:10" ht="17.25" x14ac:dyDescent="0.35">
      <c r="A76" s="18" t="s">
        <v>59</v>
      </c>
      <c r="B76" s="5"/>
      <c r="C76" s="5"/>
      <c r="D76" s="5"/>
      <c r="E76" s="5"/>
      <c r="F76" s="5"/>
      <c r="G76" s="5"/>
      <c r="H76" s="5"/>
    </row>
    <row r="77" spans="1:10" x14ac:dyDescent="0.25">
      <c r="A77" s="18" t="s">
        <v>753</v>
      </c>
    </row>
    <row r="78" spans="1:10" x14ac:dyDescent="0.25">
      <c r="C78" s="18" t="s">
        <v>803</v>
      </c>
      <c r="G78" s="18" t="s">
        <v>803</v>
      </c>
    </row>
    <row r="80" spans="1:10" x14ac:dyDescent="0.25">
      <c r="D80" s="18" t="s">
        <v>766</v>
      </c>
    </row>
    <row r="82" spans="1:10" s="26" customFormat="1" ht="57.6" customHeight="1" x14ac:dyDescent="0.25">
      <c r="A82" s="26" t="s">
        <v>339</v>
      </c>
    </row>
    <row r="83" spans="1:10" ht="17.25" x14ac:dyDescent="0.35">
      <c r="A83" s="27" t="s">
        <v>340</v>
      </c>
      <c r="B83" s="17">
        <f>B87*C87+D87*E87</f>
        <v>4.7281804847566973E-10</v>
      </c>
    </row>
    <row r="84" spans="1:10" x14ac:dyDescent="0.25">
      <c r="A84" s="18" t="s">
        <v>125</v>
      </c>
    </row>
    <row r="85" spans="1:10" s="19" customFormat="1" ht="86.25" x14ac:dyDescent="0.25">
      <c r="A85" s="24" t="s">
        <v>9</v>
      </c>
      <c r="B85" s="28" t="s">
        <v>341</v>
      </c>
      <c r="C85" s="28" t="s">
        <v>804</v>
      </c>
      <c r="D85" s="28" t="s">
        <v>776</v>
      </c>
      <c r="E85" s="28" t="s">
        <v>344</v>
      </c>
      <c r="F85" s="28" t="s">
        <v>805</v>
      </c>
      <c r="G85" s="28" t="s">
        <v>806</v>
      </c>
      <c r="H85" s="28" t="s">
        <v>807</v>
      </c>
      <c r="I85" s="28" t="s">
        <v>781</v>
      </c>
      <c r="J85" s="28" t="s">
        <v>808</v>
      </c>
    </row>
    <row r="86" spans="1:10" ht="18" thickBot="1" x14ac:dyDescent="0.4">
      <c r="A86" s="18" t="s">
        <v>752</v>
      </c>
      <c r="B86" s="16" t="s">
        <v>2</v>
      </c>
      <c r="C86" s="16" t="s">
        <v>2</v>
      </c>
      <c r="D86" s="16" t="s">
        <v>2</v>
      </c>
      <c r="E86" s="16" t="s">
        <v>2</v>
      </c>
      <c r="F86" s="16" t="s">
        <v>1</v>
      </c>
      <c r="G86" s="16" t="s">
        <v>1</v>
      </c>
      <c r="H86" s="16" t="s">
        <v>1</v>
      </c>
      <c r="I86" s="16" t="s">
        <v>1</v>
      </c>
      <c r="J86" s="16" t="s">
        <v>1</v>
      </c>
    </row>
    <row r="87" spans="1:10" ht="21" customHeight="1" thickBot="1" x14ac:dyDescent="0.4">
      <c r="A87" s="18" t="s">
        <v>57</v>
      </c>
      <c r="B87" s="184">
        <f t="shared" ref="B87:J87" si="3">IF(B86=$I$2,B88,B89)</f>
        <v>1.6032349947465196E-15</v>
      </c>
      <c r="C87" s="184">
        <f t="shared" si="3"/>
        <v>294912</v>
      </c>
      <c r="D87" s="184">
        <f t="shared" si="3"/>
        <v>96</v>
      </c>
      <c r="E87" s="184">
        <f t="shared" si="3"/>
        <v>5.0101093585828737E-17</v>
      </c>
      <c r="F87" s="186">
        <f t="shared" si="3"/>
        <v>8</v>
      </c>
      <c r="G87" s="186">
        <f t="shared" si="3"/>
        <v>8</v>
      </c>
      <c r="H87" s="186">
        <f t="shared" si="3"/>
        <v>8</v>
      </c>
      <c r="I87" s="186">
        <f t="shared" si="3"/>
        <v>8</v>
      </c>
      <c r="J87" s="186">
        <f t="shared" si="3"/>
        <v>8</v>
      </c>
    </row>
    <row r="88" spans="1:10" ht="17.25" x14ac:dyDescent="0.35">
      <c r="A88" s="18" t="s">
        <v>58</v>
      </c>
      <c r="B88" s="16"/>
      <c r="C88" s="16"/>
      <c r="D88" s="16"/>
      <c r="E88" s="16"/>
      <c r="F88" s="16">
        <v>8</v>
      </c>
      <c r="G88" s="16">
        <v>8</v>
      </c>
      <c r="H88" s="16">
        <v>8</v>
      </c>
      <c r="I88" s="16">
        <v>8</v>
      </c>
      <c r="J88" s="16">
        <v>8</v>
      </c>
    </row>
    <row r="89" spans="1:10" ht="17.25" x14ac:dyDescent="0.35">
      <c r="A89" s="18" t="s">
        <v>59</v>
      </c>
      <c r="B89" s="5">
        <f>B30</f>
        <v>1.6032349947465196E-15</v>
      </c>
      <c r="C89" s="5">
        <f>C30</f>
        <v>294912</v>
      </c>
      <c r="D89" s="5">
        <f>E30</f>
        <v>96</v>
      </c>
      <c r="E89" s="5">
        <f>D30</f>
        <v>5.0101093585828737E-17</v>
      </c>
      <c r="F89" s="5"/>
    </row>
    <row r="90" spans="1:10" x14ac:dyDescent="0.25">
      <c r="A90" s="18" t="s">
        <v>753</v>
      </c>
      <c r="B90" s="18" t="s">
        <v>809</v>
      </c>
      <c r="C90" s="18" t="s">
        <v>809</v>
      </c>
      <c r="D90" s="18" t="s">
        <v>809</v>
      </c>
      <c r="E90" s="18" t="s">
        <v>809</v>
      </c>
    </row>
    <row r="94" spans="1:10" s="26" customFormat="1" ht="52.5" customHeight="1" x14ac:dyDescent="0.25">
      <c r="A94" s="32" t="s">
        <v>347</v>
      </c>
    </row>
    <row r="95" spans="1:10" ht="17.25" x14ac:dyDescent="0.35">
      <c r="A95" s="27" t="s">
        <v>348</v>
      </c>
      <c r="B95" s="17">
        <f>MAX(B99+C99*D99/E99,F99+G99*D99/H99)</f>
        <v>1.0524399999999999E-6</v>
      </c>
    </row>
    <row r="96" spans="1:10" x14ac:dyDescent="0.25">
      <c r="A96" s="18" t="s">
        <v>125</v>
      </c>
    </row>
    <row r="97" spans="1:10" s="19" customFormat="1" ht="34.5" x14ac:dyDescent="0.25">
      <c r="A97" s="24" t="s">
        <v>9</v>
      </c>
      <c r="B97" s="28" t="s">
        <v>316</v>
      </c>
      <c r="C97" s="28" t="s">
        <v>810</v>
      </c>
      <c r="D97" s="28" t="s">
        <v>811</v>
      </c>
      <c r="E97" s="28" t="s">
        <v>319</v>
      </c>
      <c r="F97" s="28" t="s">
        <v>326</v>
      </c>
      <c r="G97" s="28" t="s">
        <v>812</v>
      </c>
      <c r="H97" s="28" t="s">
        <v>328</v>
      </c>
      <c r="I97" s="29"/>
      <c r="J97" s="29"/>
    </row>
    <row r="98" spans="1:10" ht="21.75" customHeight="1" thickBot="1" x14ac:dyDescent="0.4">
      <c r="A98" s="18" t="s">
        <v>752</v>
      </c>
      <c r="B98" s="16" t="s">
        <v>2</v>
      </c>
      <c r="C98" s="16" t="s">
        <v>2</v>
      </c>
      <c r="D98" s="16" t="s">
        <v>1</v>
      </c>
      <c r="E98" s="16" t="s">
        <v>2</v>
      </c>
      <c r="F98" s="16" t="s">
        <v>2</v>
      </c>
      <c r="G98" s="16" t="s">
        <v>2</v>
      </c>
      <c r="H98" s="16" t="s">
        <v>2</v>
      </c>
    </row>
    <row r="99" spans="1:10" ht="18" thickBot="1" x14ac:dyDescent="0.4">
      <c r="A99" s="18" t="s">
        <v>57</v>
      </c>
      <c r="B99" s="184">
        <f t="shared" ref="B99:H99" si="4">IF(B98=$I$2,B100,B101)</f>
        <v>9.9999999999999995E-8</v>
      </c>
      <c r="C99" s="184">
        <f t="shared" si="4"/>
        <v>96</v>
      </c>
      <c r="D99" s="185">
        <f t="shared" si="4"/>
        <v>8</v>
      </c>
      <c r="E99" s="184">
        <f t="shared" si="4"/>
        <v>2400000000000</v>
      </c>
      <c r="F99" s="184">
        <f t="shared" si="4"/>
        <v>9.9999999999999995E-7</v>
      </c>
      <c r="G99" s="184">
        <f t="shared" si="4"/>
        <v>1311</v>
      </c>
      <c r="H99" s="184">
        <f t="shared" si="4"/>
        <v>200000000000</v>
      </c>
    </row>
    <row r="100" spans="1:10" ht="17.25" x14ac:dyDescent="0.35">
      <c r="A100" s="18" t="s">
        <v>58</v>
      </c>
      <c r="B100" s="16"/>
      <c r="C100" s="16"/>
      <c r="D100" s="35">
        <v>8</v>
      </c>
      <c r="E100" s="16"/>
      <c r="F100" s="16"/>
      <c r="G100" s="16"/>
      <c r="H100" s="16"/>
    </row>
    <row r="101" spans="1:10" ht="17.25" x14ac:dyDescent="0.35">
      <c r="A101" s="18" t="s">
        <v>59</v>
      </c>
      <c r="B101" s="5">
        <f>B74</f>
        <v>9.9999999999999995E-8</v>
      </c>
      <c r="C101" s="5">
        <f>D87</f>
        <v>96</v>
      </c>
      <c r="D101" s="38"/>
      <c r="E101" s="5">
        <f>E74</f>
        <v>2400000000000</v>
      </c>
      <c r="F101" s="5">
        <f>F74</f>
        <v>9.9999999999999995E-7</v>
      </c>
      <c r="G101" s="5">
        <f>C74</f>
        <v>1311</v>
      </c>
      <c r="H101" s="5">
        <f>H74</f>
        <v>200000000000</v>
      </c>
    </row>
    <row r="102" spans="1:10" x14ac:dyDescent="0.25">
      <c r="A102" s="18" t="s">
        <v>753</v>
      </c>
      <c r="B102" s="18" t="s">
        <v>813</v>
      </c>
      <c r="C102" s="18" t="s">
        <v>813</v>
      </c>
      <c r="E102" s="18" t="s">
        <v>813</v>
      </c>
      <c r="F102" s="18" t="s">
        <v>813</v>
      </c>
      <c r="G102" s="18" t="s">
        <v>813</v>
      </c>
      <c r="H102" s="18" t="s">
        <v>813</v>
      </c>
    </row>
    <row r="104" spans="1:10" s="26" customFormat="1" ht="52.5" customHeight="1" x14ac:dyDescent="0.25">
      <c r="A104" s="32" t="s">
        <v>365</v>
      </c>
      <c r="B104" s="62"/>
      <c r="C104" s="63"/>
    </row>
    <row r="105" spans="1:10" ht="17.25" x14ac:dyDescent="0.35">
      <c r="A105" s="27" t="s">
        <v>366</v>
      </c>
      <c r="B105" s="17">
        <f>B109*C109</f>
        <v>4.7281323877068554E-10</v>
      </c>
    </row>
    <row r="106" spans="1:10" x14ac:dyDescent="0.25">
      <c r="A106" s="18" t="s">
        <v>125</v>
      </c>
    </row>
    <row r="107" spans="1:10" s="19" customFormat="1" ht="51.75" x14ac:dyDescent="0.25">
      <c r="A107" s="24" t="s">
        <v>9</v>
      </c>
      <c r="B107" s="28" t="s">
        <v>243</v>
      </c>
      <c r="C107" s="28" t="s">
        <v>814</v>
      </c>
      <c r="D107" s="28" t="s">
        <v>779</v>
      </c>
      <c r="E107" s="28" t="s">
        <v>815</v>
      </c>
      <c r="F107" s="28" t="s">
        <v>816</v>
      </c>
      <c r="G107" s="29"/>
      <c r="H107" s="29"/>
      <c r="I107" s="29"/>
      <c r="J107" s="29"/>
    </row>
    <row r="108" spans="1:10" ht="18" thickBot="1" x14ac:dyDescent="0.4">
      <c r="A108" s="18" t="s">
        <v>752</v>
      </c>
      <c r="B108" s="16" t="s">
        <v>2</v>
      </c>
      <c r="C108" s="16" t="s">
        <v>2</v>
      </c>
      <c r="D108" s="16" t="s">
        <v>1</v>
      </c>
      <c r="E108" s="16" t="s">
        <v>1</v>
      </c>
      <c r="F108" s="16" t="s">
        <v>1</v>
      </c>
    </row>
    <row r="109" spans="1:10" ht="18" thickBot="1" x14ac:dyDescent="0.4">
      <c r="A109" s="18" t="s">
        <v>57</v>
      </c>
      <c r="B109" s="184">
        <f>IF(B108=$I$2,B110,B111)</f>
        <v>1.6032349947465196E-15</v>
      </c>
      <c r="C109" s="184">
        <f>IF(C108=$I$2,C110,C111)</f>
        <v>294912</v>
      </c>
      <c r="D109" s="186">
        <f>IF(D108=$I$2,D110,D111)</f>
        <v>8</v>
      </c>
      <c r="E109" s="186">
        <f>IF(E108=$I$2,E110,E111)</f>
        <v>8</v>
      </c>
      <c r="F109" s="186">
        <f>IF(F108=$I$2,F110,F111)</f>
        <v>8</v>
      </c>
    </row>
    <row r="110" spans="1:10" ht="17.25" x14ac:dyDescent="0.35">
      <c r="A110" s="18" t="s">
        <v>58</v>
      </c>
      <c r="B110" s="16"/>
      <c r="C110" s="16"/>
      <c r="D110" s="16">
        <v>8</v>
      </c>
      <c r="E110" s="16">
        <v>8</v>
      </c>
      <c r="F110" s="16">
        <v>8</v>
      </c>
    </row>
    <row r="111" spans="1:10" ht="17.25" x14ac:dyDescent="0.35">
      <c r="A111" s="18" t="s">
        <v>59</v>
      </c>
      <c r="B111" s="5">
        <f>B30</f>
        <v>1.6032349947465196E-15</v>
      </c>
      <c r="C111" s="5">
        <f>C30</f>
        <v>294912</v>
      </c>
    </row>
    <row r="112" spans="1:10" x14ac:dyDescent="0.25">
      <c r="A112" s="18" t="s">
        <v>753</v>
      </c>
      <c r="B112" s="18" t="s">
        <v>809</v>
      </c>
      <c r="C112" s="18" t="s">
        <v>809</v>
      </c>
    </row>
    <row r="116" spans="1:10" s="26" customFormat="1" ht="60" customHeight="1" x14ac:dyDescent="0.25">
      <c r="A116" s="32" t="s">
        <v>817</v>
      </c>
      <c r="B116" s="26" t="s">
        <v>818</v>
      </c>
    </row>
    <row r="117" spans="1:10" ht="17.25" x14ac:dyDescent="0.35">
      <c r="A117" s="27" t="s">
        <v>819</v>
      </c>
      <c r="B117" s="44">
        <f>B121</f>
        <v>32</v>
      </c>
    </row>
    <row r="118" spans="1:10" x14ac:dyDescent="0.25">
      <c r="A118" s="18" t="s">
        <v>125</v>
      </c>
    </row>
    <row r="119" spans="1:10" s="19" customFormat="1" ht="17.25" x14ac:dyDescent="0.25">
      <c r="A119" s="24" t="s">
        <v>9</v>
      </c>
      <c r="B119" s="28" t="s">
        <v>400</v>
      </c>
      <c r="C119" s="28"/>
      <c r="D119" s="28"/>
      <c r="E119" s="28"/>
      <c r="F119" s="28"/>
      <c r="G119" s="29"/>
      <c r="H119" s="29"/>
      <c r="I119" s="29"/>
      <c r="J119" s="29"/>
    </row>
    <row r="120" spans="1:10" ht="18" thickBot="1" x14ac:dyDescent="0.4">
      <c r="A120" s="18" t="s">
        <v>752</v>
      </c>
      <c r="B120" s="16" t="s">
        <v>2</v>
      </c>
      <c r="C120" s="16" t="s">
        <v>1</v>
      </c>
      <c r="D120" s="16" t="s">
        <v>1</v>
      </c>
      <c r="E120" s="16" t="s">
        <v>1</v>
      </c>
      <c r="F120" s="16" t="s">
        <v>1</v>
      </c>
    </row>
    <row r="121" spans="1:10" ht="18" thickBot="1" x14ac:dyDescent="0.4">
      <c r="A121" s="18" t="s">
        <v>57</v>
      </c>
      <c r="B121" s="185">
        <f>IF(B120=$I$2,B122,B123)</f>
        <v>32</v>
      </c>
      <c r="C121" s="184">
        <f>IF(C120=$I$2,C122,C123)</f>
        <v>0</v>
      </c>
      <c r="D121" s="184">
        <f>IF(D120=$I$2,D122,D123)</f>
        <v>0</v>
      </c>
      <c r="E121" s="184">
        <f>IF(E120=$I$2,E122,E123)</f>
        <v>0</v>
      </c>
      <c r="F121" s="184">
        <f>IF(F120=$I$2,F122,F123)</f>
        <v>0</v>
      </c>
      <c r="G121" s="184"/>
      <c r="H121" s="184"/>
    </row>
    <row r="122" spans="1:10" ht="17.25" x14ac:dyDescent="0.35">
      <c r="A122" s="18" t="s">
        <v>58</v>
      </c>
      <c r="B122" s="35"/>
      <c r="C122" s="16"/>
      <c r="D122" s="16"/>
      <c r="E122" s="16"/>
      <c r="F122" s="16"/>
    </row>
    <row r="123" spans="1:10" ht="17.25" x14ac:dyDescent="0.35">
      <c r="A123" s="18" t="s">
        <v>59</v>
      </c>
      <c r="B123" s="38">
        <f>G7</f>
        <v>32</v>
      </c>
      <c r="C123" s="5"/>
      <c r="D123" s="5"/>
      <c r="E123" s="5"/>
      <c r="F123" s="5"/>
    </row>
    <row r="124" spans="1:10" x14ac:dyDescent="0.25">
      <c r="A124" s="18" t="s">
        <v>753</v>
      </c>
    </row>
    <row r="126" spans="1:10" x14ac:dyDescent="0.25">
      <c r="B126" s="18" t="s">
        <v>820</v>
      </c>
    </row>
    <row r="128" spans="1:10" s="26" customFormat="1" ht="62.25" customHeight="1" x14ac:dyDescent="0.25">
      <c r="A128" s="32" t="s">
        <v>821</v>
      </c>
    </row>
    <row r="129" spans="1:10" ht="34.5" x14ac:dyDescent="0.35">
      <c r="A129" s="27" t="s">
        <v>822</v>
      </c>
      <c r="B129" s="17" t="s">
        <v>823</v>
      </c>
    </row>
    <row r="130" spans="1:10" x14ac:dyDescent="0.25">
      <c r="A130" s="18" t="s">
        <v>125</v>
      </c>
    </row>
    <row r="131" spans="1:10" s="19" customFormat="1" ht="17.25" x14ac:dyDescent="0.25">
      <c r="A131" s="24" t="s">
        <v>9</v>
      </c>
      <c r="B131" s="28" t="s">
        <v>383</v>
      </c>
      <c r="C131" s="28" t="s">
        <v>384</v>
      </c>
      <c r="D131" s="28" t="s">
        <v>824</v>
      </c>
      <c r="E131" s="28" t="s">
        <v>388</v>
      </c>
      <c r="F131" s="28" t="s">
        <v>825</v>
      </c>
      <c r="G131" s="28" t="s">
        <v>389</v>
      </c>
      <c r="H131" s="29"/>
      <c r="I131" s="29"/>
      <c r="J131" s="29"/>
    </row>
    <row r="132" spans="1:10" ht="18" thickBot="1" x14ac:dyDescent="0.4">
      <c r="A132" s="18" t="s">
        <v>752</v>
      </c>
      <c r="B132" s="16" t="s">
        <v>1</v>
      </c>
      <c r="C132" s="16" t="s">
        <v>1</v>
      </c>
      <c r="D132" s="16" t="s">
        <v>1</v>
      </c>
      <c r="E132" s="16" t="s">
        <v>1</v>
      </c>
      <c r="F132" s="16" t="s">
        <v>1</v>
      </c>
      <c r="G132" s="16" t="s">
        <v>1</v>
      </c>
    </row>
    <row r="133" spans="1:10" ht="18" thickBot="1" x14ac:dyDescent="0.4">
      <c r="A133" s="18" t="s">
        <v>57</v>
      </c>
      <c r="B133" s="184">
        <f t="shared" ref="B133:G133" si="5">IF(B132=$I$2,B134,B135)</f>
        <v>0</v>
      </c>
      <c r="C133" s="184">
        <f t="shared" si="5"/>
        <v>0</v>
      </c>
      <c r="D133" s="184">
        <f t="shared" si="5"/>
        <v>0</v>
      </c>
      <c r="E133" s="184">
        <f t="shared" si="5"/>
        <v>0</v>
      </c>
      <c r="F133" s="184">
        <f t="shared" si="5"/>
        <v>0</v>
      </c>
      <c r="G133" s="184">
        <f t="shared" si="5"/>
        <v>0</v>
      </c>
      <c r="H133" s="184"/>
    </row>
    <row r="134" spans="1:10" ht="17.25" x14ac:dyDescent="0.35">
      <c r="A134" s="18" t="s">
        <v>58</v>
      </c>
      <c r="B134" s="16"/>
      <c r="C134" s="16"/>
      <c r="D134" s="16"/>
      <c r="E134" s="16"/>
      <c r="F134" s="16"/>
      <c r="G134" s="16"/>
    </row>
    <row r="135" spans="1:10" ht="17.25" x14ac:dyDescent="0.35">
      <c r="A135" s="18" t="s">
        <v>59</v>
      </c>
      <c r="B135" s="5"/>
      <c r="C135" s="5"/>
      <c r="D135" s="5"/>
      <c r="E135" s="5"/>
      <c r="F135" s="5"/>
      <c r="G135" s="5"/>
    </row>
    <row r="136" spans="1:10" x14ac:dyDescent="0.25">
      <c r="A136" s="18" t="s">
        <v>753</v>
      </c>
    </row>
    <row r="137" spans="1:10" x14ac:dyDescent="0.25">
      <c r="B137" s="30" t="s">
        <v>826</v>
      </c>
    </row>
    <row r="140" spans="1:10" s="26" customFormat="1" ht="53.25" customHeight="1" x14ac:dyDescent="0.25">
      <c r="A140" s="32" t="s">
        <v>394</v>
      </c>
    </row>
    <row r="141" spans="1:10" ht="17.25" x14ac:dyDescent="0.35">
      <c r="A141" s="27" t="s">
        <v>396</v>
      </c>
      <c r="B141" s="17">
        <f>B145*(C145+D145*E145/(F145*G145))*H145/I145</f>
        <v>38364.285714285717</v>
      </c>
    </row>
    <row r="142" spans="1:10" x14ac:dyDescent="0.25">
      <c r="A142" s="18" t="s">
        <v>125</v>
      </c>
      <c r="B142" s="18" t="s">
        <v>397</v>
      </c>
    </row>
    <row r="143" spans="1:10" s="19" customFormat="1" ht="51.75" x14ac:dyDescent="0.25">
      <c r="A143" s="24" t="s">
        <v>9</v>
      </c>
      <c r="B143" s="28" t="s">
        <v>398</v>
      </c>
      <c r="C143" s="28" t="s">
        <v>399</v>
      </c>
      <c r="D143" s="28" t="s">
        <v>400</v>
      </c>
      <c r="E143" s="28" t="s">
        <v>401</v>
      </c>
      <c r="F143" s="28" t="s">
        <v>402</v>
      </c>
      <c r="G143" s="28" t="s">
        <v>403</v>
      </c>
      <c r="H143" s="29" t="s">
        <v>404</v>
      </c>
      <c r="I143" s="29" t="s">
        <v>405</v>
      </c>
      <c r="J143" s="29"/>
    </row>
    <row r="144" spans="1:10" ht="18" thickBot="1" x14ac:dyDescent="0.4">
      <c r="A144" s="18" t="s">
        <v>752</v>
      </c>
      <c r="B144" s="16" t="s">
        <v>2</v>
      </c>
      <c r="C144" s="16" t="s">
        <v>2</v>
      </c>
      <c r="D144" s="16" t="s">
        <v>2</v>
      </c>
      <c r="E144" s="16" t="s">
        <v>1</v>
      </c>
      <c r="F144" s="16" t="s">
        <v>1</v>
      </c>
      <c r="G144" s="16" t="s">
        <v>1</v>
      </c>
      <c r="H144" s="16" t="s">
        <v>1</v>
      </c>
      <c r="I144" s="16" t="s">
        <v>1</v>
      </c>
    </row>
    <row r="145" spans="1:10" ht="18" thickBot="1" x14ac:dyDescent="0.4">
      <c r="A145" s="18" t="s">
        <v>57</v>
      </c>
      <c r="B145" s="184">
        <f t="shared" ref="B145:I145" si="6">IF(B144=$I$2,B146,B147)</f>
        <v>96</v>
      </c>
      <c r="C145" s="184">
        <f t="shared" si="6"/>
        <v>9.9999999999999995E-8</v>
      </c>
      <c r="D145" s="185">
        <f t="shared" si="6"/>
        <v>32</v>
      </c>
      <c r="E145" s="184">
        <f t="shared" si="6"/>
        <v>32000</v>
      </c>
      <c r="F145" s="184">
        <f t="shared" si="6"/>
        <v>240000000000</v>
      </c>
      <c r="G145" s="185">
        <f t="shared" si="6"/>
        <v>1</v>
      </c>
      <c r="H145" s="184">
        <f t="shared" si="6"/>
        <v>410000000000</v>
      </c>
      <c r="I145" s="184">
        <f t="shared" si="6"/>
        <v>4480</v>
      </c>
    </row>
    <row r="146" spans="1:10" ht="17.25" x14ac:dyDescent="0.35">
      <c r="A146" s="18" t="s">
        <v>58</v>
      </c>
      <c r="B146" s="16"/>
      <c r="C146" s="16"/>
      <c r="D146" s="35"/>
      <c r="E146" s="16">
        <f>4000*8</f>
        <v>32000</v>
      </c>
      <c r="F146" s="16">
        <v>240000000000</v>
      </c>
      <c r="G146" s="35">
        <v>1</v>
      </c>
      <c r="H146" s="16">
        <f>I19</f>
        <v>410000000000</v>
      </c>
      <c r="I146" s="16">
        <v>4480</v>
      </c>
    </row>
    <row r="147" spans="1:10" ht="17.25" x14ac:dyDescent="0.35">
      <c r="A147" s="18" t="s">
        <v>59</v>
      </c>
      <c r="B147" s="5">
        <f>C18</f>
        <v>96</v>
      </c>
      <c r="C147" s="5">
        <f>B74</f>
        <v>9.9999999999999995E-8</v>
      </c>
      <c r="D147" s="38">
        <f>G7</f>
        <v>32</v>
      </c>
      <c r="E147" s="5"/>
      <c r="F147" s="5"/>
      <c r="G147" s="5"/>
      <c r="H147" s="5"/>
      <c r="I147" s="5"/>
    </row>
    <row r="148" spans="1:10" x14ac:dyDescent="0.25">
      <c r="A148" s="18" t="s">
        <v>753</v>
      </c>
      <c r="B148" s="18" t="s">
        <v>827</v>
      </c>
      <c r="C148" s="18" t="s">
        <v>813</v>
      </c>
    </row>
    <row r="153" spans="1:10" s="26" customFormat="1" ht="53.25" customHeight="1" x14ac:dyDescent="0.25">
      <c r="A153" s="32" t="s">
        <v>828</v>
      </c>
      <c r="B153" s="26" t="s">
        <v>818</v>
      </c>
    </row>
    <row r="154" spans="1:10" ht="17.25" x14ac:dyDescent="0.35">
      <c r="A154" s="27" t="s">
        <v>829</v>
      </c>
      <c r="B154" s="17" t="s">
        <v>823</v>
      </c>
    </row>
    <row r="155" spans="1:10" x14ac:dyDescent="0.25">
      <c r="A155" s="18" t="s">
        <v>125</v>
      </c>
    </row>
    <row r="156" spans="1:10" s="19" customFormat="1" ht="17.25" x14ac:dyDescent="0.25">
      <c r="A156" s="24" t="s">
        <v>9</v>
      </c>
      <c r="B156" s="28"/>
      <c r="C156" s="28"/>
      <c r="D156" s="28"/>
      <c r="E156" s="28"/>
      <c r="F156" s="28"/>
      <c r="G156" s="29"/>
      <c r="H156" s="29"/>
      <c r="I156" s="29"/>
      <c r="J156" s="29"/>
    </row>
    <row r="157" spans="1:10" ht="18" thickBot="1" x14ac:dyDescent="0.4">
      <c r="A157" s="18" t="s">
        <v>752</v>
      </c>
      <c r="B157" s="16" t="s">
        <v>2</v>
      </c>
      <c r="C157" s="16" t="s">
        <v>1</v>
      </c>
      <c r="D157" s="16" t="s">
        <v>1</v>
      </c>
      <c r="E157" s="16" t="s">
        <v>1</v>
      </c>
      <c r="F157" s="16" t="s">
        <v>1</v>
      </c>
    </row>
    <row r="158" spans="1:10" ht="18" thickBot="1" x14ac:dyDescent="0.4">
      <c r="A158" s="18" t="s">
        <v>57</v>
      </c>
      <c r="B158" s="184"/>
      <c r="C158" s="184">
        <f>IF(C157=$I$2,C159,C160)</f>
        <v>0</v>
      </c>
      <c r="D158" s="184">
        <f>IF(D157=$I$2,D159,D160)</f>
        <v>0</v>
      </c>
      <c r="E158" s="184">
        <f>IF(E157=$I$2,E159,E160)</f>
        <v>0</v>
      </c>
      <c r="F158" s="184">
        <f>IF(F157=$I$2,F159,F160)</f>
        <v>0</v>
      </c>
      <c r="G158" s="184"/>
      <c r="H158" s="184"/>
      <c r="I158" s="184"/>
    </row>
    <row r="159" spans="1:10" ht="17.25" x14ac:dyDescent="0.35">
      <c r="A159" s="18" t="s">
        <v>58</v>
      </c>
      <c r="B159" s="16"/>
      <c r="C159" s="16"/>
      <c r="D159" s="16"/>
      <c r="E159" s="16"/>
      <c r="F159" s="16"/>
    </row>
    <row r="160" spans="1:10" ht="17.25" x14ac:dyDescent="0.35">
      <c r="A160" s="18" t="s">
        <v>59</v>
      </c>
      <c r="B160" s="5"/>
      <c r="C160" s="5"/>
      <c r="D160" s="5"/>
      <c r="E160" s="5"/>
      <c r="F160" s="5"/>
    </row>
    <row r="161" spans="1:2" x14ac:dyDescent="0.25">
      <c r="A161" s="18" t="s">
        <v>753</v>
      </c>
    </row>
    <row r="169" spans="1:2" s="26" customFormat="1" ht="53.25" customHeight="1" x14ac:dyDescent="0.25">
      <c r="A169" s="32" t="s">
        <v>417</v>
      </c>
    </row>
    <row r="171" spans="1:2" x14ac:dyDescent="0.25">
      <c r="A171" s="18" t="s">
        <v>428</v>
      </c>
      <c r="B171" s="18" t="s">
        <v>419</v>
      </c>
    </row>
    <row r="172" spans="1:2" x14ac:dyDescent="0.25">
      <c r="A172" s="33" t="s">
        <v>830</v>
      </c>
      <c r="B172" s="33" t="s">
        <v>831</v>
      </c>
    </row>
    <row r="173" spans="1:2" x14ac:dyDescent="0.25">
      <c r="A173" s="18" t="s">
        <v>832</v>
      </c>
      <c r="B173" s="18" t="s">
        <v>421</v>
      </c>
    </row>
    <row r="174" spans="1:2" x14ac:dyDescent="0.25">
      <c r="A174" s="18" t="s">
        <v>428</v>
      </c>
      <c r="B174" s="18" t="s">
        <v>423</v>
      </c>
    </row>
    <row r="175" spans="1:2" x14ac:dyDescent="0.25">
      <c r="A175" s="18" t="s">
        <v>424</v>
      </c>
      <c r="B175" s="18" t="s">
        <v>425</v>
      </c>
    </row>
    <row r="176" spans="1:2" x14ac:dyDescent="0.25">
      <c r="A176" s="18" t="s">
        <v>424</v>
      </c>
      <c r="B176" s="18" t="s">
        <v>426</v>
      </c>
    </row>
    <row r="177" spans="1:2" x14ac:dyDescent="0.25">
      <c r="A177" s="18" t="s">
        <v>424</v>
      </c>
      <c r="B177" s="18" t="s">
        <v>427</v>
      </c>
    </row>
    <row r="184" spans="1:2" x14ac:dyDescent="0.25">
      <c r="A184" s="18" t="s">
        <v>833</v>
      </c>
    </row>
    <row r="185" spans="1:2" x14ac:dyDescent="0.25">
      <c r="A185" s="18" t="s">
        <v>428</v>
      </c>
      <c r="B185" s="18" t="s">
        <v>834</v>
      </c>
    </row>
    <row r="186" spans="1:2" x14ac:dyDescent="0.25">
      <c r="A186" s="43" t="s">
        <v>830</v>
      </c>
      <c r="B186" s="43" t="s">
        <v>835</v>
      </c>
    </row>
    <row r="187" spans="1:2" x14ac:dyDescent="0.25">
      <c r="A187" s="43" t="s">
        <v>830</v>
      </c>
      <c r="B187" s="43" t="s">
        <v>836</v>
      </c>
    </row>
    <row r="188" spans="1:2" x14ac:dyDescent="0.25">
      <c r="A188" s="33" t="s">
        <v>830</v>
      </c>
      <c r="B188" s="33" t="s">
        <v>837</v>
      </c>
    </row>
    <row r="189" spans="1:2" x14ac:dyDescent="0.25">
      <c r="A189" s="33" t="s">
        <v>830</v>
      </c>
      <c r="B189" s="33" t="s">
        <v>838</v>
      </c>
    </row>
    <row r="190" spans="1:2" x14ac:dyDescent="0.25">
      <c r="A190" s="33" t="s">
        <v>830</v>
      </c>
      <c r="B190" s="33" t="s">
        <v>839</v>
      </c>
    </row>
    <row r="191" spans="1:2" x14ac:dyDescent="0.25">
      <c r="A191" s="33" t="s">
        <v>840</v>
      </c>
      <c r="B191" s="33" t="s">
        <v>841</v>
      </c>
    </row>
    <row r="192" spans="1:2" x14ac:dyDescent="0.25">
      <c r="A192" s="33" t="s">
        <v>830</v>
      </c>
      <c r="B192" s="33" t="s">
        <v>842</v>
      </c>
    </row>
    <row r="193" spans="1:3" x14ac:dyDescent="0.25">
      <c r="A193" s="18" t="s">
        <v>428</v>
      </c>
      <c r="B193" s="18" t="s">
        <v>430</v>
      </c>
    </row>
    <row r="194" spans="1:3" s="43" customFormat="1" x14ac:dyDescent="0.25">
      <c r="A194" s="43" t="s">
        <v>832</v>
      </c>
      <c r="B194" s="43" t="s">
        <v>843</v>
      </c>
    </row>
    <row r="195" spans="1:3" x14ac:dyDescent="0.25">
      <c r="B195" s="18" t="s">
        <v>844</v>
      </c>
      <c r="C195" s="18" t="s">
        <v>845</v>
      </c>
    </row>
    <row r="196" spans="1:3" x14ac:dyDescent="0.25">
      <c r="B196" s="18" t="s">
        <v>846</v>
      </c>
      <c r="C196" s="18" t="s">
        <v>847</v>
      </c>
    </row>
  </sheetData>
  <conditionalFormatting sqref="B51">
    <cfRule type="containsText" dxfId="12" priority="2" operator="containsText" text="calculated">
      <formula>NOT(ISERROR(SEARCH("calculated",B51)))</formula>
    </cfRule>
  </conditionalFormatting>
  <conditionalFormatting sqref="B17:K17 B29:K29 B40:C40 B62:G62 B73:H73 B86:J86 B98:H98 B108:F108 B120:F120 B132:G132 B144:I144 B157:F157">
    <cfRule type="containsText" dxfId="11" priority="4" operator="containsText" text="calculated">
      <formula>NOT(ISERROR(SEARCH("calculated",B17)))</formula>
    </cfRule>
  </conditionalFormatting>
  <dataValidations count="2">
    <dataValidation type="list" allowBlank="1" showInputMessage="1" showErrorMessage="1" sqref="G8" xr:uid="{ECF72638-B63E-42DE-938A-88E67DB1BACD}">
      <formula1>$G$9:$G$10</formula1>
    </dataValidation>
    <dataValidation type="list" allowBlank="1" showInputMessage="1" showErrorMessage="1" sqref="B7:D7 B62:G62 B132:G132 B120:F120 B108:F108 B144:I144 B51 B98:H98 B73:H73 B157:F157 B29:K29 B17:K17 B40:C40 B86:J86" xr:uid="{D9935A34-BCE5-44A4-A8B3-BDB50479B4CB}">
      <formula1>$I$2:$J$2</formula1>
    </dataValidation>
  </dataValidations>
  <pageMargins left="0.7" right="0.7" top="0.75" bottom="0.75" header="0.3" footer="0.3"/>
  <pageSetup paperSize="9" orientation="portrait" r:id="rId1"/>
  <headerFooter>
    <oddFooter>&amp;R&amp;1#&amp;"Calibri"&amp;8&amp;K000000strictly confidential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dimension ref="A1:L80"/>
  <sheetViews>
    <sheetView workbookViewId="0"/>
  </sheetViews>
  <sheetFormatPr defaultRowHeight="15" x14ac:dyDescent="0.25"/>
  <cols>
    <col min="1" max="1" width="15.42578125" customWidth="1"/>
    <col min="2" max="2" width="18.7109375" customWidth="1"/>
    <col min="3" max="3" width="15.5703125" customWidth="1"/>
    <col min="4" max="4" width="25.42578125" customWidth="1"/>
    <col min="5" max="5" width="18" customWidth="1"/>
    <col min="6" max="6" width="14.28515625" customWidth="1"/>
    <col min="7" max="7" width="14.5703125" customWidth="1"/>
    <col min="8" max="8" width="17.42578125" customWidth="1"/>
    <col min="9" max="9" width="18.85546875" customWidth="1"/>
    <col min="10" max="10" width="17.140625" customWidth="1"/>
    <col min="11" max="11" width="9.42578125" customWidth="1"/>
  </cols>
  <sheetData>
    <row r="1" spans="1:12" s="2" customFormat="1" ht="27" thickBot="1" x14ac:dyDescent="0.45">
      <c r="A1" s="1" t="s">
        <v>848</v>
      </c>
    </row>
    <row r="2" spans="1:12" s="205" customFormat="1" ht="20.100000000000001" customHeight="1" thickBot="1" x14ac:dyDescent="0.3">
      <c r="A2" s="205" t="s">
        <v>212</v>
      </c>
    </row>
    <row r="3" spans="1:12" s="205" customFormat="1" ht="20.100000000000001" customHeight="1" x14ac:dyDescent="0.25">
      <c r="A3" s="206"/>
      <c r="B3" s="206"/>
      <c r="C3" s="206"/>
      <c r="D3" s="206"/>
      <c r="E3" s="206"/>
      <c r="F3" s="206"/>
      <c r="G3" s="206"/>
      <c r="H3" s="206"/>
      <c r="I3" s="206"/>
      <c r="J3" s="206"/>
    </row>
    <row r="5" spans="1:12" s="4" customFormat="1" ht="87.75" x14ac:dyDescent="0.25">
      <c r="A5" s="10" t="s">
        <v>849</v>
      </c>
      <c r="B5" s="10" t="s">
        <v>850</v>
      </c>
      <c r="C5" s="10" t="s">
        <v>851</v>
      </c>
      <c r="D5" s="10" t="s">
        <v>852</v>
      </c>
      <c r="E5" s="10" t="s">
        <v>853</v>
      </c>
      <c r="F5" s="10" t="s">
        <v>854</v>
      </c>
      <c r="G5" s="10" t="s">
        <v>855</v>
      </c>
      <c r="H5" s="10" t="s">
        <v>856</v>
      </c>
      <c r="I5" s="10" t="s">
        <v>857</v>
      </c>
      <c r="J5" s="10" t="s">
        <v>858</v>
      </c>
      <c r="K5" s="10" t="s">
        <v>859</v>
      </c>
      <c r="L5" s="11" t="s">
        <v>860</v>
      </c>
    </row>
    <row r="6" spans="1:12" ht="17.25" x14ac:dyDescent="0.35">
      <c r="A6" s="6">
        <v>5</v>
      </c>
      <c r="B6" s="5">
        <v>1000000</v>
      </c>
      <c r="C6" s="6">
        <v>100</v>
      </c>
      <c r="D6" s="6">
        <v>1</v>
      </c>
      <c r="E6" s="3">
        <v>3</v>
      </c>
      <c r="F6" s="6">
        <f>B76</f>
        <v>0</v>
      </c>
      <c r="G6" s="6">
        <f>B79*B80</f>
        <v>0</v>
      </c>
      <c r="H6" s="6">
        <v>5</v>
      </c>
      <c r="I6" s="6">
        <v>1</v>
      </c>
      <c r="J6" s="6" cm="1">
        <f t="array" aca="1" ref="J6" ca="1">INDIRECT(_xlfn.CONCAT("D",SUM(ROW(D5),E6)))</f>
        <v>50</v>
      </c>
      <c r="K6" s="6">
        <f ca="1">B66</f>
        <v>1</v>
      </c>
      <c r="L6" s="6"/>
    </row>
    <row r="7" spans="1:12" ht="17.25" x14ac:dyDescent="0.35">
      <c r="C7" s="6">
        <v>10</v>
      </c>
      <c r="D7" s="6">
        <v>10</v>
      </c>
    </row>
    <row r="8" spans="1:12" ht="17.25" x14ac:dyDescent="0.35">
      <c r="C8" s="6">
        <v>1</v>
      </c>
      <c r="D8" s="6">
        <v>50</v>
      </c>
    </row>
    <row r="9" spans="1:12" ht="17.25" x14ac:dyDescent="0.35">
      <c r="C9" s="6"/>
      <c r="D9" s="6"/>
    </row>
    <row r="10" spans="1:12" ht="17.25" x14ac:dyDescent="0.35">
      <c r="C10" s="6"/>
      <c r="D10" s="6"/>
    </row>
    <row r="13" spans="1:12" ht="18" thickBot="1" x14ac:dyDescent="0.4">
      <c r="A13" s="204" t="s">
        <v>861</v>
      </c>
      <c r="B13" s="204"/>
      <c r="C13" s="204"/>
      <c r="D13" s="204"/>
      <c r="E13" s="204"/>
      <c r="F13" s="204"/>
      <c r="G13" s="204"/>
      <c r="H13" s="204"/>
      <c r="I13" s="204"/>
      <c r="J13" s="204"/>
    </row>
    <row r="14" spans="1:12" ht="15.75" thickTop="1" x14ac:dyDescent="0.25"/>
    <row r="25" spans="1:2" ht="17.25" x14ac:dyDescent="0.35">
      <c r="A25" s="9" t="s">
        <v>862</v>
      </c>
      <c r="B25" s="64">
        <f>B6/A6</f>
        <v>200000</v>
      </c>
    </row>
    <row r="26" spans="1:2" ht="17.25" x14ac:dyDescent="0.35">
      <c r="A26" s="9" t="s">
        <v>863</v>
      </c>
      <c r="B26" s="7">
        <f>F6*(G6 +H6)</f>
        <v>0</v>
      </c>
    </row>
    <row r="27" spans="1:2" ht="17.25" x14ac:dyDescent="0.35">
      <c r="A27" s="9" t="s">
        <v>864</v>
      </c>
      <c r="B27" s="7">
        <f ca="1">SUMPRODUCT(C6:INDIRECT(_xlfn.CONCAT("C",SUM(E6,ROW(C5)))),D6:INDIRECT(_xlfn.CONCAT("D",SUM(E6,ROW(C5)))))</f>
        <v>250</v>
      </c>
    </row>
    <row r="28" spans="1:2" ht="17.25" x14ac:dyDescent="0.35">
      <c r="A28" s="9" t="s">
        <v>865</v>
      </c>
      <c r="B28" s="7">
        <f ca="1">(H6*I6)/J6</f>
        <v>0.1</v>
      </c>
    </row>
    <row r="29" spans="1:2" ht="17.25" x14ac:dyDescent="0.35">
      <c r="A29" s="9" t="s">
        <v>866</v>
      </c>
      <c r="B29" s="64">
        <f ca="1">SUM(B25:B28) +L6</f>
        <v>200250.1</v>
      </c>
    </row>
    <row r="32" spans="1:2" s="207" customFormat="1" x14ac:dyDescent="0.25">
      <c r="A32" s="207" t="s">
        <v>867</v>
      </c>
    </row>
    <row r="33" spans="1:11" s="207" customFormat="1" ht="20.100000000000001" customHeight="1" x14ac:dyDescent="0.25"/>
    <row r="34" spans="1:11" ht="20.100000000000001" customHeight="1" x14ac:dyDescent="0.25"/>
    <row r="35" spans="1:11" ht="18" thickBot="1" x14ac:dyDescent="0.4">
      <c r="A35" s="204" t="s">
        <v>868</v>
      </c>
      <c r="B35" s="204"/>
      <c r="C35" s="204"/>
      <c r="D35" s="204"/>
      <c r="E35" s="204"/>
      <c r="F35" s="204"/>
      <c r="G35" s="204"/>
      <c r="H35" s="204"/>
      <c r="I35" s="204"/>
      <c r="J35" s="204"/>
    </row>
    <row r="36" spans="1:11" ht="15.75" thickTop="1" x14ac:dyDescent="0.25"/>
    <row r="46" spans="1:11" s="8" customFormat="1" ht="106.5" x14ac:dyDescent="0.25">
      <c r="A46" s="11" t="s">
        <v>869</v>
      </c>
      <c r="B46" s="11" t="s">
        <v>870</v>
      </c>
      <c r="C46" s="11" t="s">
        <v>871</v>
      </c>
      <c r="D46" s="11" t="s">
        <v>872</v>
      </c>
      <c r="E46" s="11" t="s">
        <v>873</v>
      </c>
      <c r="F46" s="11" t="s">
        <v>874</v>
      </c>
      <c r="G46" s="11" t="s">
        <v>875</v>
      </c>
      <c r="H46" s="11" t="s">
        <v>876</v>
      </c>
      <c r="I46" s="11" t="s">
        <v>877</v>
      </c>
      <c r="J46" s="11" t="s">
        <v>878</v>
      </c>
      <c r="K46"/>
    </row>
    <row r="47" spans="1:11" x14ac:dyDescent="0.25">
      <c r="A47">
        <v>6</v>
      </c>
      <c r="B47">
        <v>256</v>
      </c>
    </row>
    <row r="50" spans="1:10" ht="31.5" x14ac:dyDescent="0.35">
      <c r="A50" s="61" t="s">
        <v>879</v>
      </c>
      <c r="B50" s="6" t="e">
        <f>B47/(D47*C47)</f>
        <v>#DIV/0!</v>
      </c>
    </row>
    <row r="51" spans="1:10" ht="17.25" x14ac:dyDescent="0.35">
      <c r="A51" s="61" t="s">
        <v>880</v>
      </c>
      <c r="B51" s="38" t="e">
        <f>B6/E47</f>
        <v>#DIV/0!</v>
      </c>
    </row>
    <row r="52" spans="1:10" ht="31.5" x14ac:dyDescent="0.35">
      <c r="A52" s="61" t="s">
        <v>881</v>
      </c>
      <c r="B52" s="38" t="e">
        <f>F47/G47</f>
        <v>#DIV/0!</v>
      </c>
    </row>
    <row r="53" spans="1:10" ht="46.5" x14ac:dyDescent="0.35">
      <c r="A53" s="61" t="s">
        <v>882</v>
      </c>
      <c r="B53" s="38" t="e">
        <f>B6/B52</f>
        <v>#DIV/0!</v>
      </c>
    </row>
    <row r="54" spans="1:10" ht="46.5" x14ac:dyDescent="0.35">
      <c r="A54" s="61" t="s">
        <v>883</v>
      </c>
      <c r="B54" s="38" t="e">
        <f>J47*H47/I47</f>
        <v>#DIV/0!</v>
      </c>
    </row>
    <row r="55" spans="1:10" ht="61.5" x14ac:dyDescent="0.35">
      <c r="A55" s="61" t="s">
        <v>884</v>
      </c>
      <c r="B55" s="38" t="e">
        <f>B6/B54</f>
        <v>#DIV/0!</v>
      </c>
    </row>
    <row r="58" spans="1:10" ht="18" thickBot="1" x14ac:dyDescent="0.4">
      <c r="A58" s="204" t="s">
        <v>885</v>
      </c>
      <c r="B58" s="204"/>
      <c r="C58" s="204"/>
      <c r="D58" s="204"/>
      <c r="E58" s="204"/>
      <c r="F58" s="204"/>
      <c r="G58" s="204"/>
      <c r="H58" s="204"/>
      <c r="I58" s="204"/>
      <c r="J58" s="204"/>
    </row>
    <row r="59" spans="1:10" ht="15.75" thickTop="1" x14ac:dyDescent="0.25"/>
    <row r="63" spans="1:10" ht="139.5" x14ac:dyDescent="0.25">
      <c r="A63" s="11" t="s">
        <v>886</v>
      </c>
      <c r="B63" s="11" t="s">
        <v>887</v>
      </c>
      <c r="C63" s="11" t="s">
        <v>888</v>
      </c>
      <c r="D63" s="11" t="s">
        <v>889</v>
      </c>
    </row>
    <row r="64" spans="1:10" x14ac:dyDescent="0.25">
      <c r="A64" s="4">
        <v>0</v>
      </c>
      <c r="B64">
        <v>4</v>
      </c>
      <c r="C64">
        <f ca="1">J6</f>
        <v>50</v>
      </c>
      <c r="D64">
        <v>37.5</v>
      </c>
    </row>
    <row r="65" spans="1:10" x14ac:dyDescent="0.25">
      <c r="A65" s="4"/>
    </row>
    <row r="66" spans="1:10" s="4" customFormat="1" ht="51.75" x14ac:dyDescent="0.35">
      <c r="A66" s="65" t="s">
        <v>890</v>
      </c>
      <c r="B66" s="66">
        <f ca="1">A64+B64*((C64-D64)/C64)</f>
        <v>1</v>
      </c>
    </row>
    <row r="69" spans="1:10" ht="18" thickBot="1" x14ac:dyDescent="0.4">
      <c r="A69" s="204" t="s">
        <v>891</v>
      </c>
      <c r="B69" s="204"/>
      <c r="C69" s="204"/>
      <c r="D69" s="204"/>
      <c r="E69" s="204"/>
      <c r="F69" s="204"/>
      <c r="G69" s="204"/>
      <c r="H69" s="204"/>
      <c r="I69" s="204"/>
      <c r="J69" s="204"/>
    </row>
    <row r="70" spans="1:10" ht="15.75" thickTop="1" x14ac:dyDescent="0.25"/>
    <row r="75" spans="1:10" ht="17.25" x14ac:dyDescent="0.35">
      <c r="A75" s="65" t="s">
        <v>892</v>
      </c>
      <c r="B75" s="6"/>
    </row>
    <row r="76" spans="1:10" ht="34.5" x14ac:dyDescent="0.35">
      <c r="A76" s="65" t="s">
        <v>893</v>
      </c>
      <c r="B76" s="6"/>
    </row>
    <row r="77" spans="1:10" ht="51.75" x14ac:dyDescent="0.35">
      <c r="A77" s="65" t="s">
        <v>894</v>
      </c>
      <c r="B77" s="67" t="e">
        <f>B6/B76</f>
        <v>#DIV/0!</v>
      </c>
    </row>
    <row r="78" spans="1:10" ht="51.75" x14ac:dyDescent="0.35">
      <c r="A78" s="68" t="s">
        <v>895</v>
      </c>
      <c r="B78" s="6"/>
    </row>
    <row r="79" spans="1:10" ht="103.5" x14ac:dyDescent="0.35">
      <c r="A79" s="65" t="s">
        <v>896</v>
      </c>
      <c r="B79" s="6"/>
    </row>
    <row r="80" spans="1:10" ht="51.75" x14ac:dyDescent="0.35">
      <c r="A80" s="65" t="s">
        <v>897</v>
      </c>
      <c r="B80" s="3"/>
    </row>
  </sheetData>
  <mergeCells count="6">
    <mergeCell ref="A69:J69"/>
    <mergeCell ref="A2:XFD3"/>
    <mergeCell ref="A13:J13"/>
    <mergeCell ref="A32:XFD33"/>
    <mergeCell ref="A35:J35"/>
    <mergeCell ref="A58:J58"/>
  </mergeCells>
  <pageMargins left="0.7" right="0.7" top="0.75" bottom="0.75" header="0.3" footer="0.3"/>
  <pageSetup paperSize="9" orientation="portrait" r:id="rId1"/>
  <headerFooter>
    <oddFooter>&amp;R&amp;1#&amp;"Calibri"&amp;8&amp;K000000strictly confidential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217F-4B8B-4112-BA98-769403FCFA7B}">
  <sheetPr codeName="Sheet18"/>
  <dimension ref="A1:M62"/>
  <sheetViews>
    <sheetView workbookViewId="0"/>
  </sheetViews>
  <sheetFormatPr defaultRowHeight="15" x14ac:dyDescent="0.25"/>
  <cols>
    <col min="1" max="1" width="21.140625" customWidth="1"/>
    <col min="2" max="2" width="25.42578125" customWidth="1"/>
  </cols>
  <sheetData>
    <row r="1" spans="1:13" x14ac:dyDescent="0.25">
      <c r="A1" t="s">
        <v>898</v>
      </c>
      <c r="B1" t="s">
        <v>899</v>
      </c>
      <c r="C1" t="s">
        <v>900</v>
      </c>
      <c r="D1" t="s">
        <v>901</v>
      </c>
      <c r="L1" t="s">
        <v>902</v>
      </c>
      <c r="M1" t="s">
        <v>903</v>
      </c>
    </row>
    <row r="2" spans="1:13" x14ac:dyDescent="0.25">
      <c r="A2" t="s">
        <v>904</v>
      </c>
      <c r="M2" t="s">
        <v>905</v>
      </c>
    </row>
    <row r="3" spans="1:13" x14ac:dyDescent="0.25">
      <c r="M3" t="s">
        <v>906</v>
      </c>
    </row>
    <row r="4" spans="1:13" x14ac:dyDescent="0.25">
      <c r="M4" t="s">
        <v>907</v>
      </c>
    </row>
    <row r="5" spans="1:13" x14ac:dyDescent="0.25">
      <c r="M5" t="s">
        <v>908</v>
      </c>
    </row>
    <row r="6" spans="1:13" x14ac:dyDescent="0.25">
      <c r="L6" t="s">
        <v>909</v>
      </c>
    </row>
    <row r="7" spans="1:13" x14ac:dyDescent="0.25">
      <c r="B7" t="s">
        <v>910</v>
      </c>
      <c r="C7" t="s">
        <v>911</v>
      </c>
      <c r="M7" t="s">
        <v>912</v>
      </c>
    </row>
    <row r="8" spans="1:13" x14ac:dyDescent="0.25">
      <c r="M8" t="s">
        <v>913</v>
      </c>
    </row>
    <row r="9" spans="1:13" x14ac:dyDescent="0.25">
      <c r="B9" s="12" t="s">
        <v>914</v>
      </c>
      <c r="M9" t="s">
        <v>915</v>
      </c>
    </row>
    <row r="10" spans="1:13" x14ac:dyDescent="0.25">
      <c r="B10" t="s">
        <v>916</v>
      </c>
      <c r="C10" t="s">
        <v>917</v>
      </c>
      <c r="D10" t="s">
        <v>918</v>
      </c>
      <c r="M10" t="s">
        <v>919</v>
      </c>
    </row>
    <row r="11" spans="1:13" x14ac:dyDescent="0.25">
      <c r="B11" t="s">
        <v>920</v>
      </c>
      <c r="C11" t="s">
        <v>917</v>
      </c>
      <c r="M11" t="s">
        <v>921</v>
      </c>
    </row>
    <row r="12" spans="1:13" x14ac:dyDescent="0.25">
      <c r="B12" t="s">
        <v>922</v>
      </c>
      <c r="C12" t="s">
        <v>917</v>
      </c>
      <c r="M12" t="s">
        <v>923</v>
      </c>
    </row>
    <row r="13" spans="1:13" x14ac:dyDescent="0.25">
      <c r="B13" t="s">
        <v>924</v>
      </c>
      <c r="C13" t="s">
        <v>917</v>
      </c>
      <c r="M13" t="s">
        <v>925</v>
      </c>
    </row>
    <row r="14" spans="1:13" x14ac:dyDescent="0.25">
      <c r="B14" t="s">
        <v>926</v>
      </c>
      <c r="C14" t="s">
        <v>917</v>
      </c>
      <c r="M14" t="s">
        <v>927</v>
      </c>
    </row>
    <row r="15" spans="1:13" x14ac:dyDescent="0.25">
      <c r="B15" t="s">
        <v>928</v>
      </c>
      <c r="C15" t="s">
        <v>917</v>
      </c>
      <c r="M15" t="s">
        <v>929</v>
      </c>
    </row>
    <row r="16" spans="1:13" x14ac:dyDescent="0.25">
      <c r="L16" t="s">
        <v>930</v>
      </c>
    </row>
    <row r="17" spans="1:13" x14ac:dyDescent="0.25">
      <c r="B17" t="s">
        <v>931</v>
      </c>
      <c r="C17" t="s">
        <v>932</v>
      </c>
      <c r="M17" t="s">
        <v>933</v>
      </c>
    </row>
    <row r="18" spans="1:13" x14ac:dyDescent="0.25">
      <c r="B18" t="s">
        <v>934</v>
      </c>
      <c r="C18" t="s">
        <v>932</v>
      </c>
      <c r="D18">
        <v>1</v>
      </c>
      <c r="M18" t="s">
        <v>935</v>
      </c>
    </row>
    <row r="19" spans="1:13" x14ac:dyDescent="0.25">
      <c r="B19" t="s">
        <v>936</v>
      </c>
      <c r="C19" t="s">
        <v>917</v>
      </c>
      <c r="M19" t="s">
        <v>937</v>
      </c>
    </row>
    <row r="20" spans="1:13" x14ac:dyDescent="0.25">
      <c r="M20" t="s">
        <v>938</v>
      </c>
    </row>
    <row r="21" spans="1:13" x14ac:dyDescent="0.25">
      <c r="B21" t="s">
        <v>939</v>
      </c>
      <c r="C21" t="s">
        <v>932</v>
      </c>
      <c r="M21" t="s">
        <v>940</v>
      </c>
    </row>
    <row r="22" spans="1:13" x14ac:dyDescent="0.25">
      <c r="B22" t="s">
        <v>941</v>
      </c>
      <c r="C22" t="s">
        <v>942</v>
      </c>
      <c r="M22" t="s">
        <v>943</v>
      </c>
    </row>
    <row r="23" spans="1:13" x14ac:dyDescent="0.25">
      <c r="M23" t="s">
        <v>944</v>
      </c>
    </row>
    <row r="24" spans="1:13" x14ac:dyDescent="0.25">
      <c r="M24" t="s">
        <v>945</v>
      </c>
    </row>
    <row r="25" spans="1:13" x14ac:dyDescent="0.25">
      <c r="B25" s="12" t="s">
        <v>946</v>
      </c>
      <c r="M25" t="s">
        <v>947</v>
      </c>
    </row>
    <row r="26" spans="1:13" x14ac:dyDescent="0.25">
      <c r="M26" t="s">
        <v>948</v>
      </c>
    </row>
    <row r="27" spans="1:13" x14ac:dyDescent="0.25">
      <c r="A27" t="s">
        <v>949</v>
      </c>
      <c r="B27" t="s">
        <v>950</v>
      </c>
      <c r="D27" t="s">
        <v>951</v>
      </c>
      <c r="M27" t="s">
        <v>952</v>
      </c>
    </row>
    <row r="28" spans="1:13" x14ac:dyDescent="0.25">
      <c r="B28" t="s">
        <v>953</v>
      </c>
      <c r="D28" t="s">
        <v>954</v>
      </c>
    </row>
    <row r="29" spans="1:13" x14ac:dyDescent="0.25">
      <c r="B29" t="s">
        <v>955</v>
      </c>
      <c r="D29" t="s">
        <v>956</v>
      </c>
    </row>
    <row r="30" spans="1:13" x14ac:dyDescent="0.25">
      <c r="B30" t="s">
        <v>957</v>
      </c>
    </row>
    <row r="31" spans="1:13" x14ac:dyDescent="0.25">
      <c r="B31" t="s">
        <v>958</v>
      </c>
    </row>
    <row r="32" spans="1:13" x14ac:dyDescent="0.25">
      <c r="B32" t="s">
        <v>959</v>
      </c>
    </row>
    <row r="33" spans="1:4" x14ac:dyDescent="0.25">
      <c r="B33" t="s">
        <v>960</v>
      </c>
    </row>
    <row r="34" spans="1:4" x14ac:dyDescent="0.25">
      <c r="B34" t="str">
        <f>" -  dependent"</f>
        <v xml:space="preserve"> -  dependent</v>
      </c>
    </row>
    <row r="35" spans="1:4" x14ac:dyDescent="0.25">
      <c r="B35" t="str">
        <f>" - independent, limited by MLP from SW and e.g. MSHRs of HW,a s well as memory bandiwdth"</f>
        <v xml:space="preserve"> - independent, limited by MLP from SW and e.g. MSHRs of HW,a s well as memory bandiwdth</v>
      </c>
    </row>
    <row r="37" spans="1:4" x14ac:dyDescent="0.25">
      <c r="A37" t="s">
        <v>961</v>
      </c>
      <c r="B37" t="s">
        <v>962</v>
      </c>
      <c r="D37" t="s">
        <v>963</v>
      </c>
    </row>
    <row r="38" spans="1:4" x14ac:dyDescent="0.25">
      <c r="B38" t="s">
        <v>964</v>
      </c>
    </row>
    <row r="39" spans="1:4" x14ac:dyDescent="0.25">
      <c r="B39" t="s">
        <v>965</v>
      </c>
    </row>
    <row r="41" spans="1:4" x14ac:dyDescent="0.25">
      <c r="A41" t="s">
        <v>966</v>
      </c>
      <c r="B41" t="s">
        <v>967</v>
      </c>
    </row>
    <row r="42" spans="1:4" x14ac:dyDescent="0.25">
      <c r="B42" t="str">
        <f>" - data movement from host to device memory"</f>
        <v xml:space="preserve"> - data movement from host to device memory</v>
      </c>
    </row>
    <row r="43" spans="1:4" x14ac:dyDescent="0.25">
      <c r="B43" t="str">
        <f>" - pipelined or dependent?"</f>
        <v xml:space="preserve"> - pipelined or dependent?</v>
      </c>
    </row>
    <row r="44" spans="1:4" x14ac:dyDescent="0.25">
      <c r="B44" s="13" t="s">
        <v>968</v>
      </c>
    </row>
    <row r="45" spans="1:4" x14ac:dyDescent="0.25">
      <c r="B45" s="13" t="str">
        <f>" - same node, other accelerator memory"</f>
        <v xml:space="preserve"> - same node, other accelerator memory</v>
      </c>
    </row>
    <row r="46" spans="1:4" x14ac:dyDescent="0.25">
      <c r="B46" s="13" t="str">
        <f>" - other node, other accelerator memory"</f>
        <v xml:space="preserve"> - other node, other accelerator memory</v>
      </c>
    </row>
    <row r="47" spans="1:4" x14ac:dyDescent="0.25">
      <c r="B47" t="s">
        <v>969</v>
      </c>
    </row>
    <row r="48" spans="1:4" x14ac:dyDescent="0.25">
      <c r="B48" t="str">
        <f>" - same accelerator"</f>
        <v xml:space="preserve"> - same accelerator</v>
      </c>
    </row>
    <row r="49" spans="1:2" x14ac:dyDescent="0.25">
      <c r="B49" t="str">
        <f>" - same node, other accelerator"</f>
        <v xml:space="preserve"> - same node, other accelerator</v>
      </c>
    </row>
    <row r="50" spans="1:2" x14ac:dyDescent="0.25">
      <c r="B50" t="str">
        <f>" - other node, other accelerator"</f>
        <v xml:space="preserve"> - other node, other accelerator</v>
      </c>
    </row>
    <row r="55" spans="1:2" x14ac:dyDescent="0.25">
      <c r="A55" t="s">
        <v>970</v>
      </c>
      <c r="B55" t="s">
        <v>971</v>
      </c>
    </row>
    <row r="56" spans="1:2" x14ac:dyDescent="0.25">
      <c r="B56" t="s">
        <v>972</v>
      </c>
    </row>
    <row r="59" spans="1:2" x14ac:dyDescent="0.25">
      <c r="A59" t="s">
        <v>973</v>
      </c>
      <c r="B59" s="12" t="s">
        <v>974</v>
      </c>
    </row>
    <row r="60" spans="1:2" x14ac:dyDescent="0.25">
      <c r="B60" t="s">
        <v>975</v>
      </c>
    </row>
    <row r="61" spans="1:2" x14ac:dyDescent="0.25">
      <c r="B61" s="14" t="s">
        <v>976</v>
      </c>
    </row>
    <row r="62" spans="1:2" x14ac:dyDescent="0.25">
      <c r="B62" s="14" t="s">
        <v>977</v>
      </c>
    </row>
  </sheetData>
  <pageMargins left="0.7" right="0.7" top="0.75" bottom="0.75" header="0.3" footer="0.3"/>
  <pageSetup orientation="portrait" r:id="rId1"/>
  <headerFooter>
    <oddFooter>&amp;R&amp;1#&amp;"Calibri"&amp;8&amp;K000000strictly 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308EC95424984781FD00292927F924" ma:contentTypeVersion="14" ma:contentTypeDescription="Create a new document." ma:contentTypeScope="" ma:versionID="c01d4a2679e37623d3608debf4ba2751">
  <xsd:schema xmlns:xsd="http://www.w3.org/2001/XMLSchema" xmlns:xs="http://www.w3.org/2001/XMLSchema" xmlns:p="http://schemas.microsoft.com/office/2006/metadata/properties" xmlns:ns2="ff60a12a-7cd1-4b4b-8617-47a826d5ee30" xmlns:ns3="8b9bc9e1-2c28-43a1-9139-a322a79b761f" targetNamespace="http://schemas.microsoft.com/office/2006/metadata/properties" ma:root="true" ma:fieldsID="14410da7cbe2309c59d5b852b598933c" ns2:_="" ns3:_="">
    <xsd:import namespace="ff60a12a-7cd1-4b4b-8617-47a826d5ee30"/>
    <xsd:import namespace="8b9bc9e1-2c28-43a1-9139-a322a79b761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60a12a-7cd1-4b4b-8617-47a826d5ee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d83d8f-855d-4716-a748-44e48ed56b00"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9bc9e1-2c28-43a1-9139-a322a79b761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c92f12f8-2503-4343-a3b3-47b3907d6967}" ma:internalName="TaxCatchAll" ma:showField="CatchAllData" ma:web="8b9bc9e1-2c28-43a1-9139-a322a79b76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f60a12a-7cd1-4b4b-8617-47a826d5ee30">
      <Terms xmlns="http://schemas.microsoft.com/office/infopath/2007/PartnerControls"/>
    </lcf76f155ced4ddcb4097134ff3c332f>
    <TaxCatchAll xmlns="8b9bc9e1-2c28-43a1-9139-a322a79b761f" xsi:nil="true"/>
  </documentManagement>
</p:properties>
</file>

<file path=customXml/itemProps1.xml><?xml version="1.0" encoding="utf-8"?>
<ds:datastoreItem xmlns:ds="http://schemas.openxmlformats.org/officeDocument/2006/customXml" ds:itemID="{E51B86CC-6265-42FD-AEF5-60F54F98E8C2}">
  <ds:schemaRefs>
    <ds:schemaRef ds:uri="http://schemas.microsoft.com/sharepoint/v3/contenttype/forms"/>
  </ds:schemaRefs>
</ds:datastoreItem>
</file>

<file path=customXml/itemProps2.xml><?xml version="1.0" encoding="utf-8"?>
<ds:datastoreItem xmlns:ds="http://schemas.openxmlformats.org/officeDocument/2006/customXml" ds:itemID="{2B9AE80C-BBEE-43F8-8B6D-74F2E6E317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60a12a-7cd1-4b4b-8617-47a826d5ee30"/>
    <ds:schemaRef ds:uri="8b9bc9e1-2c28-43a1-9139-a322a79b76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80EA53-0278-41B3-8D8B-687DAFBA35CE}">
  <ds:schemaRefs>
    <ds:schemaRef ds:uri="28967985-420f-4a80-ba32-b74e0be3ad76"/>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60c746d3-d5a7-4eb6-ae9e-cc37a20c3d41"/>
    <ds:schemaRef ds:uri="http://purl.org/dc/dcmitype/"/>
    <ds:schemaRef ds:uri="http://purl.org/dc/terms/"/>
    <ds:schemaRef ds:uri="http://purl.org/dc/elements/1.1/"/>
    <ds:schemaRef ds:uri="ff60a12a-7cd1-4b4b-8617-47a826d5ee30"/>
    <ds:schemaRef ds:uri="8b9bc9e1-2c28-43a1-9139-a322a79b76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Inputs</vt:lpstr>
      <vt:lpstr>Transformer Network Parameters</vt:lpstr>
      <vt:lpstr>Performance Model</vt:lpstr>
      <vt:lpstr>Data to be transfered</vt:lpstr>
      <vt:lpstr>Scenario Summary</vt:lpstr>
      <vt:lpstr>Communication specs</vt:lpstr>
      <vt:lpstr>HBM3+2d SRAM</vt:lpstr>
      <vt:lpstr>LPDDR6+3d_SRAM</vt:lpstr>
      <vt:lpstr>Validation</vt:lpstr>
      <vt:lpstr>H100-HBM</vt:lpstr>
      <vt:lpstr>HBM3_2d_SRAM</vt:lpstr>
      <vt:lpstr>LPDDR_3d_SRAM</vt:lpstr>
      <vt:lpstr>GPU Model</vt:lpstr>
      <vt:lpstr>Energy Model</vt:lpstr>
      <vt:lpstr>Accelerator specifications</vt:lpstr>
      <vt:lpstr>MoE comments</vt:lpstr>
      <vt:lpstr>Cluster</vt:lpstr>
      <vt:lpstr>CPU Singlecore</vt:lpstr>
      <vt:lpstr>assumptions_and_miss_events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 Perumkunnil (imec)</dc:creator>
  <cp:keywords/>
  <dc:description/>
  <cp:lastModifiedBy>Aakash Patel (imec)</cp:lastModifiedBy>
  <cp:revision/>
  <dcterms:created xsi:type="dcterms:W3CDTF">2015-06-05T18:17:20Z</dcterms:created>
  <dcterms:modified xsi:type="dcterms:W3CDTF">2025-03-21T08:16:56Z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0x0101002982CF4D84065245BF8086A22E79616E</vt:lpwstr>
  </property>
  <property fmtid="{D5CDD505-2E9C-101B-9397-08002B2CF9AE}" pid="3" name="MediaServiceImageTags">
    <vt:lpwstr/>
  </property>
  <property fmtid="{D5CDD505-2E9C-101B-9397-08002B2CF9AE}" pid="4" name="MSIP_Label_76419393-2c12-4c6a-8f6c-c21c399920c4_Enabled">
    <vt:lpwstr>true</vt:lpwstr>
  </property>
  <property fmtid="{D5CDD505-2E9C-101B-9397-08002B2CF9AE}" pid="5" name="MSIP_Label_76419393-2c12-4c6a-8f6c-c21c399920c4_SetDate">
    <vt:lpwstr>2023-03-31T08:18:39Z</vt:lpwstr>
  </property>
  <property fmtid="{D5CDD505-2E9C-101B-9397-08002B2CF9AE}" pid="6" name="MSIP_Label_76419393-2c12-4c6a-8f6c-c21c399920c4_Method">
    <vt:lpwstr>Privileged</vt:lpwstr>
  </property>
  <property fmtid="{D5CDD505-2E9C-101B-9397-08002B2CF9AE}" pid="7" name="MSIP_Label_76419393-2c12-4c6a-8f6c-c21c399920c4_Name">
    <vt:lpwstr>Strictly Confidential – General use</vt:lpwstr>
  </property>
  <property fmtid="{D5CDD505-2E9C-101B-9397-08002B2CF9AE}" pid="8" name="MSIP_Label_76419393-2c12-4c6a-8f6c-c21c399920c4_SiteId">
    <vt:lpwstr>a72d5a72-25ee-40f0-9bd1-067cb5b770d4</vt:lpwstr>
  </property>
  <property fmtid="{D5CDD505-2E9C-101B-9397-08002B2CF9AE}" pid="9" name="MSIP_Label_76419393-2c12-4c6a-8f6c-c21c399920c4_ActionId">
    <vt:lpwstr>c1fc2416-80b0-49bc-82df-1b0adcbd35f6</vt:lpwstr>
  </property>
  <property fmtid="{D5CDD505-2E9C-101B-9397-08002B2CF9AE}" pid="10" name="MSIP_Label_76419393-2c12-4c6a-8f6c-c21c399920c4_ContentBits">
    <vt:lpwstr>2</vt:lpwstr>
  </property>
</Properties>
</file>